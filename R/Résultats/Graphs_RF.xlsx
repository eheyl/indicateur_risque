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Résultats\"/>
    </mc:Choice>
  </mc:AlternateContent>
  <xr:revisionPtr revIDLastSave="0" documentId="13_ncr:1_{F2766750-5E5B-4233-9B53-CF2E116581D5}" xr6:coauthVersionLast="47" xr6:coauthVersionMax="47" xr10:uidLastSave="{00000000-0000-0000-0000-000000000000}"/>
  <bookViews>
    <workbookView xWindow="14470" yWindow="-16310" windowWidth="25420" windowHeight="15250" firstSheet="7" activeTab="11" xr2:uid="{00000000-000D-0000-FFFF-FFFF00000000}"/>
  </bookViews>
  <sheets>
    <sheet name="Donnees_auto" sheetId="12" r:id="rId1"/>
    <sheet name="Graphique4" sheetId="27" r:id="rId2"/>
    <sheet name="Output R CGAPS3" sheetId="23" r:id="rId3"/>
    <sheet name="Graphiques &gt;&gt;" sheetId="11" r:id="rId4"/>
    <sheet name="Global" sheetId="14" r:id="rId5"/>
    <sheet name="Global (2)" sheetId="22" r:id="rId6"/>
    <sheet name="CCyB" sheetId="21" r:id="rId7"/>
    <sheet name="Encours_dette" sheetId="15" r:id="rId8"/>
    <sheet name="Financement_credit" sheetId="16" r:id="rId9"/>
    <sheet name="Marche_immo" sheetId="17" r:id="rId10"/>
    <sheet name="Financement_marches" sheetId="18" r:id="rId11"/>
    <sheet name="Valorisation_marchés" sheetId="19" r:id="rId12"/>
  </sheets>
  <definedNames>
    <definedName name="DonnéesExternes_1" localSheetId="0" hidden="1">Donnees_auto!$A$1:$Z$72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23" l="1"/>
  <c r="R2" i="23"/>
  <c r="Q2" i="23"/>
  <c r="P2" i="23"/>
  <c r="N69" i="23"/>
  <c r="N68" i="23"/>
  <c r="N67" i="23"/>
  <c r="N66" i="23"/>
  <c r="N65" i="23"/>
  <c r="N64" i="23"/>
  <c r="N63" i="23"/>
  <c r="N62" i="23"/>
  <c r="N61" i="23"/>
  <c r="N60" i="23"/>
  <c r="N59" i="23"/>
  <c r="N58" i="23"/>
  <c r="N57" i="23"/>
  <c r="N56" i="23"/>
  <c r="N55" i="23"/>
  <c r="N54" i="23"/>
  <c r="N53" i="23"/>
  <c r="N52" i="23"/>
  <c r="N51" i="23"/>
  <c r="N50" i="23"/>
  <c r="N49" i="23"/>
  <c r="N48" i="23"/>
  <c r="N47" i="23"/>
  <c r="N46" i="23"/>
  <c r="N45" i="23"/>
  <c r="N44" i="23"/>
  <c r="N43" i="23"/>
  <c r="N42" i="23"/>
  <c r="N41" i="23"/>
  <c r="N40" i="23"/>
  <c r="N39" i="23"/>
  <c r="N38" i="23"/>
  <c r="N37" i="23"/>
  <c r="N36" i="23"/>
  <c r="N35" i="23"/>
  <c r="N34" i="23"/>
  <c r="N33" i="23"/>
  <c r="N32" i="23"/>
  <c r="N31" i="23"/>
  <c r="N30" i="23"/>
  <c r="N29" i="23"/>
  <c r="N28" i="23"/>
  <c r="N27" i="23"/>
  <c r="N26" i="23"/>
  <c r="N25" i="23"/>
  <c r="N24" i="23"/>
  <c r="N23" i="23"/>
  <c r="N22" i="23"/>
  <c r="N21" i="23"/>
  <c r="N20" i="23"/>
  <c r="N19" i="23"/>
  <c r="N18" i="23"/>
  <c r="N17" i="23"/>
  <c r="N16" i="23"/>
  <c r="N15" i="23"/>
  <c r="N14" i="23"/>
  <c r="N13" i="23"/>
  <c r="N12" i="23"/>
  <c r="N11" i="23"/>
  <c r="N10" i="23"/>
  <c r="N9" i="23"/>
  <c r="N8" i="23"/>
  <c r="N7" i="23"/>
  <c r="N6" i="23"/>
  <c r="N5" i="23"/>
  <c r="N4" i="23"/>
  <c r="N3" i="23"/>
  <c r="N2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D76609-08E2-434E-9DC6-43B6498E2066}" keepAlive="1" name="Requête - Donnees" description="Connexion à la requête « Donnees » dans le classeur." type="5" refreshedVersion="7" background="1" saveData="1">
    <dbPr connection="Provider=Microsoft.Mashup.OleDb.1;Data Source=$Workbook$;Location=Donnees;Extended Properties=&quot;&quot;" command="SELECT * FROM [Donnees]"/>
  </connection>
</connections>
</file>

<file path=xl/sharedStrings.xml><?xml version="1.0" encoding="utf-8"?>
<sst xmlns="http://schemas.openxmlformats.org/spreadsheetml/2006/main" count="220" uniqueCount="119">
  <si>
    <t>TIME_PERIOD</t>
  </si>
  <si>
    <t>Encours de dette (ménages et SNF)</t>
  </si>
  <si>
    <t>Financement du crédit</t>
  </si>
  <si>
    <t>Marché immobilier</t>
  </si>
  <si>
    <t>Dette Ménages</t>
  </si>
  <si>
    <t>Dette SNF</t>
  </si>
  <si>
    <t>Taux croissance crédits particuliers</t>
  </si>
  <si>
    <t>Taux croissance crédits SNF</t>
  </si>
  <si>
    <t>Taux crédits nouveaux ménages</t>
  </si>
  <si>
    <t>Taux crédits nouveaux SNF</t>
  </si>
  <si>
    <t>Durcissement conditions d'octroi - SNF</t>
  </si>
  <si>
    <t>Durcissement conditions d'octroi - Ménages</t>
  </si>
  <si>
    <t>Part SNF avec contraintes de crédit</t>
  </si>
  <si>
    <t>Surrévaluation prix immo</t>
  </si>
  <si>
    <t>Prix immo / revenus ménages</t>
  </si>
  <si>
    <t>Spread HY</t>
  </si>
  <si>
    <t>Spread OAT-Bund</t>
  </si>
  <si>
    <t>Prime de CDS moyen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</si>
  <si>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</si>
  <si>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</si>
  <si>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</si>
  <si>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</si>
  <si>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</si>
  <si>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</si>
  <si>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</si>
  <si>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</si>
  <si>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</si>
  <si>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</si>
  <si>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</si>
  <si>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</si>
  <si>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</si>
  <si>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</si>
  <si>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</si>
  <si>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</si>
  <si>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</si>
  <si>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</si>
  <si>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</si>
  <si>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</si>
  <si>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</si>
  <si>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</si>
  <si>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</si>
  <si>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</si>
  <si>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</si>
  <si>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</si>
  <si>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</si>
  <si>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</si>
  <si>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</si>
  <si>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</si>
  <si>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</si>
  <si>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</si>
  <si>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</si>
  <si>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</si>
  <si>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</si>
  <si>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</si>
  <si>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</si>
  <si>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</si>
  <si>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</si>
  <si>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</si>
  <si>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</si>
  <si>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</si>
  <si>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</si>
  <si>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</si>
  <si>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</si>
  <si>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</si>
  <si>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</si>
  <si>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</si>
  <si>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</si>
  <si>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</si>
  <si>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</si>
  <si>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</si>
  <si>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</si>
  <si>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</si>
  <si>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</si>
  <si>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</si>
  <si>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</si>
  <si>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</si>
  <si>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</si>
  <si>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</si>
  <si>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</si>
  <si>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</si>
  <si>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</si>
  <si>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</si>
  <si>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</si>
  <si>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</si>
  <si>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</si>
  <si>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</si>
  <si>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</si>
  <si>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Financement sur les marchés</t>
  </si>
  <si>
    <t>incomplet</t>
  </si>
  <si>
    <t>Indicateur de vulnérabilité</t>
  </si>
  <si>
    <t>Taux du CCyB</t>
  </si>
  <si>
    <t>Valorisation sur les marchés</t>
  </si>
  <si>
    <t>Price Earning Ratio</t>
  </si>
  <si>
    <t>2026-Q2</t>
  </si>
  <si>
    <t>Service de la dette des ménages</t>
  </si>
  <si>
    <t>Service de la dette des SNF</t>
  </si>
  <si>
    <t>Date</t>
  </si>
  <si>
    <t>BRI</t>
  </si>
  <si>
    <t>Bancaire</t>
  </si>
  <si>
    <t>HCSF</t>
  </si>
  <si>
    <t>HCSF net</t>
  </si>
  <si>
    <t>cm_gap_pib</t>
  </si>
  <si>
    <t>ce_hcsf_gap_pib</t>
  </si>
  <si>
    <t>df_cg$date2</t>
  </si>
  <si>
    <t>c_bis_gap_pib</t>
  </si>
  <si>
    <t>c_b_gap_pib</t>
  </si>
  <si>
    <t>c_hcsf_gap_pib</t>
  </si>
  <si>
    <t>c_hcsf_net_gap_pib</t>
  </si>
  <si>
    <t>c_bis_ccyb</t>
  </si>
  <si>
    <t>c_b_ccyb</t>
  </si>
  <si>
    <t>c_hcsf_ccyb</t>
  </si>
  <si>
    <t>c_hcsf_net_ccyb</t>
  </si>
  <si>
    <t/>
  </si>
  <si>
    <t>Corrélation BRI - indicateur</t>
  </si>
  <si>
    <t>Corrélation HCSF - indicateur</t>
  </si>
  <si>
    <t>Corrélation HCSF net - indicateur</t>
  </si>
  <si>
    <t>Corrélation Bancaire - indicateur</t>
  </si>
  <si>
    <t>2026-Q3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</si>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</sst>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2" fillId="0" borderId="0" xfId="1"/>
    <xf numFmtId="14" fontId="2" fillId="0" borderId="0" xfId="1" applyNumberFormat="1"/>
    <xf numFmtId="0" fontId="2" fillId="0" borderId="0" xfId="1" applyFill="1"/>
    <xf numFmtId="0" fontId="3" fillId="3" borderId="0" xfId="1" applyFont="1" applyFill="1"/>
    <xf numFmtId="0" fontId="0" fillId="0" borderId="2" xfId="0" applyNumberFormat="1" applyFont="1" applyBorder="1"/>
    <xf numFmtId="0" fontId="4" fillId="0" borderId="0" xfId="0" applyFont="1"/>
    <xf numFmtId="0" fontId="0" fillId="0" borderId="3" xfId="0" applyFont="1" applyBorder="1"/>
  </cellXfs>
  <cellStyles count="2">
    <cellStyle name="Normal" xfId="0" builtinId="0"/>
    <cellStyle name="Normal 2" xfId="1" xr:uid="{3E5B238E-4688-4F6E-A57A-A448F34DE359}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9" defaultPivotStyle="PivotStyleLight16"/>
  <colors>
    <mruColors>
      <color rgb="FFFFE7E9"/>
      <color rgb="FFFFC6CA"/>
      <color rgb="FF00B050"/>
      <color rgb="FF4FE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4.xml"/><Relationship Id="rId12" Type="http://schemas.openxmlformats.org/officeDocument/2006/relationships/chartsheet" Target="chartsheets/sheet9.xml"/><Relationship Id="rId17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8.xml"/><Relationship Id="rId5" Type="http://schemas.openxmlformats.org/officeDocument/2006/relationships/chartsheet" Target="chartsheets/sheet2.xml"/><Relationship Id="rId15" Type="http://schemas.openxmlformats.org/officeDocument/2006/relationships/styles" Target="styles.xml"/><Relationship Id="rId10" Type="http://schemas.openxmlformats.org/officeDocument/2006/relationships/chartsheet" Target="chartsheets/sheet7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6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b="1">
                <a:solidFill>
                  <a:schemeClr val="tx2"/>
                </a:solidFill>
              </a:rPr>
              <a:t>Credit gaps &amp;</a:t>
            </a:r>
            <a:r>
              <a:rPr lang="fr-FR" b="1" baseline="0">
                <a:solidFill>
                  <a:schemeClr val="tx2"/>
                </a:solidFill>
              </a:rPr>
              <a:t> indicateur</a:t>
            </a:r>
            <a:endParaRPr lang="fr-FR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'Output R CGAPS3'!$I$1</c:f>
              <c:strCache>
                <c:ptCount val="1"/>
                <c:pt idx="0">
                  <c:v>BRI</c:v>
                </c:pt>
              </c:strCache>
            </c:strRef>
          </c:tx>
          <c:spPr>
            <a:ln w="381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'Output R CGAPS3'!$H$2:$H$69</c:f>
              <c:strCache>
                <c:ptCount val="68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</c:strCache>
            </c:strRef>
          </c:cat>
          <c:val>
            <c:numRef>
              <c:f>'Output R CGAPS3'!$I$2:$I$69</c:f>
              <c:numCache>
                <c:formatCode>General</c:formatCode>
                <c:ptCount val="68"/>
                <c:pt idx="0">
                  <c:v>7.2640528688311203</c:v>
                </c:pt>
                <c:pt idx="1">
                  <c:v>6.9102009555326802</c:v>
                </c:pt>
                <c:pt idx="2">
                  <c:v>6.1919099975947303</c:v>
                </c:pt>
                <c:pt idx="3">
                  <c:v>5.9609576398350299</c:v>
                </c:pt>
                <c:pt idx="4">
                  <c:v>5.5298956320235204</c:v>
                </c:pt>
                <c:pt idx="5">
                  <c:v>7.5392077262906598</c:v>
                </c:pt>
                <c:pt idx="6">
                  <c:v>6.1721173687827298</c:v>
                </c:pt>
                <c:pt idx="7">
                  <c:v>6.7009556045802299</c:v>
                </c:pt>
                <c:pt idx="8">
                  <c:v>6.1008262769675197</c:v>
                </c:pt>
                <c:pt idx="9">
                  <c:v>7.6596420321849497</c:v>
                </c:pt>
                <c:pt idx="10">
                  <c:v>8.7883818806441205</c:v>
                </c:pt>
                <c:pt idx="11">
                  <c:v>8.7373908908397198</c:v>
                </c:pt>
                <c:pt idx="12">
                  <c:v>9.5142184360851907</c:v>
                </c:pt>
                <c:pt idx="13">
                  <c:v>10.246292807826601</c:v>
                </c:pt>
                <c:pt idx="14">
                  <c:v>8.9763119957966797</c:v>
                </c:pt>
                <c:pt idx="15">
                  <c:v>8.1732596912366091</c:v>
                </c:pt>
                <c:pt idx="16">
                  <c:v>6.7464998399638203</c:v>
                </c:pt>
                <c:pt idx="17">
                  <c:v>3.9525290492838399</c:v>
                </c:pt>
                <c:pt idx="18">
                  <c:v>3.2665428370235601</c:v>
                </c:pt>
                <c:pt idx="19">
                  <c:v>1.74718903230508</c:v>
                </c:pt>
                <c:pt idx="20">
                  <c:v>2.66465511296474</c:v>
                </c:pt>
                <c:pt idx="21">
                  <c:v>3.9468395455382099</c:v>
                </c:pt>
                <c:pt idx="22">
                  <c:v>4.1603479100669896</c:v>
                </c:pt>
                <c:pt idx="23">
                  <c:v>4.1581789534923503</c:v>
                </c:pt>
                <c:pt idx="24">
                  <c:v>5.4799595609875</c:v>
                </c:pt>
                <c:pt idx="25">
                  <c:v>4.7021553836441896</c:v>
                </c:pt>
                <c:pt idx="26">
                  <c:v>4.3009184685407398</c:v>
                </c:pt>
                <c:pt idx="27">
                  <c:v>5.0217843532800996</c:v>
                </c:pt>
                <c:pt idx="28">
                  <c:v>2.9640410783583899</c:v>
                </c:pt>
                <c:pt idx="29">
                  <c:v>4.2508377712906897</c:v>
                </c:pt>
                <c:pt idx="30">
                  <c:v>4.3651453972825296</c:v>
                </c:pt>
                <c:pt idx="31">
                  <c:v>4.8980756125964096</c:v>
                </c:pt>
                <c:pt idx="32">
                  <c:v>5.7583857640478904</c:v>
                </c:pt>
                <c:pt idx="33">
                  <c:v>4.9217301863594498</c:v>
                </c:pt>
                <c:pt idx="34">
                  <c:v>3.5715069798110002</c:v>
                </c:pt>
                <c:pt idx="35">
                  <c:v>2.8076355500194601</c:v>
                </c:pt>
                <c:pt idx="36">
                  <c:v>2.9359597987391601</c:v>
                </c:pt>
                <c:pt idx="37">
                  <c:v>3.7818314652403702</c:v>
                </c:pt>
                <c:pt idx="38">
                  <c:v>3.57176672072928</c:v>
                </c:pt>
                <c:pt idx="39">
                  <c:v>3.0723281465164902</c:v>
                </c:pt>
                <c:pt idx="40">
                  <c:v>3.56473407471035</c:v>
                </c:pt>
                <c:pt idx="41">
                  <c:v>4.2063158503276501</c:v>
                </c:pt>
                <c:pt idx="42">
                  <c:v>5.0547457757769996</c:v>
                </c:pt>
                <c:pt idx="43">
                  <c:v>4.0763255322822403</c:v>
                </c:pt>
                <c:pt idx="44">
                  <c:v>5.3989449404321004</c:v>
                </c:pt>
                <c:pt idx="45">
                  <c:v>11.374151843154401</c:v>
                </c:pt>
                <c:pt idx="46">
                  <c:v>12.572315820497501</c:v>
                </c:pt>
                <c:pt idx="47">
                  <c:v>13.7352902457525</c:v>
                </c:pt>
                <c:pt idx="48">
                  <c:v>12.215236155116299</c:v>
                </c:pt>
                <c:pt idx="49">
                  <c:v>13.356598650427401</c:v>
                </c:pt>
                <c:pt idx="50">
                  <c:v>9.5224448551465208</c:v>
                </c:pt>
                <c:pt idx="51">
                  <c:v>6.7199846331014603</c:v>
                </c:pt>
                <c:pt idx="52">
                  <c:v>3.81424352205249</c:v>
                </c:pt>
                <c:pt idx="53">
                  <c:v>1.6956565123137399</c:v>
                </c:pt>
                <c:pt idx="54">
                  <c:v>1.2020644189615901</c:v>
                </c:pt>
                <c:pt idx="55">
                  <c:v>-0.957725930423731</c:v>
                </c:pt>
                <c:pt idx="56">
                  <c:v>-3.5505089478962701</c:v>
                </c:pt>
                <c:pt idx="57">
                  <c:v>-7.0813935359790898</c:v>
                </c:pt>
                <c:pt idx="58">
                  <c:v>-9.8681290033248299</c:v>
                </c:pt>
                <c:pt idx="59">
                  <c:v>-11.795923536544899</c:v>
                </c:pt>
                <c:pt idx="60">
                  <c:v>-14.4382356915945</c:v>
                </c:pt>
                <c:pt idx="61">
                  <c:v>-14.5543022185733</c:v>
                </c:pt>
                <c:pt idx="62">
                  <c:v>-15.4853743927809</c:v>
                </c:pt>
                <c:pt idx="63">
                  <c:v>-15.243580234913001</c:v>
                </c:pt>
                <c:pt idx="64">
                  <c:v>-14.4880153985857</c:v>
                </c:pt>
                <c:pt idx="65">
                  <c:v>-14.307145860455201</c:v>
                </c:pt>
                <c:pt idx="66">
                  <c:v>-14.281997692433199</c:v>
                </c:pt>
                <c:pt idx="67">
                  <c:v>-15.607993545981399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6-4C39-ADBC-4E117B31AC6C}"/>
            </c:ext>
          </c:extLst>
        </c:ser>
        <c:ser>
          <c:idx val="1"/>
          <c:order val="1"/>
          <c:tx>
            <c:strRef>
              <c:f>'Output R CGAPS3'!$J$1</c:f>
              <c:strCache>
                <c:ptCount val="1"/>
                <c:pt idx="0">
                  <c:v>Bancaire</c:v>
                </c:pt>
              </c:strCache>
            </c:strRef>
          </c:tx>
          <c:spPr>
            <a:ln w="38100" cap="rnd">
              <a:solidFill>
                <a:srgbClr val="FF66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'Output R CGAPS3'!$H$2:$H$69</c:f>
              <c:strCache>
                <c:ptCount val="68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</c:strCache>
            </c:strRef>
          </c:cat>
          <c:val>
            <c:numRef>
              <c:f>'Output R CGAPS3'!$J$2:$J$69</c:f>
              <c:numCache>
                <c:formatCode>General</c:formatCode>
                <c:ptCount val="68"/>
                <c:pt idx="0">
                  <c:v>8.8399689216215407</c:v>
                </c:pt>
                <c:pt idx="1">
                  <c:v>7.9189638571554601</c:v>
                </c:pt>
                <c:pt idx="2">
                  <c:v>7.1112710194848097</c:v>
                </c:pt>
                <c:pt idx="3">
                  <c:v>7.3410109772444301</c:v>
                </c:pt>
                <c:pt idx="4">
                  <c:v>6.93661120708492</c:v>
                </c:pt>
                <c:pt idx="5">
                  <c:v>8.2406856464869698</c:v>
                </c:pt>
                <c:pt idx="6">
                  <c:v>7.1530181963857604</c:v>
                </c:pt>
                <c:pt idx="7">
                  <c:v>7.2105555201838296</c:v>
                </c:pt>
                <c:pt idx="8">
                  <c:v>6.4359526111470702</c:v>
                </c:pt>
                <c:pt idx="9">
                  <c:v>6.7520815844871303</c:v>
                </c:pt>
                <c:pt idx="10">
                  <c:v>6.4016801554129303</c:v>
                </c:pt>
                <c:pt idx="11">
                  <c:v>5.8001292656082999</c:v>
                </c:pt>
                <c:pt idx="12">
                  <c:v>4.9365496889586398</c:v>
                </c:pt>
                <c:pt idx="13">
                  <c:v>4.2295145900649302</c:v>
                </c:pt>
                <c:pt idx="14">
                  <c:v>3.2481743884450198</c:v>
                </c:pt>
                <c:pt idx="15">
                  <c:v>2.9793169455820099</c:v>
                </c:pt>
                <c:pt idx="16">
                  <c:v>2.2391705946118901</c:v>
                </c:pt>
                <c:pt idx="17">
                  <c:v>1.4790239917005199</c:v>
                </c:pt>
                <c:pt idx="18">
                  <c:v>0.78625167388564399</c:v>
                </c:pt>
                <c:pt idx="19">
                  <c:v>0.187498819125171</c:v>
                </c:pt>
                <c:pt idx="20">
                  <c:v>-7.2365110861225296E-2</c:v>
                </c:pt>
                <c:pt idx="21">
                  <c:v>-0.20489990640929601</c:v>
                </c:pt>
                <c:pt idx="22">
                  <c:v>-0.74706930405782901</c:v>
                </c:pt>
                <c:pt idx="23">
                  <c:v>-0.86140125155400304</c:v>
                </c:pt>
                <c:pt idx="24">
                  <c:v>-1.12596170484402</c:v>
                </c:pt>
                <c:pt idx="25">
                  <c:v>-1.0567660553095</c:v>
                </c:pt>
                <c:pt idx="26">
                  <c:v>-1.0954222122206301</c:v>
                </c:pt>
                <c:pt idx="27">
                  <c:v>-1.1202600925478401</c:v>
                </c:pt>
                <c:pt idx="28">
                  <c:v>-1.4645791943701001</c:v>
                </c:pt>
                <c:pt idx="29">
                  <c:v>-0.99225794812157597</c:v>
                </c:pt>
                <c:pt idx="30">
                  <c:v>-0.93081558942333897</c:v>
                </c:pt>
                <c:pt idx="31">
                  <c:v>-0.268689071219534</c:v>
                </c:pt>
                <c:pt idx="32">
                  <c:v>-0.12965848649016301</c:v>
                </c:pt>
                <c:pt idx="33">
                  <c:v>0.137817131952267</c:v>
                </c:pt>
                <c:pt idx="34">
                  <c:v>-4.9506148108873702E-2</c:v>
                </c:pt>
                <c:pt idx="35">
                  <c:v>0.146297969927946</c:v>
                </c:pt>
                <c:pt idx="36">
                  <c:v>-8.9168227673642894E-2</c:v>
                </c:pt>
                <c:pt idx="37">
                  <c:v>0.26319603038331002</c:v>
                </c:pt>
                <c:pt idx="38">
                  <c:v>0.34811272889966399</c:v>
                </c:pt>
                <c:pt idx="39">
                  <c:v>0.85212472338164602</c:v>
                </c:pt>
                <c:pt idx="40">
                  <c:v>-3.3719124600180797E-2</c:v>
                </c:pt>
                <c:pt idx="41">
                  <c:v>0.51603468102833705</c:v>
                </c:pt>
                <c:pt idx="42">
                  <c:v>0.91105616605561701</c:v>
                </c:pt>
                <c:pt idx="43">
                  <c:v>1.03970737710474</c:v>
                </c:pt>
                <c:pt idx="44">
                  <c:v>1.3437987499066599</c:v>
                </c:pt>
                <c:pt idx="45">
                  <c:v>4.1882857842644396</c:v>
                </c:pt>
                <c:pt idx="46">
                  <c:v>5.6538420544783401</c:v>
                </c:pt>
                <c:pt idx="47">
                  <c:v>6.2021494001700201</c:v>
                </c:pt>
                <c:pt idx="48">
                  <c:v>6.1798523953123503</c:v>
                </c:pt>
                <c:pt idx="49">
                  <c:v>7.2302218811967496</c:v>
                </c:pt>
                <c:pt idx="50">
                  <c:v>5.6483566131369898</c:v>
                </c:pt>
                <c:pt idx="51">
                  <c:v>4.4442858070290496</c:v>
                </c:pt>
                <c:pt idx="52">
                  <c:v>3.2855955933179799</c:v>
                </c:pt>
                <c:pt idx="53">
                  <c:v>2.9683327277422</c:v>
                </c:pt>
                <c:pt idx="54">
                  <c:v>2.7256787453956699</c:v>
                </c:pt>
                <c:pt idx="55">
                  <c:v>1.93439618067784</c:v>
                </c:pt>
                <c:pt idx="56">
                  <c:v>0.100978111743249</c:v>
                </c:pt>
                <c:pt idx="57">
                  <c:v>-2.0487998536743</c:v>
                </c:pt>
                <c:pt idx="58">
                  <c:v>-3.8993081332136201</c:v>
                </c:pt>
                <c:pt idx="59">
                  <c:v>-5.3872601901033397</c:v>
                </c:pt>
                <c:pt idx="60">
                  <c:v>-7.10792839627468</c:v>
                </c:pt>
                <c:pt idx="61">
                  <c:v>-7.5770006431461301</c:v>
                </c:pt>
                <c:pt idx="62">
                  <c:v>-8.2313798054636695</c:v>
                </c:pt>
                <c:pt idx="63">
                  <c:v>-8.2380194755820497</c:v>
                </c:pt>
                <c:pt idx="64">
                  <c:v>-8.7272474775658697</c:v>
                </c:pt>
                <c:pt idx="65">
                  <c:v>-8.8638236798240992</c:v>
                </c:pt>
                <c:pt idx="66">
                  <c:v>-8.7635023976940492</c:v>
                </c:pt>
                <c:pt idx="67">
                  <c:v>-9.3277791881024399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26-4C39-ADBC-4E117B31AC6C}"/>
            </c:ext>
          </c:extLst>
        </c:ser>
        <c:ser>
          <c:idx val="2"/>
          <c:order val="2"/>
          <c:tx>
            <c:strRef>
              <c:f>'Output R CGAPS3'!$K$1</c:f>
              <c:strCache>
                <c:ptCount val="1"/>
                <c:pt idx="0">
                  <c:v>HCSF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'Output R CGAPS3'!$H$2:$H$69</c:f>
              <c:strCache>
                <c:ptCount val="68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</c:strCache>
            </c:strRef>
          </c:cat>
          <c:val>
            <c:numRef>
              <c:f>'Output R CGAPS3'!$K$2:$K$69</c:f>
              <c:numCache>
                <c:formatCode>General</c:formatCode>
                <c:ptCount val="68"/>
                <c:pt idx="0">
                  <c:v>6.2346299650100496</c:v>
                </c:pt>
                <c:pt idx="1">
                  <c:v>6.9950949318419502</c:v>
                </c:pt>
                <c:pt idx="2">
                  <c:v>7.2342899645893697</c:v>
                </c:pt>
                <c:pt idx="3">
                  <c:v>7.7126884821118002</c:v>
                </c:pt>
                <c:pt idx="4">
                  <c:v>7.6163782162268401</c:v>
                </c:pt>
                <c:pt idx="5">
                  <c:v>8.6866565803964306</c:v>
                </c:pt>
                <c:pt idx="6">
                  <c:v>8.0340658755435097</c:v>
                </c:pt>
                <c:pt idx="7">
                  <c:v>8.4959393899844304</c:v>
                </c:pt>
                <c:pt idx="8">
                  <c:v>7.2587053887033699</c:v>
                </c:pt>
                <c:pt idx="9">
                  <c:v>8.4216667625789299</c:v>
                </c:pt>
                <c:pt idx="10">
                  <c:v>8.7508738933483006</c:v>
                </c:pt>
                <c:pt idx="11">
                  <c:v>8.1792641255516596</c:v>
                </c:pt>
                <c:pt idx="12">
                  <c:v>8.5180228257907995</c:v>
                </c:pt>
                <c:pt idx="13">
                  <c:v>9.0840086004286302</c:v>
                </c:pt>
                <c:pt idx="14">
                  <c:v>8.4265370665855208</c:v>
                </c:pt>
                <c:pt idx="15">
                  <c:v>7.5789248250596604</c:v>
                </c:pt>
                <c:pt idx="16">
                  <c:v>6.5860020215106401</c:v>
                </c:pt>
                <c:pt idx="17">
                  <c:v>4.6822291725384897</c:v>
                </c:pt>
                <c:pt idx="18">
                  <c:v>4.4228464198338404</c:v>
                </c:pt>
                <c:pt idx="19">
                  <c:v>3.1324229075263701</c:v>
                </c:pt>
                <c:pt idx="20">
                  <c:v>2.7825871171833598</c:v>
                </c:pt>
                <c:pt idx="21">
                  <c:v>3.33702601413236</c:v>
                </c:pt>
                <c:pt idx="22">
                  <c:v>3.21630108352239</c:v>
                </c:pt>
                <c:pt idx="23">
                  <c:v>2.6899418525787402</c:v>
                </c:pt>
                <c:pt idx="24">
                  <c:v>1.4704347821909001</c:v>
                </c:pt>
                <c:pt idx="25">
                  <c:v>0.19758440881565301</c:v>
                </c:pt>
                <c:pt idx="26">
                  <c:v>9.7007351623157101E-2</c:v>
                </c:pt>
                <c:pt idx="27">
                  <c:v>0.22965578328849101</c:v>
                </c:pt>
                <c:pt idx="28">
                  <c:v>-2.0256138855561199</c:v>
                </c:pt>
                <c:pt idx="29">
                  <c:v>-1.3515317355672001</c:v>
                </c:pt>
                <c:pt idx="30">
                  <c:v>-0.89464709275571996</c:v>
                </c:pt>
                <c:pt idx="31">
                  <c:v>-0.544318750047178</c:v>
                </c:pt>
                <c:pt idx="32">
                  <c:v>0.30951151476581401</c:v>
                </c:pt>
                <c:pt idx="33">
                  <c:v>4.0405971924725698E-2</c:v>
                </c:pt>
                <c:pt idx="34">
                  <c:v>-0.327967077475396</c:v>
                </c:pt>
                <c:pt idx="35">
                  <c:v>-0.61999631985285997</c:v>
                </c:pt>
                <c:pt idx="36">
                  <c:v>-1.3638208639039699</c:v>
                </c:pt>
                <c:pt idx="37">
                  <c:v>-6.4472340186419203E-2</c:v>
                </c:pt>
                <c:pt idx="38">
                  <c:v>0.287233218836974</c:v>
                </c:pt>
                <c:pt idx="39">
                  <c:v>0.16321667582029201</c:v>
                </c:pt>
                <c:pt idx="40">
                  <c:v>0.15498528856736399</c:v>
                </c:pt>
                <c:pt idx="41">
                  <c:v>1.2276226252553599</c:v>
                </c:pt>
                <c:pt idx="42">
                  <c:v>1.8937124193955399</c:v>
                </c:pt>
                <c:pt idx="43">
                  <c:v>0.96140944286454499</c:v>
                </c:pt>
                <c:pt idx="44">
                  <c:v>1.15296793546891</c:v>
                </c:pt>
                <c:pt idx="45">
                  <c:v>6.7591362460715203</c:v>
                </c:pt>
                <c:pt idx="46">
                  <c:v>7.8272396976899197</c:v>
                </c:pt>
                <c:pt idx="47">
                  <c:v>8.5887699370575099</c:v>
                </c:pt>
                <c:pt idx="48">
                  <c:v>6.5536454673638698</c:v>
                </c:pt>
                <c:pt idx="49">
                  <c:v>6.8579423672965403</c:v>
                </c:pt>
                <c:pt idx="50">
                  <c:v>4.2668720536958498</c:v>
                </c:pt>
                <c:pt idx="51">
                  <c:v>2.45457565876809</c:v>
                </c:pt>
                <c:pt idx="52">
                  <c:v>-0.76714889817435705</c:v>
                </c:pt>
                <c:pt idx="53">
                  <c:v>-3.14681803179703</c:v>
                </c:pt>
                <c:pt idx="54">
                  <c:v>-3.8047008365726298</c:v>
                </c:pt>
                <c:pt idx="55">
                  <c:v>-4.4137205298003899</c:v>
                </c:pt>
                <c:pt idx="56">
                  <c:v>-6.2685646591426103</c:v>
                </c:pt>
                <c:pt idx="57">
                  <c:v>-8.7784123447197207</c:v>
                </c:pt>
                <c:pt idx="58">
                  <c:v>-10.797119437938999</c:v>
                </c:pt>
                <c:pt idx="59">
                  <c:v>-10.9800643852017</c:v>
                </c:pt>
                <c:pt idx="60">
                  <c:v>-13.2951084083046</c:v>
                </c:pt>
                <c:pt idx="61">
                  <c:v>-13.0928707887707</c:v>
                </c:pt>
                <c:pt idx="62">
                  <c:v>-13.663489298762901</c:v>
                </c:pt>
                <c:pt idx="63">
                  <c:v>-13.7248551001857</c:v>
                </c:pt>
                <c:pt idx="64">
                  <c:v>-12.8275442577993</c:v>
                </c:pt>
                <c:pt idx="65">
                  <c:v>-12.8744940495602</c:v>
                </c:pt>
                <c:pt idx="66">
                  <c:v>-13.2770420226899</c:v>
                </c:pt>
                <c:pt idx="67">
                  <c:v>-13.1444928108192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26-4C39-ADBC-4E117B31AC6C}"/>
            </c:ext>
          </c:extLst>
        </c:ser>
        <c:ser>
          <c:idx val="3"/>
          <c:order val="3"/>
          <c:tx>
            <c:strRef>
              <c:f>'Output R CGAPS3'!$L$1</c:f>
              <c:strCache>
                <c:ptCount val="1"/>
                <c:pt idx="0">
                  <c:v>HCSF net</c:v>
                </c:pt>
              </c:strCache>
            </c:strRef>
          </c:tx>
          <c:spPr>
            <a:ln w="38100" cap="rnd">
              <a:solidFill>
                <a:srgbClr val="FFCC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'Output R CGAPS3'!$H$2:$H$69</c:f>
              <c:strCache>
                <c:ptCount val="68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</c:strCache>
            </c:strRef>
          </c:cat>
          <c:val>
            <c:numRef>
              <c:f>'Output R CGAPS3'!$L$2:$L$69</c:f>
              <c:numCache>
                <c:formatCode>General</c:formatCode>
                <c:ptCount val="68"/>
                <c:pt idx="0">
                  <c:v>4.69152867208782</c:v>
                </c:pt>
                <c:pt idx="1">
                  <c:v>4.7808556637245596</c:v>
                </c:pt>
                <c:pt idx="2">
                  <c:v>5.1095764594055701</c:v>
                </c:pt>
                <c:pt idx="3">
                  <c:v>4.7394926709013001</c:v>
                </c:pt>
                <c:pt idx="4">
                  <c:v>6.01575860915269</c:v>
                </c:pt>
                <c:pt idx="5">
                  <c:v>7.3827928456950698</c:v>
                </c:pt>
                <c:pt idx="6">
                  <c:v>6.2537848561224303</c:v>
                </c:pt>
                <c:pt idx="7">
                  <c:v>5.7238089486871804</c:v>
                </c:pt>
                <c:pt idx="8">
                  <c:v>4.9130167255843098</c:v>
                </c:pt>
                <c:pt idx="9">
                  <c:v>6.3158097767915899</c:v>
                </c:pt>
                <c:pt idx="10">
                  <c:v>7.2909860476726802</c:v>
                </c:pt>
                <c:pt idx="11">
                  <c:v>6.9887646492149598</c:v>
                </c:pt>
                <c:pt idx="12">
                  <c:v>7.9531611261371804</c:v>
                </c:pt>
                <c:pt idx="13">
                  <c:v>8.8062437707516903</c:v>
                </c:pt>
                <c:pt idx="14">
                  <c:v>8.36707533371324</c:v>
                </c:pt>
                <c:pt idx="15">
                  <c:v>6.863942334591</c:v>
                </c:pt>
                <c:pt idx="16">
                  <c:v>6.5031157437834803</c:v>
                </c:pt>
                <c:pt idx="17">
                  <c:v>5.2152656951805296</c:v>
                </c:pt>
                <c:pt idx="18">
                  <c:v>4.9967052033386796</c:v>
                </c:pt>
                <c:pt idx="19">
                  <c:v>2.7514777410141198</c:v>
                </c:pt>
                <c:pt idx="20">
                  <c:v>3.6331402093998499</c:v>
                </c:pt>
                <c:pt idx="21">
                  <c:v>4.0145262638707804</c:v>
                </c:pt>
                <c:pt idx="22">
                  <c:v>4.5868181551866698</c:v>
                </c:pt>
                <c:pt idx="23">
                  <c:v>3.1595050273731999</c:v>
                </c:pt>
                <c:pt idx="24">
                  <c:v>2.1234055372043801</c:v>
                </c:pt>
                <c:pt idx="25">
                  <c:v>1.1214509216342501</c:v>
                </c:pt>
                <c:pt idx="26">
                  <c:v>0.74811656111050695</c:v>
                </c:pt>
                <c:pt idx="27">
                  <c:v>-0.14165990844686099</c:v>
                </c:pt>
                <c:pt idx="28">
                  <c:v>-1.2710221510039901</c:v>
                </c:pt>
                <c:pt idx="29">
                  <c:v>-0.70599490993318104</c:v>
                </c:pt>
                <c:pt idx="30">
                  <c:v>-0.65336137849222997</c:v>
                </c:pt>
                <c:pt idx="31">
                  <c:v>-1.15229545651238</c:v>
                </c:pt>
                <c:pt idx="32">
                  <c:v>-0.95147999010845596</c:v>
                </c:pt>
                <c:pt idx="33">
                  <c:v>0.101716146661463</c:v>
                </c:pt>
                <c:pt idx="34">
                  <c:v>-0.72781404467947097</c:v>
                </c:pt>
                <c:pt idx="35">
                  <c:v>-0.86827560082119604</c:v>
                </c:pt>
                <c:pt idx="36">
                  <c:v>-1.3803442150615799</c:v>
                </c:pt>
                <c:pt idx="37">
                  <c:v>0.26680466668622699</c:v>
                </c:pt>
                <c:pt idx="38">
                  <c:v>0.946961423255542</c:v>
                </c:pt>
                <c:pt idx="39">
                  <c:v>0.36165841181775799</c:v>
                </c:pt>
                <c:pt idx="40">
                  <c:v>0.46190457351964098</c:v>
                </c:pt>
                <c:pt idx="41">
                  <c:v>2.0155058754195698</c:v>
                </c:pt>
                <c:pt idx="42">
                  <c:v>2.26401288659696</c:v>
                </c:pt>
                <c:pt idx="43">
                  <c:v>1.1132850077199801</c:v>
                </c:pt>
                <c:pt idx="44">
                  <c:v>0.630291291388136</c:v>
                </c:pt>
                <c:pt idx="45">
                  <c:v>0.78330617969874305</c:v>
                </c:pt>
                <c:pt idx="46">
                  <c:v>1.26726668642579</c:v>
                </c:pt>
                <c:pt idx="47">
                  <c:v>1.4826182123584299</c:v>
                </c:pt>
                <c:pt idx="48">
                  <c:v>0.38582967394075801</c:v>
                </c:pt>
                <c:pt idx="49">
                  <c:v>1.6598197775347301</c:v>
                </c:pt>
                <c:pt idx="50">
                  <c:v>-0.101139099830197</c:v>
                </c:pt>
                <c:pt idx="51">
                  <c:v>-1.6681772335257501</c:v>
                </c:pt>
                <c:pt idx="52">
                  <c:v>-3.6473419288426099</c:v>
                </c:pt>
                <c:pt idx="53">
                  <c:v>-5.1424919421260498</c:v>
                </c:pt>
                <c:pt idx="54">
                  <c:v>-5.2051979226127001</c:v>
                </c:pt>
                <c:pt idx="55">
                  <c:v>-5.62685369576693</c:v>
                </c:pt>
                <c:pt idx="56">
                  <c:v>-6.60868700165899</c:v>
                </c:pt>
                <c:pt idx="57">
                  <c:v>-7.1308113454460598</c:v>
                </c:pt>
                <c:pt idx="58">
                  <c:v>-8.6070690102234106</c:v>
                </c:pt>
                <c:pt idx="59">
                  <c:v>-8.8108217883264999</c:v>
                </c:pt>
                <c:pt idx="60">
                  <c:v>-10.545830823967</c:v>
                </c:pt>
                <c:pt idx="61">
                  <c:v>-9.6628918875334406</c:v>
                </c:pt>
                <c:pt idx="62">
                  <c:v>-9.2681748224653902</c:v>
                </c:pt>
                <c:pt idx="63">
                  <c:v>-9.9975083734561192</c:v>
                </c:pt>
                <c:pt idx="64">
                  <c:v>-8.4416507862255905</c:v>
                </c:pt>
                <c:pt idx="65">
                  <c:v>-8.1896378171637796</c:v>
                </c:pt>
                <c:pt idx="66">
                  <c:v>-9.1533922695726204</c:v>
                </c:pt>
                <c:pt idx="67">
                  <c:v>-9.3852018235611698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26-4C39-ADBC-4E117B31AC6C}"/>
            </c:ext>
          </c:extLst>
        </c:ser>
        <c:ser>
          <c:idx val="4"/>
          <c:order val="4"/>
          <c:tx>
            <c:strRef>
              <c:f>'Output R CGAPS3'!$N$1</c:f>
              <c:strCache>
                <c:ptCount val="1"/>
                <c:pt idx="0">
                  <c:v>Indicateur de vulnérabilité</c:v>
                </c:pt>
              </c:strCache>
            </c:strRef>
          </c:tx>
          <c:spPr>
            <a:ln w="3810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'Output R CGAPS3'!$H$2:$H$69</c:f>
              <c:strCache>
                <c:ptCount val="68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</c:strCache>
            </c:strRef>
          </c:cat>
          <c:val>
            <c:numRef>
              <c:f>'Output R CGAPS3'!$N$2:$N$69</c:f>
              <c:numCache>
                <c:formatCode>General</c:formatCode>
                <c:ptCount val="68"/>
                <c:pt idx="0">
                  <c:v>7.5657260680795977</c:v>
                </c:pt>
                <c:pt idx="1">
                  <c:v>4.6359404901570391</c:v>
                </c:pt>
                <c:pt idx="2">
                  <c:v>2.300254155907862</c:v>
                </c:pt>
                <c:pt idx="3">
                  <c:v>0.19355430846176352</c:v>
                </c:pt>
                <c:pt idx="4">
                  <c:v>-0.85484605761988153</c:v>
                </c:pt>
                <c:pt idx="5">
                  <c:v>-0.15092352311505511</c:v>
                </c:pt>
                <c:pt idx="6">
                  <c:v>0.20321401976300582</c:v>
                </c:pt>
                <c:pt idx="7">
                  <c:v>-0.36885406675228116</c:v>
                </c:pt>
                <c:pt idx="8">
                  <c:v>0.49826161849241218</c:v>
                </c:pt>
                <c:pt idx="9">
                  <c:v>1.7688681003409128</c:v>
                </c:pt>
                <c:pt idx="10">
                  <c:v>3.7876069786826538</c:v>
                </c:pt>
                <c:pt idx="11">
                  <c:v>4.8623401393230274</c:v>
                </c:pt>
                <c:pt idx="12">
                  <c:v>4.7611026454967611</c:v>
                </c:pt>
                <c:pt idx="13">
                  <c:v>3.1819677044561923</c:v>
                </c:pt>
                <c:pt idx="14">
                  <c:v>2.3602391374409981</c:v>
                </c:pt>
                <c:pt idx="15">
                  <c:v>1.4327719619506909</c:v>
                </c:pt>
                <c:pt idx="16">
                  <c:v>0.91636287877253686</c:v>
                </c:pt>
                <c:pt idx="17">
                  <c:v>0.63672844057106093</c:v>
                </c:pt>
                <c:pt idx="18">
                  <c:v>0.33235540881186937</c:v>
                </c:pt>
                <c:pt idx="19">
                  <c:v>9.4219963389545209E-3</c:v>
                </c:pt>
                <c:pt idx="20">
                  <c:v>-0.46047674493879415</c:v>
                </c:pt>
                <c:pt idx="21">
                  <c:v>-0.39920313718277156</c:v>
                </c:pt>
                <c:pt idx="22">
                  <c:v>-0.49349413436550299</c:v>
                </c:pt>
                <c:pt idx="23">
                  <c:v>-0.78264098099352153</c:v>
                </c:pt>
                <c:pt idx="24">
                  <c:v>-0.44625927639873392</c:v>
                </c:pt>
                <c:pt idx="25">
                  <c:v>-0.54756532205344033</c:v>
                </c:pt>
                <c:pt idx="26">
                  <c:v>-0.2315209616263583</c:v>
                </c:pt>
                <c:pt idx="27">
                  <c:v>0.61349367674530353</c:v>
                </c:pt>
                <c:pt idx="28">
                  <c:v>8.2186218285827811E-2</c:v>
                </c:pt>
                <c:pt idx="29">
                  <c:v>9.152788846787327E-2</c:v>
                </c:pt>
                <c:pt idx="30">
                  <c:v>-0.2256207735571053</c:v>
                </c:pt>
                <c:pt idx="31">
                  <c:v>-0.10888519319019289</c:v>
                </c:pt>
                <c:pt idx="32">
                  <c:v>0.32849600806405621</c:v>
                </c:pt>
                <c:pt idx="33">
                  <c:v>0.63142934461726685</c:v>
                </c:pt>
                <c:pt idx="34">
                  <c:v>0.41790821035783582</c:v>
                </c:pt>
                <c:pt idx="35">
                  <c:v>0.43036176291263895</c:v>
                </c:pt>
                <c:pt idx="36">
                  <c:v>0.50619224292971532</c:v>
                </c:pt>
                <c:pt idx="37">
                  <c:v>0.55772952002616283</c:v>
                </c:pt>
                <c:pt idx="38">
                  <c:v>1.319421972494712</c:v>
                </c:pt>
                <c:pt idx="39">
                  <c:v>1.6508467384503049</c:v>
                </c:pt>
                <c:pt idx="40">
                  <c:v>1.701727325090955</c:v>
                </c:pt>
                <c:pt idx="41">
                  <c:v>1.4744408429178359</c:v>
                </c:pt>
                <c:pt idx="42">
                  <c:v>2.1465917369338388</c:v>
                </c:pt>
                <c:pt idx="43">
                  <c:v>1.978947516021401</c:v>
                </c:pt>
                <c:pt idx="44">
                  <c:v>3.2177976298762161</c:v>
                </c:pt>
                <c:pt idx="45">
                  <c:v>7.670130110815764</c:v>
                </c:pt>
                <c:pt idx="46">
                  <c:v>8.5649688388106</c:v>
                </c:pt>
                <c:pt idx="47">
                  <c:v>8.3818897306555016</c:v>
                </c:pt>
                <c:pt idx="48">
                  <c:v>6.9317713072198996</c:v>
                </c:pt>
                <c:pt idx="49">
                  <c:v>4.522593033105629</c:v>
                </c:pt>
                <c:pt idx="50">
                  <c:v>3.3751081350820527</c:v>
                </c:pt>
                <c:pt idx="51">
                  <c:v>3.3316167188838701</c:v>
                </c:pt>
                <c:pt idx="52">
                  <c:v>4.0730801979424758</c:v>
                </c:pt>
                <c:pt idx="53">
                  <c:v>4.4248856103630665</c:v>
                </c:pt>
                <c:pt idx="54">
                  <c:v>5.8940259283307022</c:v>
                </c:pt>
                <c:pt idx="55">
                  <c:v>5.7137871713900825</c:v>
                </c:pt>
                <c:pt idx="56">
                  <c:v>5.0753772089007381</c:v>
                </c:pt>
                <c:pt idx="57">
                  <c:v>4.3800567700671076</c:v>
                </c:pt>
                <c:pt idx="58">
                  <c:v>3.2428276062550587</c:v>
                </c:pt>
                <c:pt idx="59">
                  <c:v>2.0482338334737191</c:v>
                </c:pt>
                <c:pt idx="60">
                  <c:v>0.26292112708842441</c:v>
                </c:pt>
                <c:pt idx="61">
                  <c:v>3.2894639875163431E-2</c:v>
                </c:pt>
                <c:pt idx="62">
                  <c:v>-9.0483395258744541E-3</c:v>
                </c:pt>
                <c:pt idx="63">
                  <c:v>-0.22582872840564661</c:v>
                </c:pt>
                <c:pt idx="64">
                  <c:v>-0.20286393394360949</c:v>
                </c:pt>
                <c:pt idx="65">
                  <c:v>-0.29888936571618502</c:v>
                </c:pt>
                <c:pt idx="66">
                  <c:v>-0.1685102398875078</c:v>
                </c:pt>
                <c:pt idx="67">
                  <c:v>-0.50762753288923212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26-4C39-ADBC-4E117B31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44447"/>
        <c:axId val="54565663"/>
      </c:lineChart>
      <c:dateAx>
        <c:axId val="54544447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4565663"/>
        <c:crosses val="autoZero"/>
        <c:auto val="0"/>
        <c:lblOffset val="0"/>
        <c:baseTimeUnit val="days"/>
        <c:majorUnit val="12"/>
        <c:minorUnit val="3"/>
      </c:dateAx>
      <c:valAx>
        <c:axId val="54565663"/>
        <c:scaling>
          <c:orientation val="minMax"/>
          <c:max val="15"/>
          <c:min val="-20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;&quot;-&quot;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4544447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2505608305298E-2"/>
          <c:y val="2.9303852403054824E-2"/>
          <c:w val="0.88403720458484003"/>
          <c:h val="0.7621728910752750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Donnees_auto!$D$1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Donnees_auto!$D$2:$D$72</c:f>
              <c:numCache>
                <c:formatCode>General</c:formatCode>
                <c:ptCount val="71"/>
                <c:pt idx="0">
                  <c:v>-3.3599883547810523E-2</c:v>
                </c:pt>
                <c:pt idx="1">
                  <c:v>-0.1245993203952518</c:v>
                </c:pt>
                <c:pt idx="2">
                  <c:v>-0.17547541952466111</c:v>
                </c:pt>
                <c:pt idx="3">
                  <c:v>-0.19225972957076551</c:v>
                </c:pt>
                <c:pt idx="4">
                  <c:v>-0.14952569434562529</c:v>
                </c:pt>
                <c:pt idx="5">
                  <c:v>-0.1050105783642432</c:v>
                </c:pt>
                <c:pt idx="6">
                  <c:v>-9.3981534229191324E-2</c:v>
                </c:pt>
                <c:pt idx="7">
                  <c:v>-2.887850285232664E-2</c:v>
                </c:pt>
                <c:pt idx="8">
                  <c:v>4.2168132643459061E-3</c:v>
                </c:pt>
                <c:pt idx="9">
                  <c:v>6.0030610342904467E-2</c:v>
                </c:pt>
                <c:pt idx="10">
                  <c:v>0.1258926126453935</c:v>
                </c:pt>
                <c:pt idx="11">
                  <c:v>0.1087962973474125</c:v>
                </c:pt>
                <c:pt idx="12">
                  <c:v>9.5627204026133339E-2</c:v>
                </c:pt>
                <c:pt idx="13">
                  <c:v>7.7741882966600784E-2</c:v>
                </c:pt>
                <c:pt idx="14">
                  <c:v>8.6973430038583977E-3</c:v>
                </c:pt>
                <c:pt idx="15">
                  <c:v>2.3120099873764989E-2</c:v>
                </c:pt>
                <c:pt idx="16">
                  <c:v>9.5372248556465818E-3</c:v>
                </c:pt>
                <c:pt idx="17">
                  <c:v>1.2041689494415661E-2</c:v>
                </c:pt>
                <c:pt idx="18">
                  <c:v>1.651869118852994E-2</c:v>
                </c:pt>
                <c:pt idx="19">
                  <c:v>-3.0887726439217389E-4</c:v>
                </c:pt>
                <c:pt idx="20">
                  <c:v>1.8777059067757101E-2</c:v>
                </c:pt>
                <c:pt idx="21">
                  <c:v>3.8430267711457779E-2</c:v>
                </c:pt>
                <c:pt idx="22">
                  <c:v>5.868268217011631E-2</c:v>
                </c:pt>
                <c:pt idx="23">
                  <c:v>6.219331071375412E-2</c:v>
                </c:pt>
                <c:pt idx="24">
                  <c:v>9.1330640506262065E-2</c:v>
                </c:pt>
                <c:pt idx="25">
                  <c:v>8.3599111512460522E-2</c:v>
                </c:pt>
                <c:pt idx="26">
                  <c:v>9.621167749860926E-2</c:v>
                </c:pt>
                <c:pt idx="27">
                  <c:v>0.12915011402184329</c:v>
                </c:pt>
                <c:pt idx="28">
                  <c:v>0.10331353080309021</c:v>
                </c:pt>
                <c:pt idx="29">
                  <c:v>0.13303743444916849</c:v>
                </c:pt>
                <c:pt idx="30">
                  <c:v>0.15547501846698331</c:v>
                </c:pt>
                <c:pt idx="31">
                  <c:v>0.1868678550138094</c:v>
                </c:pt>
                <c:pt idx="32">
                  <c:v>0.2442023058667066</c:v>
                </c:pt>
                <c:pt idx="33">
                  <c:v>0.28387363934004178</c:v>
                </c:pt>
                <c:pt idx="34">
                  <c:v>0.30532176559517848</c:v>
                </c:pt>
                <c:pt idx="35">
                  <c:v>0.32815084544367218</c:v>
                </c:pt>
                <c:pt idx="36">
                  <c:v>0.32992502029396881</c:v>
                </c:pt>
                <c:pt idx="37">
                  <c:v>0.32872263726493151</c:v>
                </c:pt>
                <c:pt idx="38">
                  <c:v>0.3450509308587304</c:v>
                </c:pt>
                <c:pt idx="39">
                  <c:v>0.34771257979299602</c:v>
                </c:pt>
                <c:pt idx="40">
                  <c:v>0.35441580025624508</c:v>
                </c:pt>
                <c:pt idx="41">
                  <c:v>0.35417582940446218</c:v>
                </c:pt>
                <c:pt idx="42">
                  <c:v>0.38039291482802079</c:v>
                </c:pt>
                <c:pt idx="43">
                  <c:v>0.38387213679183291</c:v>
                </c:pt>
                <c:pt idx="44">
                  <c:v>0.45127734612395148</c:v>
                </c:pt>
                <c:pt idx="45">
                  <c:v>0.67633922841706706</c:v>
                </c:pt>
                <c:pt idx="46">
                  <c:v>0.77138919591962551</c:v>
                </c:pt>
                <c:pt idx="47">
                  <c:v>0.78391946690046288</c:v>
                </c:pt>
                <c:pt idx="48">
                  <c:v>0.71738001907033377</c:v>
                </c:pt>
                <c:pt idx="49">
                  <c:v>0.55213308597050426</c:v>
                </c:pt>
                <c:pt idx="50">
                  <c:v>0.49255812096990842</c:v>
                </c:pt>
                <c:pt idx="51">
                  <c:v>0.50240000625713976</c:v>
                </c:pt>
                <c:pt idx="52">
                  <c:v>0.53557851128298184</c:v>
                </c:pt>
                <c:pt idx="53">
                  <c:v>0.53160076592420724</c:v>
                </c:pt>
                <c:pt idx="54">
                  <c:v>0.55427556363038266</c:v>
                </c:pt>
                <c:pt idx="55">
                  <c:v>0.52121002862686638</c:v>
                </c:pt>
                <c:pt idx="56">
                  <c:v>0.45047748593951831</c:v>
                </c:pt>
                <c:pt idx="57">
                  <c:v>0.31996545851235791</c:v>
                </c:pt>
                <c:pt idx="58">
                  <c:v>0.23209575628664059</c:v>
                </c:pt>
                <c:pt idx="59">
                  <c:v>0.1434082079363074</c:v>
                </c:pt>
                <c:pt idx="60">
                  <c:v>7.5383853573826362E-2</c:v>
                </c:pt>
                <c:pt idx="61">
                  <c:v>6.0874569681691602E-2</c:v>
                </c:pt>
                <c:pt idx="62">
                  <c:v>3.9448517589097593E-2</c:v>
                </c:pt>
                <c:pt idx="63">
                  <c:v>4.928779599848887E-2</c:v>
                </c:pt>
                <c:pt idx="64">
                  <c:v>7.3250687430598024E-2</c:v>
                </c:pt>
                <c:pt idx="65">
                  <c:v>8.940367176069422E-2</c:v>
                </c:pt>
                <c:pt idx="66">
                  <c:v>0.1177940348169985</c:v>
                </c:pt>
                <c:pt idx="67">
                  <c:v>0.13686539378563839</c:v>
                </c:pt>
                <c:pt idx="68">
                  <c:v>0.13436377580403941</c:v>
                </c:pt>
                <c:pt idx="69">
                  <c:v>0.14872483156366231</c:v>
                </c:pt>
                <c:pt idx="70">
                  <c:v>0.14872483156366231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99-41BC-B0F5-52981D4AC01A}"/>
            </c:ext>
          </c:extLst>
        </c:ser>
        <c:ser>
          <c:idx val="2"/>
          <c:order val="2"/>
          <c:tx>
            <c:strRef>
              <c:f>Donnees_auto!$E$1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Donnees_auto!$E$2:$E$72</c:f>
              <c:numCache>
                <c:formatCode>General</c:formatCode>
                <c:ptCount val="71"/>
                <c:pt idx="0">
                  <c:v>0.15807628525333131</c:v>
                </c:pt>
                <c:pt idx="1">
                  <c:v>8.0827066875595557E-2</c:v>
                </c:pt>
                <c:pt idx="2">
                  <c:v>7.5368742469298144E-2</c:v>
                </c:pt>
                <c:pt idx="3">
                  <c:v>2.8387072133174561E-2</c:v>
                </c:pt>
                <c:pt idx="4">
                  <c:v>-6.8805561126647416E-3</c:v>
                </c:pt>
                <c:pt idx="5">
                  <c:v>7.1557986033513789E-3</c:v>
                </c:pt>
                <c:pt idx="6">
                  <c:v>2.3916249525448539E-2</c:v>
                </c:pt>
                <c:pt idx="7">
                  <c:v>-6.8162534016352028E-2</c:v>
                </c:pt>
                <c:pt idx="8">
                  <c:v>-6.6836647302081446E-4</c:v>
                </c:pt>
                <c:pt idx="9">
                  <c:v>2.9632419282957349E-2</c:v>
                </c:pt>
                <c:pt idx="10">
                  <c:v>1.48563031548208E-2</c:v>
                </c:pt>
                <c:pt idx="11">
                  <c:v>7.6993710284746636E-2</c:v>
                </c:pt>
                <c:pt idx="12">
                  <c:v>0.14547381931494471</c:v>
                </c:pt>
                <c:pt idx="13">
                  <c:v>2.2967340471773501E-2</c:v>
                </c:pt>
                <c:pt idx="14">
                  <c:v>2.890743078500083E-2</c:v>
                </c:pt>
                <c:pt idx="15">
                  <c:v>6.6442896790399816E-4</c:v>
                </c:pt>
                <c:pt idx="16">
                  <c:v>2.7185229692434799E-2</c:v>
                </c:pt>
                <c:pt idx="17">
                  <c:v>2.1814733048122698E-3</c:v>
                </c:pt>
                <c:pt idx="18">
                  <c:v>-1.3414201150184549E-2</c:v>
                </c:pt>
                <c:pt idx="19">
                  <c:v>-6.3019319069576411E-4</c:v>
                </c:pt>
                <c:pt idx="20">
                  <c:v>-1.6322955091750468E-2</c:v>
                </c:pt>
                <c:pt idx="21">
                  <c:v>-2.1530262146002319E-2</c:v>
                </c:pt>
                <c:pt idx="22">
                  <c:v>-6.745430784391826E-2</c:v>
                </c:pt>
                <c:pt idx="23">
                  <c:v>-9.226168545691632E-2</c:v>
                </c:pt>
                <c:pt idx="24">
                  <c:v>-9.3315704841681932E-2</c:v>
                </c:pt>
                <c:pt idx="25">
                  <c:v>-9.3818681743563989E-2</c:v>
                </c:pt>
                <c:pt idx="26">
                  <c:v>-0.10516317278893959</c:v>
                </c:pt>
                <c:pt idx="27">
                  <c:v>-6.1955434042970277E-2</c:v>
                </c:pt>
                <c:pt idx="28">
                  <c:v>-8.7637271796090807E-2</c:v>
                </c:pt>
                <c:pt idx="29">
                  <c:v>-8.8109998574052245E-2</c:v>
                </c:pt>
                <c:pt idx="30">
                  <c:v>-0.12890786689234629</c:v>
                </c:pt>
                <c:pt idx="31">
                  <c:v>-0.13253212534790559</c:v>
                </c:pt>
                <c:pt idx="32">
                  <c:v>-0.1173579832724404</c:v>
                </c:pt>
                <c:pt idx="33">
                  <c:v>-0.1146689978112557</c:v>
                </c:pt>
                <c:pt idx="34">
                  <c:v>-0.1159950596229344</c:v>
                </c:pt>
                <c:pt idx="35">
                  <c:v>-0.12514489437971379</c:v>
                </c:pt>
                <c:pt idx="36">
                  <c:v>-0.1189219893596014</c:v>
                </c:pt>
                <c:pt idx="37">
                  <c:v>-0.14579909052782131</c:v>
                </c:pt>
                <c:pt idx="38">
                  <c:v>-0.12348017533120489</c:v>
                </c:pt>
                <c:pt idx="39">
                  <c:v>-0.1233037110121</c:v>
                </c:pt>
                <c:pt idx="40">
                  <c:v>-0.13222252049544109</c:v>
                </c:pt>
                <c:pt idx="41">
                  <c:v>-0.14073388682220589</c:v>
                </c:pt>
                <c:pt idx="42">
                  <c:v>-0.10870180920893539</c:v>
                </c:pt>
                <c:pt idx="43">
                  <c:v>-0.1158977283228967</c:v>
                </c:pt>
                <c:pt idx="44">
                  <c:v>-0.10055836131805029</c:v>
                </c:pt>
                <c:pt idx="45">
                  <c:v>-8.4001191782704321E-2</c:v>
                </c:pt>
                <c:pt idx="46">
                  <c:v>-0.1205583684502857</c:v>
                </c:pt>
                <c:pt idx="47">
                  <c:v>-5.3600292597632132E-2</c:v>
                </c:pt>
                <c:pt idx="48">
                  <c:v>-6.3152397241172054E-2</c:v>
                </c:pt>
                <c:pt idx="49">
                  <c:v>-0.12747811608564871</c:v>
                </c:pt>
                <c:pt idx="50">
                  <c:v>-0.12621947539471429</c:v>
                </c:pt>
                <c:pt idx="51">
                  <c:v>-0.124516015998105</c:v>
                </c:pt>
                <c:pt idx="52">
                  <c:v>-0.12000484158304529</c:v>
                </c:pt>
                <c:pt idx="53">
                  <c:v>-0.11254364508035911</c:v>
                </c:pt>
                <c:pt idx="54">
                  <c:v>-3.075790418546849E-2</c:v>
                </c:pt>
                <c:pt idx="55">
                  <c:v>9.5219168291139668E-3</c:v>
                </c:pt>
                <c:pt idx="56">
                  <c:v>8.9759336681875967E-2</c:v>
                </c:pt>
                <c:pt idx="57">
                  <c:v>0.1208513105376466</c:v>
                </c:pt>
                <c:pt idx="58">
                  <c:v>0.14060099466843129</c:v>
                </c:pt>
                <c:pt idx="59">
                  <c:v>0.1212205078223363</c:v>
                </c:pt>
                <c:pt idx="60">
                  <c:v>7.6666621474097071E-2</c:v>
                </c:pt>
                <c:pt idx="61">
                  <c:v>3.680090000107851E-2</c:v>
                </c:pt>
                <c:pt idx="62">
                  <c:v>3.2294330310950921E-2</c:v>
                </c:pt>
                <c:pt idx="63">
                  <c:v>2.7464468183422099E-2</c:v>
                </c:pt>
                <c:pt idx="64">
                  <c:v>3.0099336994425251E-2</c:v>
                </c:pt>
                <c:pt idx="65">
                  <c:v>-1.00669849421165E-2</c:v>
                </c:pt>
                <c:pt idx="66">
                  <c:v>2.272014369216576E-2</c:v>
                </c:pt>
                <c:pt idx="67">
                  <c:v>6.3115894370038544E-3</c:v>
                </c:pt>
                <c:pt idx="68">
                  <c:v>2.1087579584774072E-2</c:v>
                </c:pt>
                <c:pt idx="69">
                  <c:v>5.8424826415418032E-2</c:v>
                </c:pt>
                <c:pt idx="70">
                  <c:v>8.4262463222082168E-2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99-41BC-B0F5-52981D4AC01A}"/>
            </c:ext>
          </c:extLst>
        </c:ser>
        <c:ser>
          <c:idx val="3"/>
          <c:order val="3"/>
          <c:tx>
            <c:strRef>
              <c:f>Donnees_auto!$F$1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Donnees_auto!$F$2:$F$72</c:f>
              <c:numCache>
                <c:formatCode>General</c:formatCode>
                <c:ptCount val="71"/>
                <c:pt idx="0">
                  <c:v>0.68162432689556574</c:v>
                </c:pt>
                <c:pt idx="1">
                  <c:v>0.52180621273179684</c:v>
                </c:pt>
                <c:pt idx="2">
                  <c:v>0.28558688511061492</c:v>
                </c:pt>
                <c:pt idx="3">
                  <c:v>0.14661446909210241</c:v>
                </c:pt>
                <c:pt idx="4">
                  <c:v>8.7654506122701342E-2</c:v>
                </c:pt>
                <c:pt idx="5">
                  <c:v>0.1009077655759178</c:v>
                </c:pt>
                <c:pt idx="6">
                  <c:v>8.8001168588685397E-2</c:v>
                </c:pt>
                <c:pt idx="7">
                  <c:v>4.2042725293356967E-2</c:v>
                </c:pt>
                <c:pt idx="8">
                  <c:v>1.0398089028693311E-2</c:v>
                </c:pt>
                <c:pt idx="9">
                  <c:v>1.386912548059074E-2</c:v>
                </c:pt>
                <c:pt idx="10">
                  <c:v>0.1687474544009776</c:v>
                </c:pt>
                <c:pt idx="11">
                  <c:v>0.2180881013740541</c:v>
                </c:pt>
                <c:pt idx="12">
                  <c:v>0.1623564743097986</c:v>
                </c:pt>
                <c:pt idx="13">
                  <c:v>0.1503552600638112</c:v>
                </c:pt>
                <c:pt idx="14">
                  <c:v>0.11192907133567311</c:v>
                </c:pt>
                <c:pt idx="15">
                  <c:v>3.6028512092666498E-2</c:v>
                </c:pt>
                <c:pt idx="16">
                  <c:v>-6.961217003448629E-3</c:v>
                </c:pt>
                <c:pt idx="17">
                  <c:v>-1.445626969879326E-2</c:v>
                </c:pt>
                <c:pt idx="18">
                  <c:v>-2.1850858410701422E-2</c:v>
                </c:pt>
                <c:pt idx="19">
                  <c:v>-5.5668051269003968E-2</c:v>
                </c:pt>
                <c:pt idx="20">
                  <c:v>-8.6321531371677737E-2</c:v>
                </c:pt>
                <c:pt idx="21">
                  <c:v>-0.1090440067215733</c:v>
                </c:pt>
                <c:pt idx="22">
                  <c:v>-8.7186124061559553E-2</c:v>
                </c:pt>
                <c:pt idx="23">
                  <c:v>-7.1850885044320217E-2</c:v>
                </c:pt>
                <c:pt idx="24">
                  <c:v>-8.2980656115000648E-2</c:v>
                </c:pt>
                <c:pt idx="25">
                  <c:v>-7.907569845444673E-2</c:v>
                </c:pt>
                <c:pt idx="26">
                  <c:v>-4.3877668419678321E-2</c:v>
                </c:pt>
                <c:pt idx="27">
                  <c:v>-2.827254534517094E-2</c:v>
                </c:pt>
                <c:pt idx="28">
                  <c:v>9.7056845322205029E-3</c:v>
                </c:pt>
                <c:pt idx="29">
                  <c:v>-3.6509432569940582E-2</c:v>
                </c:pt>
                <c:pt idx="30">
                  <c:v>-5.3881299298418762E-2</c:v>
                </c:pt>
                <c:pt idx="31">
                  <c:v>-5.7927760943371411E-2</c:v>
                </c:pt>
                <c:pt idx="32">
                  <c:v>-7.4695527228518299E-2</c:v>
                </c:pt>
                <c:pt idx="33">
                  <c:v>-8.963430257819921E-2</c:v>
                </c:pt>
                <c:pt idx="34">
                  <c:v>-0.12645622251653599</c:v>
                </c:pt>
                <c:pt idx="35">
                  <c:v>-0.129948872127092</c:v>
                </c:pt>
                <c:pt idx="36">
                  <c:v>-0.11914442727153619</c:v>
                </c:pt>
                <c:pt idx="37">
                  <c:v>-9.9346781472320081E-2</c:v>
                </c:pt>
                <c:pt idx="38">
                  <c:v>-7.845503993448559E-2</c:v>
                </c:pt>
                <c:pt idx="39">
                  <c:v>-3.9671497476214478E-2</c:v>
                </c:pt>
                <c:pt idx="40">
                  <c:v>-3.3343460296481033E-2</c:v>
                </c:pt>
                <c:pt idx="41">
                  <c:v>-6.9933793935040511E-2</c:v>
                </c:pt>
                <c:pt idx="42">
                  <c:v>-8.2942510918223744E-2</c:v>
                </c:pt>
                <c:pt idx="43">
                  <c:v>-8.4549879537773306E-2</c:v>
                </c:pt>
                <c:pt idx="44">
                  <c:v>-3.3761288078555197E-2</c:v>
                </c:pt>
                <c:pt idx="45">
                  <c:v>6.5870024173803166E-2</c:v>
                </c:pt>
                <c:pt idx="46">
                  <c:v>-1.8382968672687339E-2</c:v>
                </c:pt>
                <c:pt idx="47">
                  <c:v>-5.7401519884720538E-2</c:v>
                </c:pt>
                <c:pt idx="48">
                  <c:v>-9.941397072492629E-2</c:v>
                </c:pt>
                <c:pt idx="49">
                  <c:v>-0.11429494859811171</c:v>
                </c:pt>
                <c:pt idx="50">
                  <c:v>-0.1127207842781069</c:v>
                </c:pt>
                <c:pt idx="51">
                  <c:v>-9.5056526835772509E-2</c:v>
                </c:pt>
                <c:pt idx="52">
                  <c:v>-5.9459251091066541E-2</c:v>
                </c:pt>
                <c:pt idx="53">
                  <c:v>-4.0376515330403234E-3</c:v>
                </c:pt>
                <c:pt idx="54">
                  <c:v>5.4203356068703738E-2</c:v>
                </c:pt>
                <c:pt idx="55">
                  <c:v>4.3126803585201018E-2</c:v>
                </c:pt>
                <c:pt idx="56">
                  <c:v>-1.52522851297068E-2</c:v>
                </c:pt>
                <c:pt idx="57">
                  <c:v>-5.0943611165930238E-3</c:v>
                </c:pt>
                <c:pt idx="58">
                  <c:v>-2.503681928249912E-2</c:v>
                </c:pt>
                <c:pt idx="59">
                  <c:v>-2.172098793948482E-2</c:v>
                </c:pt>
                <c:pt idx="60">
                  <c:v>-6.8336038268575774E-2</c:v>
                </c:pt>
                <c:pt idx="61">
                  <c:v>-6.9109651502383365E-2</c:v>
                </c:pt>
                <c:pt idx="62">
                  <c:v>-5.5022029181791013E-2</c:v>
                </c:pt>
                <c:pt idx="63">
                  <c:v>-7.355489806823641E-2</c:v>
                </c:pt>
                <c:pt idx="64">
                  <c:v>-8.55434695141086E-2</c:v>
                </c:pt>
                <c:pt idx="65">
                  <c:v>-6.6011473301298931E-2</c:v>
                </c:pt>
                <c:pt idx="66">
                  <c:v>-0.1020843132964132</c:v>
                </c:pt>
                <c:pt idx="67">
                  <c:v>-9.8150536262722937E-2</c:v>
                </c:pt>
                <c:pt idx="68">
                  <c:v>-0.1028601572103827</c:v>
                </c:pt>
                <c:pt idx="69">
                  <c:v>-0.1048515448194853</c:v>
                </c:pt>
                <c:pt idx="70">
                  <c:v>-0.1022125799362711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99-41BC-B0F5-52981D4AC01A}"/>
            </c:ext>
          </c:extLst>
        </c:ser>
        <c:ser>
          <c:idx val="4"/>
          <c:order val="4"/>
          <c:tx>
            <c:strRef>
              <c:f>Donnees_auto!$G$1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Donnees_auto!$G$2:$G$72</c:f>
              <c:numCache>
                <c:formatCode>General</c:formatCode>
                <c:ptCount val="71"/>
                <c:pt idx="0">
                  <c:v>-2.0610240157681269E-2</c:v>
                </c:pt>
                <c:pt idx="1">
                  <c:v>-1.3092621062153821E-2</c:v>
                </c:pt>
                <c:pt idx="2">
                  <c:v>1.659132931263264E-2</c:v>
                </c:pt>
                <c:pt idx="3">
                  <c:v>2.4996370649061399E-2</c:v>
                </c:pt>
                <c:pt idx="4">
                  <c:v>-2.6742978416793271E-2</c:v>
                </c:pt>
                <c:pt idx="5">
                  <c:v>-1.357100141732949E-2</c:v>
                </c:pt>
                <c:pt idx="6">
                  <c:v>7.5824493921410399E-3</c:v>
                </c:pt>
                <c:pt idx="7">
                  <c:v>3.1115114127759441E-2</c:v>
                </c:pt>
                <c:pt idx="8">
                  <c:v>4.5990864121159998E-2</c:v>
                </c:pt>
                <c:pt idx="9">
                  <c:v>7.7883922716461662E-2</c:v>
                </c:pt>
                <c:pt idx="10">
                  <c:v>9.3017004108295637E-2</c:v>
                </c:pt>
                <c:pt idx="11">
                  <c:v>9.1859228708529778E-2</c:v>
                </c:pt>
                <c:pt idx="12">
                  <c:v>7.3985047399860782E-2</c:v>
                </c:pt>
                <c:pt idx="13">
                  <c:v>6.5110418533404907E-2</c:v>
                </c:pt>
                <c:pt idx="14">
                  <c:v>7.6965985186592853E-2</c:v>
                </c:pt>
                <c:pt idx="15">
                  <c:v>8.317873049898486E-2</c:v>
                </c:pt>
                <c:pt idx="16">
                  <c:v>6.703963259573352E-2</c:v>
                </c:pt>
                <c:pt idx="17">
                  <c:v>6.086011590802063E-2</c:v>
                </c:pt>
                <c:pt idx="18">
                  <c:v>4.4273373311089673E-2</c:v>
                </c:pt>
                <c:pt idx="19">
                  <c:v>5.3585728780266413E-2</c:v>
                </c:pt>
                <c:pt idx="20">
                  <c:v>2.8998180632780202E-2</c:v>
                </c:pt>
                <c:pt idx="21">
                  <c:v>4.2525663447081877E-2</c:v>
                </c:pt>
                <c:pt idx="22">
                  <c:v>3.9010820621000912E-2</c:v>
                </c:pt>
                <c:pt idx="23">
                  <c:v>2.281364793939461E-2</c:v>
                </c:pt>
                <c:pt idx="24">
                  <c:v>2.136420792368408E-2</c:v>
                </c:pt>
                <c:pt idx="25">
                  <c:v>1.8357198158558241E-2</c:v>
                </c:pt>
                <c:pt idx="26">
                  <c:v>1.8468421572274681E-2</c:v>
                </c:pt>
                <c:pt idx="27">
                  <c:v>1.3878939426654489E-2</c:v>
                </c:pt>
                <c:pt idx="28">
                  <c:v>-1.598368201913547E-2</c:v>
                </c:pt>
                <c:pt idx="29">
                  <c:v>-6.5096095601763536E-3</c:v>
                </c:pt>
                <c:pt idx="30">
                  <c:v>-4.8705415091282907E-3</c:v>
                </c:pt>
                <c:pt idx="31">
                  <c:v>-1.1159065858089E-2</c:v>
                </c:pt>
                <c:pt idx="32">
                  <c:v>-2.3643820195496119E-2</c:v>
                </c:pt>
                <c:pt idx="33">
                  <c:v>-2.3443138131746141E-2</c:v>
                </c:pt>
                <c:pt idx="34">
                  <c:v>-2.828424627849822E-2</c:v>
                </c:pt>
                <c:pt idx="35">
                  <c:v>-2.8647962257568459E-2</c:v>
                </c:pt>
                <c:pt idx="36">
                  <c:v>-3.0293682919567098E-2</c:v>
                </c:pt>
                <c:pt idx="37">
                  <c:v>-2.7073238311540609E-2</c:v>
                </c:pt>
                <c:pt idx="38">
                  <c:v>-1.2519821878910089E-2</c:v>
                </c:pt>
                <c:pt idx="39">
                  <c:v>-5.3136262165109881E-3</c:v>
                </c:pt>
                <c:pt idx="40">
                  <c:v>-1.5712060619381941E-2</c:v>
                </c:pt>
                <c:pt idx="41">
                  <c:v>-8.3292988094355036E-5</c:v>
                </c:pt>
                <c:pt idx="42">
                  <c:v>1.8433467636589419E-2</c:v>
                </c:pt>
                <c:pt idx="43">
                  <c:v>1.0139798205906939E-2</c:v>
                </c:pt>
                <c:pt idx="44">
                  <c:v>1.8937657713957969E-2</c:v>
                </c:pt>
                <c:pt idx="45">
                  <c:v>9.6790919354299593E-2</c:v>
                </c:pt>
                <c:pt idx="46">
                  <c:v>0.1917902491893152</c:v>
                </c:pt>
                <c:pt idx="47">
                  <c:v>0.1058707229285135</c:v>
                </c:pt>
                <c:pt idx="48">
                  <c:v>7.1551030885450242E-2</c:v>
                </c:pt>
                <c:pt idx="49">
                  <c:v>0.1011148253850653</c:v>
                </c:pt>
                <c:pt idx="50">
                  <c:v>7.1744486845518041E-2</c:v>
                </c:pt>
                <c:pt idx="51">
                  <c:v>4.4203015056047221E-2</c:v>
                </c:pt>
                <c:pt idx="52">
                  <c:v>6.7474757774982699E-2</c:v>
                </c:pt>
                <c:pt idx="53">
                  <c:v>4.9416298472767503E-2</c:v>
                </c:pt>
                <c:pt idx="54">
                  <c:v>3.6009387985099901E-2</c:v>
                </c:pt>
                <c:pt idx="55">
                  <c:v>1.874995156265544E-2</c:v>
                </c:pt>
                <c:pt idx="56">
                  <c:v>3.6012681028243722E-3</c:v>
                </c:pt>
                <c:pt idx="57">
                  <c:v>6.2539461325938914E-3</c:v>
                </c:pt>
                <c:pt idx="58">
                  <c:v>-2.1641926348163879E-2</c:v>
                </c:pt>
                <c:pt idx="59">
                  <c:v>-3.4317996968599017E-2</c:v>
                </c:pt>
                <c:pt idx="60">
                  <c:v>-5.4849931511107772E-2</c:v>
                </c:pt>
                <c:pt idx="61">
                  <c:v>-1.835808515381554E-2</c:v>
                </c:pt>
                <c:pt idx="62">
                  <c:v>-1.052134155052268E-2</c:v>
                </c:pt>
                <c:pt idx="63">
                  <c:v>-1.0617592434728519E-2</c:v>
                </c:pt>
                <c:pt idx="64">
                  <c:v>-2.2480366636398848E-2</c:v>
                </c:pt>
                <c:pt idx="65">
                  <c:v>-4.1270922159734227E-2</c:v>
                </c:pt>
                <c:pt idx="66">
                  <c:v>-6.3461272030679527E-2</c:v>
                </c:pt>
                <c:pt idx="67">
                  <c:v>-6.9836620913479613E-2</c:v>
                </c:pt>
                <c:pt idx="68">
                  <c:v>-8.5141831038056948E-2</c:v>
                </c:pt>
                <c:pt idx="69">
                  <c:v>-8.5141831038056948E-2</c:v>
                </c:pt>
                <c:pt idx="70">
                  <c:v>-8.5141831038056948E-2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99-41BC-B0F5-52981D4AC01A}"/>
            </c:ext>
          </c:extLst>
        </c:ser>
        <c:ser>
          <c:idx val="5"/>
          <c:order val="5"/>
          <c:tx>
            <c:strRef>
              <c:f>Donnees_auto!$H$1</c:f>
              <c:strCache>
                <c:ptCount val="1"/>
                <c:pt idx="0">
                  <c:v>Valorisation sur les marchés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val>
            <c:numRef>
              <c:f>Donnees_auto!$H$2:$H$72</c:f>
              <c:numCache>
                <c:formatCode>General</c:formatCode>
                <c:ptCount val="71"/>
                <c:pt idx="0">
                  <c:v>-2.6101858657702669E-2</c:v>
                </c:pt>
                <c:pt idx="1">
                  <c:v>-1.1301511352132591E-2</c:v>
                </c:pt>
                <c:pt idx="2">
                  <c:v>1.7287396741105469E-2</c:v>
                </c:pt>
                <c:pt idx="3">
                  <c:v>8.6562577462518664E-3</c:v>
                </c:pt>
                <c:pt idx="4">
                  <c:v>1.140626294785382E-2</c:v>
                </c:pt>
                <c:pt idx="5">
                  <c:v>-9.9536488879797807E-3</c:v>
                </c:pt>
                <c:pt idx="6">
                  <c:v>-6.0523968180133097E-3</c:v>
                </c:pt>
                <c:pt idx="7">
                  <c:v>-9.4039391208204197E-3</c:v>
                </c:pt>
                <c:pt idx="8">
                  <c:v>-6.4002433513338144E-3</c:v>
                </c:pt>
                <c:pt idx="9">
                  <c:v>-8.8399795368665924E-3</c:v>
                </c:pt>
                <c:pt idx="10">
                  <c:v>-2.4635679139347819E-2</c:v>
                </c:pt>
                <c:pt idx="11">
                  <c:v>-6.7458154669285883E-3</c:v>
                </c:pt>
                <c:pt idx="12">
                  <c:v>-6.5374151769636776E-4</c:v>
                </c:pt>
                <c:pt idx="13">
                  <c:v>-3.9511172565864158E-3</c:v>
                </c:pt>
                <c:pt idx="14">
                  <c:v>5.6416953579807739E-3</c:v>
                </c:pt>
                <c:pt idx="15">
                  <c:v>-5.4275232325467875E-4</c:v>
                </c:pt>
                <c:pt idx="16">
                  <c:v>-2.99420596787583E-3</c:v>
                </c:pt>
                <c:pt idx="17">
                  <c:v>-1.331642833360706E-3</c:v>
                </c:pt>
                <c:pt idx="18">
                  <c:v>6.5274974495291146E-3</c:v>
                </c:pt>
                <c:pt idx="19">
                  <c:v>4.7600896094927092E-3</c:v>
                </c:pt>
                <c:pt idx="20">
                  <c:v>1.071791091520773E-2</c:v>
                </c:pt>
                <c:pt idx="21">
                  <c:v>6.7746150971904791E-3</c:v>
                </c:pt>
                <c:pt idx="22">
                  <c:v>7.7102797474347916E-3</c:v>
                </c:pt>
                <c:pt idx="23">
                  <c:v>2.410088228389535E-5</c:v>
                </c:pt>
                <c:pt idx="24">
                  <c:v>2.1856923547030279E-2</c:v>
                </c:pt>
                <c:pt idx="25">
                  <c:v>1.378967896127168E-2</c:v>
                </c:pt>
                <c:pt idx="26">
                  <c:v>8.9769796429454134E-3</c:v>
                </c:pt>
                <c:pt idx="27">
                  <c:v>9.6603135489794281E-3</c:v>
                </c:pt>
                <c:pt idx="28">
                  <c:v>1.9057556017267681E-3</c:v>
                </c:pt>
                <c:pt idx="29">
                  <c:v>1.089573049287294E-3</c:v>
                </c:pt>
                <c:pt idx="30">
                  <c:v>6.1070754988405643E-3</c:v>
                </c:pt>
                <c:pt idx="31">
                  <c:v>5.1534996567553478E-3</c:v>
                </c:pt>
                <c:pt idx="32">
                  <c:v>8.575213149161284E-3</c:v>
                </c:pt>
                <c:pt idx="33">
                  <c:v>3.6515424895259109E-3</c:v>
                </c:pt>
                <c:pt idx="34">
                  <c:v>2.8464015691050701E-3</c:v>
                </c:pt>
                <c:pt idx="35">
                  <c:v>-1.5481509796765711E-3</c:v>
                </c:pt>
                <c:pt idx="36">
                  <c:v>-7.8630390100155219E-3</c:v>
                </c:pt>
                <c:pt idx="37">
                  <c:v>-5.6673672704681327E-3</c:v>
                </c:pt>
                <c:pt idx="38">
                  <c:v>-3.5142086949270829E-3</c:v>
                </c:pt>
                <c:pt idx="39">
                  <c:v>-1.4038711637311459E-2</c:v>
                </c:pt>
                <c:pt idx="40">
                  <c:v>1.7107123995061891E-3</c:v>
                </c:pt>
                <c:pt idx="41">
                  <c:v>7.686616233484214E-4</c:v>
                </c:pt>
                <c:pt idx="42">
                  <c:v>2.494923143091788E-3</c:v>
                </c:pt>
                <c:pt idx="43">
                  <c:v>2.99481713882501E-3</c:v>
                </c:pt>
                <c:pt idx="44">
                  <c:v>-1.297714182278672E-2</c:v>
                </c:pt>
                <c:pt idx="45">
                  <c:v>5.9091725580625509E-3</c:v>
                </c:pt>
                <c:pt idx="46">
                  <c:v>2.9051469043214231E-2</c:v>
                </c:pt>
                <c:pt idx="47">
                  <c:v>5.506724665597855E-2</c:v>
                </c:pt>
                <c:pt idx="48">
                  <c:v>6.4896799609135275E-2</c:v>
                </c:pt>
                <c:pt idx="49">
                  <c:v>3.7448770671879558E-2</c:v>
                </c:pt>
                <c:pt idx="50">
                  <c:v>8.6170656966827481E-3</c:v>
                </c:pt>
                <c:pt idx="51">
                  <c:v>3.7256539615498001E-3</c:v>
                </c:pt>
                <c:pt idx="52">
                  <c:v>-9.0800154966456416E-3</c:v>
                </c:pt>
                <c:pt idx="53">
                  <c:v>-2.120865892822893E-2</c:v>
                </c:pt>
                <c:pt idx="54">
                  <c:v>-2.4255606340919101E-2</c:v>
                </c:pt>
                <c:pt idx="55">
                  <c:v>-1.9741868378046451E-2</c:v>
                </c:pt>
                <c:pt idx="56">
                  <c:v>-1.4288677546684369E-2</c:v>
                </c:pt>
                <c:pt idx="57">
                  <c:v>-1.1758817634449361E-2</c:v>
                </c:pt>
                <c:pt idx="58">
                  <c:v>-1.2091303797543579E-2</c:v>
                </c:pt>
                <c:pt idx="59">
                  <c:v>-1.232872376797634E-2</c:v>
                </c:pt>
                <c:pt idx="60">
                  <c:v>-3.0294696983166332E-3</c:v>
                </c:pt>
                <c:pt idx="61">
                  <c:v>-1.0778100988191401E-2</c:v>
                </c:pt>
                <c:pt idx="62">
                  <c:v>-7.3039178315160973E-3</c:v>
                </c:pt>
                <c:pt idx="63">
                  <c:v>-6.0099121232437139E-3</c:v>
                </c:pt>
                <c:pt idx="64">
                  <c:v>9.3826425587657932E-4</c:v>
                </c:pt>
                <c:pt idx="65">
                  <c:v>4.2577779136481683E-3</c:v>
                </c:pt>
                <c:pt idx="66">
                  <c:v>9.9499174014875888E-3</c:v>
                </c:pt>
                <c:pt idx="67">
                  <c:v>1.091190735181127E-2</c:v>
                </c:pt>
                <c:pt idx="68">
                  <c:v>1.45295954755922E-2</c:v>
                </c:pt>
                <c:pt idx="69">
                  <c:v>1.791027330004203E-2</c:v>
                </c:pt>
                <c:pt idx="70">
                  <c:v>1.711510007205011E-2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56-4F38-8998-446EA8911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50196447"/>
        <c:axId val="450195615"/>
      </c:barChart>
      <c:lineChart>
        <c:grouping val="standard"/>
        <c:varyColors val="0"/>
        <c:ser>
          <c:idx val="0"/>
          <c:order val="0"/>
          <c:tx>
            <c:strRef>
              <c:f>Donnees_auto!$B$1</c:f>
              <c:strCache>
                <c:ptCount val="1"/>
                <c:pt idx="0">
                  <c:v>Indicateur de vulnérabilité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Donnees_auto!$B$2:$B$72</c:f>
              <c:numCache>
                <c:formatCode>General</c:formatCode>
                <c:ptCount val="71"/>
                <c:pt idx="0">
                  <c:v>0.75938862978570276</c:v>
                </c:pt>
                <c:pt idx="1">
                  <c:v>0.45363982679785431</c:v>
                </c:pt>
                <c:pt idx="2">
                  <c:v>0.2193589341089901</c:v>
                </c:pt>
                <c:pt idx="3">
                  <c:v>1.6394440049824752E-2</c:v>
                </c:pt>
                <c:pt idx="4">
                  <c:v>-8.4088459804528171E-2</c:v>
                </c:pt>
                <c:pt idx="5">
                  <c:v>-2.047166449028336E-2</c:v>
                </c:pt>
                <c:pt idx="6">
                  <c:v>1.9465936459070351E-2</c:v>
                </c:pt>
                <c:pt idx="7">
                  <c:v>-3.3287136568382683E-2</c:v>
                </c:pt>
                <c:pt idx="8">
                  <c:v>5.3537156589844592E-2</c:v>
                </c:pt>
                <c:pt idx="9">
                  <c:v>0.17257609828604761</c:v>
                </c:pt>
                <c:pt idx="10">
                  <c:v>0.37787769517013958</c:v>
                </c:pt>
                <c:pt idx="11">
                  <c:v>0.48899152224781439</c:v>
                </c:pt>
                <c:pt idx="12">
                  <c:v>0.47678880353304098</c:v>
                </c:pt>
                <c:pt idx="13">
                  <c:v>0.31222378477900398</c:v>
                </c:pt>
                <c:pt idx="14">
                  <c:v>0.23214152566910601</c:v>
                </c:pt>
                <c:pt idx="15">
                  <c:v>0.14244901911006569</c:v>
                </c:pt>
                <c:pt idx="16">
                  <c:v>9.3806664172490437E-2</c:v>
                </c:pt>
                <c:pt idx="17">
                  <c:v>5.9295366175094587E-2</c:v>
                </c:pt>
                <c:pt idx="18">
                  <c:v>3.2054502388262761E-2</c:v>
                </c:pt>
                <c:pt idx="19">
                  <c:v>1.7386966656672081E-3</c:v>
                </c:pt>
                <c:pt idx="20">
                  <c:v>-4.4151335847683187E-2</c:v>
                </c:pt>
                <c:pt idx="21">
                  <c:v>-4.2843722611845492E-2</c:v>
                </c:pt>
                <c:pt idx="22">
                  <c:v>-4.9236649366925789E-2</c:v>
                </c:pt>
                <c:pt idx="23">
                  <c:v>-7.9081510965803917E-2</c:v>
                </c:pt>
                <c:pt idx="24">
                  <c:v>-4.1744588979706169E-2</c:v>
                </c:pt>
                <c:pt idx="25">
                  <c:v>-5.7148391565720241E-2</c:v>
                </c:pt>
                <c:pt idx="26">
                  <c:v>-2.53837624947886E-2</c:v>
                </c:pt>
                <c:pt idx="27">
                  <c:v>6.2461387609336019E-2</c:v>
                </c:pt>
                <c:pt idx="28">
                  <c:v>1.130401712181122E-2</c:v>
                </c:pt>
                <c:pt idx="29">
                  <c:v>2.9979667942865952E-3</c:v>
                </c:pt>
                <c:pt idx="30">
                  <c:v>-2.6077613734069461E-2</c:v>
                </c:pt>
                <c:pt idx="31">
                  <c:v>-9.5975974788012272E-3</c:v>
                </c:pt>
                <c:pt idx="32">
                  <c:v>3.7080188319413072E-2</c:v>
                </c:pt>
                <c:pt idx="33">
                  <c:v>5.9778743308366682E-2</c:v>
                </c:pt>
                <c:pt idx="34">
                  <c:v>3.7432638746314917E-2</c:v>
                </c:pt>
                <c:pt idx="35">
                  <c:v>4.2860965699621313E-2</c:v>
                </c:pt>
                <c:pt idx="36">
                  <c:v>5.3701881733248587E-2</c:v>
                </c:pt>
                <c:pt idx="37">
                  <c:v>5.0836159682781462E-2</c:v>
                </c:pt>
                <c:pt idx="38">
                  <c:v>0.12708168501920261</c:v>
                </c:pt>
                <c:pt idx="39">
                  <c:v>0.165385033450859</c:v>
                </c:pt>
                <c:pt idx="40">
                  <c:v>0.1748484712444473</c:v>
                </c:pt>
                <c:pt idx="41">
                  <c:v>0.1441935172824699</c:v>
                </c:pt>
                <c:pt idx="42">
                  <c:v>0.20967698548054289</c:v>
                </c:pt>
                <c:pt idx="43">
                  <c:v>0.1965591442758948</c:v>
                </c:pt>
                <c:pt idx="44">
                  <c:v>0.32291821261851728</c:v>
                </c:pt>
                <c:pt idx="45">
                  <c:v>0.76090815272052814</c:v>
                </c:pt>
                <c:pt idx="46">
                  <c:v>0.85328957702918207</c:v>
                </c:pt>
                <c:pt idx="47">
                  <c:v>0.83385562400260205</c:v>
                </c:pt>
                <c:pt idx="48">
                  <c:v>0.69126148159882106</c:v>
                </c:pt>
                <c:pt idx="49">
                  <c:v>0.44892361734368869</c:v>
                </c:pt>
                <c:pt idx="50">
                  <c:v>0.33397941383928792</c:v>
                </c:pt>
                <c:pt idx="51">
                  <c:v>0.33075613244085927</c:v>
                </c:pt>
                <c:pt idx="52">
                  <c:v>0.41450916088720691</c:v>
                </c:pt>
                <c:pt idx="53">
                  <c:v>0.4432271088553465</c:v>
                </c:pt>
                <c:pt idx="54">
                  <c:v>0.58947479715779871</c:v>
                </c:pt>
                <c:pt idx="55">
                  <c:v>0.57286683222579027</c:v>
                </c:pt>
                <c:pt idx="56">
                  <c:v>0.51429712804782735</c:v>
                </c:pt>
                <c:pt idx="57">
                  <c:v>0.43021753643155602</c:v>
                </c:pt>
                <c:pt idx="58">
                  <c:v>0.31392670152686541</c:v>
                </c:pt>
                <c:pt idx="59">
                  <c:v>0.19626100708258351</c:v>
                </c:pt>
                <c:pt idx="60">
                  <c:v>2.5835035569923261E-2</c:v>
                </c:pt>
                <c:pt idx="61">
                  <c:v>-5.7036796162020405E-4</c:v>
                </c:pt>
                <c:pt idx="62">
                  <c:v>-1.1044406637812771E-3</c:v>
                </c:pt>
                <c:pt idx="63">
                  <c:v>-1.3430138444297669E-2</c:v>
                </c:pt>
                <c:pt idx="64">
                  <c:v>-3.7355474696075699E-3</c:v>
                </c:pt>
                <c:pt idx="65">
                  <c:v>-2.368793072880725E-2</c:v>
                </c:pt>
                <c:pt idx="66">
                  <c:v>-1.5081489416440949E-2</c:v>
                </c:pt>
                <c:pt idx="67">
                  <c:v>-1.389826660174899E-2</c:v>
                </c:pt>
                <c:pt idx="68">
                  <c:v>-1.802103738403403E-2</c:v>
                </c:pt>
                <c:pt idx="69">
                  <c:v>3.5066555421580069E-2</c:v>
                </c:pt>
                <c:pt idx="70">
                  <c:v>6.274798388346646E-2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F-4FF1-8B2E-ACDC46C3E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196447"/>
        <c:axId val="450195615"/>
      </c:lineChart>
      <c:catAx>
        <c:axId val="450196447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0195615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45019561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0196447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2505608305298E-2"/>
          <c:y val="2.9303852403054824E-2"/>
          <c:w val="0.88403720458484003"/>
          <c:h val="0.7621728910752750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Donnees_auto!$D$1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Donnees_auto!$D$2:$D$72</c:f>
              <c:numCache>
                <c:formatCode>General</c:formatCode>
                <c:ptCount val="71"/>
                <c:pt idx="0">
                  <c:v>-3.3599883547810523E-2</c:v>
                </c:pt>
                <c:pt idx="1">
                  <c:v>-0.1245993203952518</c:v>
                </c:pt>
                <c:pt idx="2">
                  <c:v>-0.17547541952466111</c:v>
                </c:pt>
                <c:pt idx="3">
                  <c:v>-0.19225972957076551</c:v>
                </c:pt>
                <c:pt idx="4">
                  <c:v>-0.14952569434562529</c:v>
                </c:pt>
                <c:pt idx="5">
                  <c:v>-0.1050105783642432</c:v>
                </c:pt>
                <c:pt idx="6">
                  <c:v>-9.3981534229191324E-2</c:v>
                </c:pt>
                <c:pt idx="7">
                  <c:v>-2.887850285232664E-2</c:v>
                </c:pt>
                <c:pt idx="8">
                  <c:v>4.2168132643459061E-3</c:v>
                </c:pt>
                <c:pt idx="9">
                  <c:v>6.0030610342904467E-2</c:v>
                </c:pt>
                <c:pt idx="10">
                  <c:v>0.1258926126453935</c:v>
                </c:pt>
                <c:pt idx="11">
                  <c:v>0.1087962973474125</c:v>
                </c:pt>
                <c:pt idx="12">
                  <c:v>9.5627204026133339E-2</c:v>
                </c:pt>
                <c:pt idx="13">
                  <c:v>7.7741882966600784E-2</c:v>
                </c:pt>
                <c:pt idx="14">
                  <c:v>8.6973430038583977E-3</c:v>
                </c:pt>
                <c:pt idx="15">
                  <c:v>2.3120099873764989E-2</c:v>
                </c:pt>
                <c:pt idx="16">
                  <c:v>9.5372248556465818E-3</c:v>
                </c:pt>
                <c:pt idx="17">
                  <c:v>1.2041689494415661E-2</c:v>
                </c:pt>
                <c:pt idx="18">
                  <c:v>1.651869118852994E-2</c:v>
                </c:pt>
                <c:pt idx="19">
                  <c:v>-3.0887726439217389E-4</c:v>
                </c:pt>
                <c:pt idx="20">
                  <c:v>1.8777059067757101E-2</c:v>
                </c:pt>
                <c:pt idx="21">
                  <c:v>3.8430267711457779E-2</c:v>
                </c:pt>
                <c:pt idx="22">
                  <c:v>5.868268217011631E-2</c:v>
                </c:pt>
                <c:pt idx="23">
                  <c:v>6.219331071375412E-2</c:v>
                </c:pt>
                <c:pt idx="24">
                  <c:v>9.1330640506262065E-2</c:v>
                </c:pt>
                <c:pt idx="25">
                  <c:v>8.3599111512460522E-2</c:v>
                </c:pt>
                <c:pt idx="26">
                  <c:v>9.621167749860926E-2</c:v>
                </c:pt>
                <c:pt idx="27">
                  <c:v>0.12915011402184329</c:v>
                </c:pt>
                <c:pt idx="28">
                  <c:v>0.10331353080309021</c:v>
                </c:pt>
                <c:pt idx="29">
                  <c:v>0.13303743444916849</c:v>
                </c:pt>
                <c:pt idx="30">
                  <c:v>0.15547501846698331</c:v>
                </c:pt>
                <c:pt idx="31">
                  <c:v>0.1868678550138094</c:v>
                </c:pt>
                <c:pt idx="32">
                  <c:v>0.2442023058667066</c:v>
                </c:pt>
                <c:pt idx="33">
                  <c:v>0.28387363934004178</c:v>
                </c:pt>
                <c:pt idx="34">
                  <c:v>0.30532176559517848</c:v>
                </c:pt>
                <c:pt idx="35">
                  <c:v>0.32815084544367218</c:v>
                </c:pt>
                <c:pt idx="36">
                  <c:v>0.32992502029396881</c:v>
                </c:pt>
                <c:pt idx="37">
                  <c:v>0.32872263726493151</c:v>
                </c:pt>
                <c:pt idx="38">
                  <c:v>0.3450509308587304</c:v>
                </c:pt>
                <c:pt idx="39">
                  <c:v>0.34771257979299602</c:v>
                </c:pt>
                <c:pt idx="40">
                  <c:v>0.35441580025624508</c:v>
                </c:pt>
                <c:pt idx="41">
                  <c:v>0.35417582940446218</c:v>
                </c:pt>
                <c:pt idx="42">
                  <c:v>0.38039291482802079</c:v>
                </c:pt>
                <c:pt idx="43">
                  <c:v>0.38387213679183291</c:v>
                </c:pt>
                <c:pt idx="44">
                  <c:v>0.45127734612395148</c:v>
                </c:pt>
                <c:pt idx="45">
                  <c:v>0.67633922841706706</c:v>
                </c:pt>
                <c:pt idx="46">
                  <c:v>0.77138919591962551</c:v>
                </c:pt>
                <c:pt idx="47">
                  <c:v>0.78391946690046288</c:v>
                </c:pt>
                <c:pt idx="48">
                  <c:v>0.71738001907033377</c:v>
                </c:pt>
                <c:pt idx="49">
                  <c:v>0.55213308597050426</c:v>
                </c:pt>
                <c:pt idx="50">
                  <c:v>0.49255812096990842</c:v>
                </c:pt>
                <c:pt idx="51">
                  <c:v>0.50240000625713976</c:v>
                </c:pt>
                <c:pt idx="52">
                  <c:v>0.53557851128298184</c:v>
                </c:pt>
                <c:pt idx="53">
                  <c:v>0.53160076592420724</c:v>
                </c:pt>
                <c:pt idx="54">
                  <c:v>0.55427556363038266</c:v>
                </c:pt>
                <c:pt idx="55">
                  <c:v>0.52121002862686638</c:v>
                </c:pt>
                <c:pt idx="56">
                  <c:v>0.45047748593951831</c:v>
                </c:pt>
                <c:pt idx="57">
                  <c:v>0.31996545851235791</c:v>
                </c:pt>
                <c:pt idx="58">
                  <c:v>0.23209575628664059</c:v>
                </c:pt>
                <c:pt idx="59">
                  <c:v>0.1434082079363074</c:v>
                </c:pt>
                <c:pt idx="60">
                  <c:v>7.5383853573826362E-2</c:v>
                </c:pt>
                <c:pt idx="61">
                  <c:v>6.0874569681691602E-2</c:v>
                </c:pt>
                <c:pt idx="62">
                  <c:v>3.9448517589097593E-2</c:v>
                </c:pt>
                <c:pt idx="63">
                  <c:v>4.928779599848887E-2</c:v>
                </c:pt>
                <c:pt idx="64">
                  <c:v>7.3250687430598024E-2</c:v>
                </c:pt>
                <c:pt idx="65">
                  <c:v>8.940367176069422E-2</c:v>
                </c:pt>
                <c:pt idx="66">
                  <c:v>0.1177940348169985</c:v>
                </c:pt>
                <c:pt idx="67">
                  <c:v>0.13686539378563839</c:v>
                </c:pt>
                <c:pt idx="68">
                  <c:v>0.13436377580403941</c:v>
                </c:pt>
                <c:pt idx="69">
                  <c:v>0.14872483156366231</c:v>
                </c:pt>
                <c:pt idx="70">
                  <c:v>0.14872483156366231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1-4151-8F25-081E5592AA27}"/>
            </c:ext>
          </c:extLst>
        </c:ser>
        <c:ser>
          <c:idx val="2"/>
          <c:order val="2"/>
          <c:tx>
            <c:strRef>
              <c:f>Donnees_auto!$E$1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Donnees_auto!$E$2:$E$72</c:f>
              <c:numCache>
                <c:formatCode>General</c:formatCode>
                <c:ptCount val="71"/>
                <c:pt idx="0">
                  <c:v>0.15807628525333131</c:v>
                </c:pt>
                <c:pt idx="1">
                  <c:v>8.0827066875595557E-2</c:v>
                </c:pt>
                <c:pt idx="2">
                  <c:v>7.5368742469298144E-2</c:v>
                </c:pt>
                <c:pt idx="3">
                  <c:v>2.8387072133174561E-2</c:v>
                </c:pt>
                <c:pt idx="4">
                  <c:v>-6.8805561126647416E-3</c:v>
                </c:pt>
                <c:pt idx="5">
                  <c:v>7.1557986033513789E-3</c:v>
                </c:pt>
                <c:pt idx="6">
                  <c:v>2.3916249525448539E-2</c:v>
                </c:pt>
                <c:pt idx="7">
                  <c:v>-6.8162534016352028E-2</c:v>
                </c:pt>
                <c:pt idx="8">
                  <c:v>-6.6836647302081446E-4</c:v>
                </c:pt>
                <c:pt idx="9">
                  <c:v>2.9632419282957349E-2</c:v>
                </c:pt>
                <c:pt idx="10">
                  <c:v>1.48563031548208E-2</c:v>
                </c:pt>
                <c:pt idx="11">
                  <c:v>7.6993710284746636E-2</c:v>
                </c:pt>
                <c:pt idx="12">
                  <c:v>0.14547381931494471</c:v>
                </c:pt>
                <c:pt idx="13">
                  <c:v>2.2967340471773501E-2</c:v>
                </c:pt>
                <c:pt idx="14">
                  <c:v>2.890743078500083E-2</c:v>
                </c:pt>
                <c:pt idx="15">
                  <c:v>6.6442896790399816E-4</c:v>
                </c:pt>
                <c:pt idx="16">
                  <c:v>2.7185229692434799E-2</c:v>
                </c:pt>
                <c:pt idx="17">
                  <c:v>2.1814733048122698E-3</c:v>
                </c:pt>
                <c:pt idx="18">
                  <c:v>-1.3414201150184549E-2</c:v>
                </c:pt>
                <c:pt idx="19">
                  <c:v>-6.3019319069576411E-4</c:v>
                </c:pt>
                <c:pt idx="20">
                  <c:v>-1.6322955091750468E-2</c:v>
                </c:pt>
                <c:pt idx="21">
                  <c:v>-2.1530262146002319E-2</c:v>
                </c:pt>
                <c:pt idx="22">
                  <c:v>-6.745430784391826E-2</c:v>
                </c:pt>
                <c:pt idx="23">
                  <c:v>-9.226168545691632E-2</c:v>
                </c:pt>
                <c:pt idx="24">
                  <c:v>-9.3315704841681932E-2</c:v>
                </c:pt>
                <c:pt idx="25">
                  <c:v>-9.3818681743563989E-2</c:v>
                </c:pt>
                <c:pt idx="26">
                  <c:v>-0.10516317278893959</c:v>
                </c:pt>
                <c:pt idx="27">
                  <c:v>-6.1955434042970277E-2</c:v>
                </c:pt>
                <c:pt idx="28">
                  <c:v>-8.7637271796090807E-2</c:v>
                </c:pt>
                <c:pt idx="29">
                  <c:v>-8.8109998574052245E-2</c:v>
                </c:pt>
                <c:pt idx="30">
                  <c:v>-0.12890786689234629</c:v>
                </c:pt>
                <c:pt idx="31">
                  <c:v>-0.13253212534790559</c:v>
                </c:pt>
                <c:pt idx="32">
                  <c:v>-0.1173579832724404</c:v>
                </c:pt>
                <c:pt idx="33">
                  <c:v>-0.1146689978112557</c:v>
                </c:pt>
                <c:pt idx="34">
                  <c:v>-0.1159950596229344</c:v>
                </c:pt>
                <c:pt idx="35">
                  <c:v>-0.12514489437971379</c:v>
                </c:pt>
                <c:pt idx="36">
                  <c:v>-0.1189219893596014</c:v>
                </c:pt>
                <c:pt idx="37">
                  <c:v>-0.14579909052782131</c:v>
                </c:pt>
                <c:pt idx="38">
                  <c:v>-0.12348017533120489</c:v>
                </c:pt>
                <c:pt idx="39">
                  <c:v>-0.1233037110121</c:v>
                </c:pt>
                <c:pt idx="40">
                  <c:v>-0.13222252049544109</c:v>
                </c:pt>
                <c:pt idx="41">
                  <c:v>-0.14073388682220589</c:v>
                </c:pt>
                <c:pt idx="42">
                  <c:v>-0.10870180920893539</c:v>
                </c:pt>
                <c:pt idx="43">
                  <c:v>-0.1158977283228967</c:v>
                </c:pt>
                <c:pt idx="44">
                  <c:v>-0.10055836131805029</c:v>
                </c:pt>
                <c:pt idx="45">
                  <c:v>-8.4001191782704321E-2</c:v>
                </c:pt>
                <c:pt idx="46">
                  <c:v>-0.1205583684502857</c:v>
                </c:pt>
                <c:pt idx="47">
                  <c:v>-5.3600292597632132E-2</c:v>
                </c:pt>
                <c:pt idx="48">
                  <c:v>-6.3152397241172054E-2</c:v>
                </c:pt>
                <c:pt idx="49">
                  <c:v>-0.12747811608564871</c:v>
                </c:pt>
                <c:pt idx="50">
                  <c:v>-0.12621947539471429</c:v>
                </c:pt>
                <c:pt idx="51">
                  <c:v>-0.124516015998105</c:v>
                </c:pt>
                <c:pt idx="52">
                  <c:v>-0.12000484158304529</c:v>
                </c:pt>
                <c:pt idx="53">
                  <c:v>-0.11254364508035911</c:v>
                </c:pt>
                <c:pt idx="54">
                  <c:v>-3.075790418546849E-2</c:v>
                </c:pt>
                <c:pt idx="55">
                  <c:v>9.5219168291139668E-3</c:v>
                </c:pt>
                <c:pt idx="56">
                  <c:v>8.9759336681875967E-2</c:v>
                </c:pt>
                <c:pt idx="57">
                  <c:v>0.1208513105376466</c:v>
                </c:pt>
                <c:pt idx="58">
                  <c:v>0.14060099466843129</c:v>
                </c:pt>
                <c:pt idx="59">
                  <c:v>0.1212205078223363</c:v>
                </c:pt>
                <c:pt idx="60">
                  <c:v>7.6666621474097071E-2</c:v>
                </c:pt>
                <c:pt idx="61">
                  <c:v>3.680090000107851E-2</c:v>
                </c:pt>
                <c:pt idx="62">
                  <c:v>3.2294330310950921E-2</c:v>
                </c:pt>
                <c:pt idx="63">
                  <c:v>2.7464468183422099E-2</c:v>
                </c:pt>
                <c:pt idx="64">
                  <c:v>3.0099336994425251E-2</c:v>
                </c:pt>
                <c:pt idx="65">
                  <c:v>-1.00669849421165E-2</c:v>
                </c:pt>
                <c:pt idx="66">
                  <c:v>2.272014369216576E-2</c:v>
                </c:pt>
                <c:pt idx="67">
                  <c:v>6.3115894370038544E-3</c:v>
                </c:pt>
                <c:pt idx="68">
                  <c:v>2.1087579584774072E-2</c:v>
                </c:pt>
                <c:pt idx="69">
                  <c:v>5.8424826415418032E-2</c:v>
                </c:pt>
                <c:pt idx="70">
                  <c:v>8.4262463222082168E-2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1-4151-8F25-081E5592AA27}"/>
            </c:ext>
          </c:extLst>
        </c:ser>
        <c:ser>
          <c:idx val="3"/>
          <c:order val="3"/>
          <c:tx>
            <c:strRef>
              <c:f>Donnees_auto!$F$1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Donnees_auto!$F$2:$F$72</c:f>
              <c:numCache>
                <c:formatCode>General</c:formatCode>
                <c:ptCount val="71"/>
                <c:pt idx="0">
                  <c:v>0.68162432689556574</c:v>
                </c:pt>
                <c:pt idx="1">
                  <c:v>0.52180621273179684</c:v>
                </c:pt>
                <c:pt idx="2">
                  <c:v>0.28558688511061492</c:v>
                </c:pt>
                <c:pt idx="3">
                  <c:v>0.14661446909210241</c:v>
                </c:pt>
                <c:pt idx="4">
                  <c:v>8.7654506122701342E-2</c:v>
                </c:pt>
                <c:pt idx="5">
                  <c:v>0.1009077655759178</c:v>
                </c:pt>
                <c:pt idx="6">
                  <c:v>8.8001168588685397E-2</c:v>
                </c:pt>
                <c:pt idx="7">
                  <c:v>4.2042725293356967E-2</c:v>
                </c:pt>
                <c:pt idx="8">
                  <c:v>1.0398089028693311E-2</c:v>
                </c:pt>
                <c:pt idx="9">
                  <c:v>1.386912548059074E-2</c:v>
                </c:pt>
                <c:pt idx="10">
                  <c:v>0.1687474544009776</c:v>
                </c:pt>
                <c:pt idx="11">
                  <c:v>0.2180881013740541</c:v>
                </c:pt>
                <c:pt idx="12">
                  <c:v>0.1623564743097986</c:v>
                </c:pt>
                <c:pt idx="13">
                  <c:v>0.1503552600638112</c:v>
                </c:pt>
                <c:pt idx="14">
                  <c:v>0.11192907133567311</c:v>
                </c:pt>
                <c:pt idx="15">
                  <c:v>3.6028512092666498E-2</c:v>
                </c:pt>
                <c:pt idx="16">
                  <c:v>-6.961217003448629E-3</c:v>
                </c:pt>
                <c:pt idx="17">
                  <c:v>-1.445626969879326E-2</c:v>
                </c:pt>
                <c:pt idx="18">
                  <c:v>-2.1850858410701422E-2</c:v>
                </c:pt>
                <c:pt idx="19">
                  <c:v>-5.5668051269003968E-2</c:v>
                </c:pt>
                <c:pt idx="20">
                  <c:v>-8.6321531371677737E-2</c:v>
                </c:pt>
                <c:pt idx="21">
                  <c:v>-0.1090440067215733</c:v>
                </c:pt>
                <c:pt idx="22">
                  <c:v>-8.7186124061559553E-2</c:v>
                </c:pt>
                <c:pt idx="23">
                  <c:v>-7.1850885044320217E-2</c:v>
                </c:pt>
                <c:pt idx="24">
                  <c:v>-8.2980656115000648E-2</c:v>
                </c:pt>
                <c:pt idx="25">
                  <c:v>-7.907569845444673E-2</c:v>
                </c:pt>
                <c:pt idx="26">
                  <c:v>-4.3877668419678321E-2</c:v>
                </c:pt>
                <c:pt idx="27">
                  <c:v>-2.827254534517094E-2</c:v>
                </c:pt>
                <c:pt idx="28">
                  <c:v>9.7056845322205029E-3</c:v>
                </c:pt>
                <c:pt idx="29">
                  <c:v>-3.6509432569940582E-2</c:v>
                </c:pt>
                <c:pt idx="30">
                  <c:v>-5.3881299298418762E-2</c:v>
                </c:pt>
                <c:pt idx="31">
                  <c:v>-5.7927760943371411E-2</c:v>
                </c:pt>
                <c:pt idx="32">
                  <c:v>-7.4695527228518299E-2</c:v>
                </c:pt>
                <c:pt idx="33">
                  <c:v>-8.963430257819921E-2</c:v>
                </c:pt>
                <c:pt idx="34">
                  <c:v>-0.12645622251653599</c:v>
                </c:pt>
                <c:pt idx="35">
                  <c:v>-0.129948872127092</c:v>
                </c:pt>
                <c:pt idx="36">
                  <c:v>-0.11914442727153619</c:v>
                </c:pt>
                <c:pt idx="37">
                  <c:v>-9.9346781472320081E-2</c:v>
                </c:pt>
                <c:pt idx="38">
                  <c:v>-7.845503993448559E-2</c:v>
                </c:pt>
                <c:pt idx="39">
                  <c:v>-3.9671497476214478E-2</c:v>
                </c:pt>
                <c:pt idx="40">
                  <c:v>-3.3343460296481033E-2</c:v>
                </c:pt>
                <c:pt idx="41">
                  <c:v>-6.9933793935040511E-2</c:v>
                </c:pt>
                <c:pt idx="42">
                  <c:v>-8.2942510918223744E-2</c:v>
                </c:pt>
                <c:pt idx="43">
                  <c:v>-8.4549879537773306E-2</c:v>
                </c:pt>
                <c:pt idx="44">
                  <c:v>-3.3761288078555197E-2</c:v>
                </c:pt>
                <c:pt idx="45">
                  <c:v>6.5870024173803166E-2</c:v>
                </c:pt>
                <c:pt idx="46">
                  <c:v>-1.8382968672687339E-2</c:v>
                </c:pt>
                <c:pt idx="47">
                  <c:v>-5.7401519884720538E-2</c:v>
                </c:pt>
                <c:pt idx="48">
                  <c:v>-9.941397072492629E-2</c:v>
                </c:pt>
                <c:pt idx="49">
                  <c:v>-0.11429494859811171</c:v>
                </c:pt>
                <c:pt idx="50">
                  <c:v>-0.1127207842781069</c:v>
                </c:pt>
                <c:pt idx="51">
                  <c:v>-9.5056526835772509E-2</c:v>
                </c:pt>
                <c:pt idx="52">
                  <c:v>-5.9459251091066541E-2</c:v>
                </c:pt>
                <c:pt idx="53">
                  <c:v>-4.0376515330403234E-3</c:v>
                </c:pt>
                <c:pt idx="54">
                  <c:v>5.4203356068703738E-2</c:v>
                </c:pt>
                <c:pt idx="55">
                  <c:v>4.3126803585201018E-2</c:v>
                </c:pt>
                <c:pt idx="56">
                  <c:v>-1.52522851297068E-2</c:v>
                </c:pt>
                <c:pt idx="57">
                  <c:v>-5.0943611165930238E-3</c:v>
                </c:pt>
                <c:pt idx="58">
                  <c:v>-2.503681928249912E-2</c:v>
                </c:pt>
                <c:pt idx="59">
                  <c:v>-2.172098793948482E-2</c:v>
                </c:pt>
                <c:pt idx="60">
                  <c:v>-6.8336038268575774E-2</c:v>
                </c:pt>
                <c:pt idx="61">
                  <c:v>-6.9109651502383365E-2</c:v>
                </c:pt>
                <c:pt idx="62">
                  <c:v>-5.5022029181791013E-2</c:v>
                </c:pt>
                <c:pt idx="63">
                  <c:v>-7.355489806823641E-2</c:v>
                </c:pt>
                <c:pt idx="64">
                  <c:v>-8.55434695141086E-2</c:v>
                </c:pt>
                <c:pt idx="65">
                  <c:v>-6.6011473301298931E-2</c:v>
                </c:pt>
                <c:pt idx="66">
                  <c:v>-0.1020843132964132</c:v>
                </c:pt>
                <c:pt idx="67">
                  <c:v>-9.8150536262722937E-2</c:v>
                </c:pt>
                <c:pt idx="68">
                  <c:v>-0.1028601572103827</c:v>
                </c:pt>
                <c:pt idx="69">
                  <c:v>-0.1048515448194853</c:v>
                </c:pt>
                <c:pt idx="70">
                  <c:v>-0.1022125799362711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1-4151-8F25-081E5592AA27}"/>
            </c:ext>
          </c:extLst>
        </c:ser>
        <c:ser>
          <c:idx val="4"/>
          <c:order val="4"/>
          <c:tx>
            <c:strRef>
              <c:f>Donnees_auto!$G$1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Donnees_auto!$G$2:$G$72</c:f>
              <c:numCache>
                <c:formatCode>General</c:formatCode>
                <c:ptCount val="71"/>
                <c:pt idx="0">
                  <c:v>-2.0610240157681269E-2</c:v>
                </c:pt>
                <c:pt idx="1">
                  <c:v>-1.3092621062153821E-2</c:v>
                </c:pt>
                <c:pt idx="2">
                  <c:v>1.659132931263264E-2</c:v>
                </c:pt>
                <c:pt idx="3">
                  <c:v>2.4996370649061399E-2</c:v>
                </c:pt>
                <c:pt idx="4">
                  <c:v>-2.6742978416793271E-2</c:v>
                </c:pt>
                <c:pt idx="5">
                  <c:v>-1.357100141732949E-2</c:v>
                </c:pt>
                <c:pt idx="6">
                  <c:v>7.5824493921410399E-3</c:v>
                </c:pt>
                <c:pt idx="7">
                  <c:v>3.1115114127759441E-2</c:v>
                </c:pt>
                <c:pt idx="8">
                  <c:v>4.5990864121159998E-2</c:v>
                </c:pt>
                <c:pt idx="9">
                  <c:v>7.7883922716461662E-2</c:v>
                </c:pt>
                <c:pt idx="10">
                  <c:v>9.3017004108295637E-2</c:v>
                </c:pt>
                <c:pt idx="11">
                  <c:v>9.1859228708529778E-2</c:v>
                </c:pt>
                <c:pt idx="12">
                  <c:v>7.3985047399860782E-2</c:v>
                </c:pt>
                <c:pt idx="13">
                  <c:v>6.5110418533404907E-2</c:v>
                </c:pt>
                <c:pt idx="14">
                  <c:v>7.6965985186592853E-2</c:v>
                </c:pt>
                <c:pt idx="15">
                  <c:v>8.317873049898486E-2</c:v>
                </c:pt>
                <c:pt idx="16">
                  <c:v>6.703963259573352E-2</c:v>
                </c:pt>
                <c:pt idx="17">
                  <c:v>6.086011590802063E-2</c:v>
                </c:pt>
                <c:pt idx="18">
                  <c:v>4.4273373311089673E-2</c:v>
                </c:pt>
                <c:pt idx="19">
                  <c:v>5.3585728780266413E-2</c:v>
                </c:pt>
                <c:pt idx="20">
                  <c:v>2.8998180632780202E-2</c:v>
                </c:pt>
                <c:pt idx="21">
                  <c:v>4.2525663447081877E-2</c:v>
                </c:pt>
                <c:pt idx="22">
                  <c:v>3.9010820621000912E-2</c:v>
                </c:pt>
                <c:pt idx="23">
                  <c:v>2.281364793939461E-2</c:v>
                </c:pt>
                <c:pt idx="24">
                  <c:v>2.136420792368408E-2</c:v>
                </c:pt>
                <c:pt idx="25">
                  <c:v>1.8357198158558241E-2</c:v>
                </c:pt>
                <c:pt idx="26">
                  <c:v>1.8468421572274681E-2</c:v>
                </c:pt>
                <c:pt idx="27">
                  <c:v>1.3878939426654489E-2</c:v>
                </c:pt>
                <c:pt idx="28">
                  <c:v>-1.598368201913547E-2</c:v>
                </c:pt>
                <c:pt idx="29">
                  <c:v>-6.5096095601763536E-3</c:v>
                </c:pt>
                <c:pt idx="30">
                  <c:v>-4.8705415091282907E-3</c:v>
                </c:pt>
                <c:pt idx="31">
                  <c:v>-1.1159065858089E-2</c:v>
                </c:pt>
                <c:pt idx="32">
                  <c:v>-2.3643820195496119E-2</c:v>
                </c:pt>
                <c:pt idx="33">
                  <c:v>-2.3443138131746141E-2</c:v>
                </c:pt>
                <c:pt idx="34">
                  <c:v>-2.828424627849822E-2</c:v>
                </c:pt>
                <c:pt idx="35">
                  <c:v>-2.8647962257568459E-2</c:v>
                </c:pt>
                <c:pt idx="36">
                  <c:v>-3.0293682919567098E-2</c:v>
                </c:pt>
                <c:pt idx="37">
                  <c:v>-2.7073238311540609E-2</c:v>
                </c:pt>
                <c:pt idx="38">
                  <c:v>-1.2519821878910089E-2</c:v>
                </c:pt>
                <c:pt idx="39">
                  <c:v>-5.3136262165109881E-3</c:v>
                </c:pt>
                <c:pt idx="40">
                  <c:v>-1.5712060619381941E-2</c:v>
                </c:pt>
                <c:pt idx="41">
                  <c:v>-8.3292988094355036E-5</c:v>
                </c:pt>
                <c:pt idx="42">
                  <c:v>1.8433467636589419E-2</c:v>
                </c:pt>
                <c:pt idx="43">
                  <c:v>1.0139798205906939E-2</c:v>
                </c:pt>
                <c:pt idx="44">
                  <c:v>1.8937657713957969E-2</c:v>
                </c:pt>
                <c:pt idx="45">
                  <c:v>9.6790919354299593E-2</c:v>
                </c:pt>
                <c:pt idx="46">
                  <c:v>0.1917902491893152</c:v>
                </c:pt>
                <c:pt idx="47">
                  <c:v>0.1058707229285135</c:v>
                </c:pt>
                <c:pt idx="48">
                  <c:v>7.1551030885450242E-2</c:v>
                </c:pt>
                <c:pt idx="49">
                  <c:v>0.1011148253850653</c:v>
                </c:pt>
                <c:pt idx="50">
                  <c:v>7.1744486845518041E-2</c:v>
                </c:pt>
                <c:pt idx="51">
                  <c:v>4.4203015056047221E-2</c:v>
                </c:pt>
                <c:pt idx="52">
                  <c:v>6.7474757774982699E-2</c:v>
                </c:pt>
                <c:pt idx="53">
                  <c:v>4.9416298472767503E-2</c:v>
                </c:pt>
                <c:pt idx="54">
                  <c:v>3.6009387985099901E-2</c:v>
                </c:pt>
                <c:pt idx="55">
                  <c:v>1.874995156265544E-2</c:v>
                </c:pt>
                <c:pt idx="56">
                  <c:v>3.6012681028243722E-3</c:v>
                </c:pt>
                <c:pt idx="57">
                  <c:v>6.2539461325938914E-3</c:v>
                </c:pt>
                <c:pt idx="58">
                  <c:v>-2.1641926348163879E-2</c:v>
                </c:pt>
                <c:pt idx="59">
                  <c:v>-3.4317996968599017E-2</c:v>
                </c:pt>
                <c:pt idx="60">
                  <c:v>-5.4849931511107772E-2</c:v>
                </c:pt>
                <c:pt idx="61">
                  <c:v>-1.835808515381554E-2</c:v>
                </c:pt>
                <c:pt idx="62">
                  <c:v>-1.052134155052268E-2</c:v>
                </c:pt>
                <c:pt idx="63">
                  <c:v>-1.0617592434728519E-2</c:v>
                </c:pt>
                <c:pt idx="64">
                  <c:v>-2.2480366636398848E-2</c:v>
                </c:pt>
                <c:pt idx="65">
                  <c:v>-4.1270922159734227E-2</c:v>
                </c:pt>
                <c:pt idx="66">
                  <c:v>-6.3461272030679527E-2</c:v>
                </c:pt>
                <c:pt idx="67">
                  <c:v>-6.9836620913479613E-2</c:v>
                </c:pt>
                <c:pt idx="68">
                  <c:v>-8.5141831038056948E-2</c:v>
                </c:pt>
                <c:pt idx="69">
                  <c:v>-8.5141831038056948E-2</c:v>
                </c:pt>
                <c:pt idx="70">
                  <c:v>-8.5141831038056948E-2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1-4151-8F25-081E5592AA27}"/>
            </c:ext>
          </c:extLst>
        </c:ser>
        <c:ser>
          <c:idx val="5"/>
          <c:order val="5"/>
          <c:tx>
            <c:strRef>
              <c:f>Donnees_auto!$H$1</c:f>
              <c:strCache>
                <c:ptCount val="1"/>
                <c:pt idx="0">
                  <c:v>Valorisation sur les marchés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val>
            <c:numRef>
              <c:f>Donnees_auto!$H$2:$H$72</c:f>
              <c:numCache>
                <c:formatCode>General</c:formatCode>
                <c:ptCount val="71"/>
                <c:pt idx="0">
                  <c:v>-2.6101858657702669E-2</c:v>
                </c:pt>
                <c:pt idx="1">
                  <c:v>-1.1301511352132591E-2</c:v>
                </c:pt>
                <c:pt idx="2">
                  <c:v>1.7287396741105469E-2</c:v>
                </c:pt>
                <c:pt idx="3">
                  <c:v>8.6562577462518664E-3</c:v>
                </c:pt>
                <c:pt idx="4">
                  <c:v>1.140626294785382E-2</c:v>
                </c:pt>
                <c:pt idx="5">
                  <c:v>-9.9536488879797807E-3</c:v>
                </c:pt>
                <c:pt idx="6">
                  <c:v>-6.0523968180133097E-3</c:v>
                </c:pt>
                <c:pt idx="7">
                  <c:v>-9.4039391208204197E-3</c:v>
                </c:pt>
                <c:pt idx="8">
                  <c:v>-6.4002433513338144E-3</c:v>
                </c:pt>
                <c:pt idx="9">
                  <c:v>-8.8399795368665924E-3</c:v>
                </c:pt>
                <c:pt idx="10">
                  <c:v>-2.4635679139347819E-2</c:v>
                </c:pt>
                <c:pt idx="11">
                  <c:v>-6.7458154669285883E-3</c:v>
                </c:pt>
                <c:pt idx="12">
                  <c:v>-6.5374151769636776E-4</c:v>
                </c:pt>
                <c:pt idx="13">
                  <c:v>-3.9511172565864158E-3</c:v>
                </c:pt>
                <c:pt idx="14">
                  <c:v>5.6416953579807739E-3</c:v>
                </c:pt>
                <c:pt idx="15">
                  <c:v>-5.4275232325467875E-4</c:v>
                </c:pt>
                <c:pt idx="16">
                  <c:v>-2.99420596787583E-3</c:v>
                </c:pt>
                <c:pt idx="17">
                  <c:v>-1.331642833360706E-3</c:v>
                </c:pt>
                <c:pt idx="18">
                  <c:v>6.5274974495291146E-3</c:v>
                </c:pt>
                <c:pt idx="19">
                  <c:v>4.7600896094927092E-3</c:v>
                </c:pt>
                <c:pt idx="20">
                  <c:v>1.071791091520773E-2</c:v>
                </c:pt>
                <c:pt idx="21">
                  <c:v>6.7746150971904791E-3</c:v>
                </c:pt>
                <c:pt idx="22">
                  <c:v>7.7102797474347916E-3</c:v>
                </c:pt>
                <c:pt idx="23">
                  <c:v>2.410088228389535E-5</c:v>
                </c:pt>
                <c:pt idx="24">
                  <c:v>2.1856923547030279E-2</c:v>
                </c:pt>
                <c:pt idx="25">
                  <c:v>1.378967896127168E-2</c:v>
                </c:pt>
                <c:pt idx="26">
                  <c:v>8.9769796429454134E-3</c:v>
                </c:pt>
                <c:pt idx="27">
                  <c:v>9.6603135489794281E-3</c:v>
                </c:pt>
                <c:pt idx="28">
                  <c:v>1.9057556017267681E-3</c:v>
                </c:pt>
                <c:pt idx="29">
                  <c:v>1.089573049287294E-3</c:v>
                </c:pt>
                <c:pt idx="30">
                  <c:v>6.1070754988405643E-3</c:v>
                </c:pt>
                <c:pt idx="31">
                  <c:v>5.1534996567553478E-3</c:v>
                </c:pt>
                <c:pt idx="32">
                  <c:v>8.575213149161284E-3</c:v>
                </c:pt>
                <c:pt idx="33">
                  <c:v>3.6515424895259109E-3</c:v>
                </c:pt>
                <c:pt idx="34">
                  <c:v>2.8464015691050701E-3</c:v>
                </c:pt>
                <c:pt idx="35">
                  <c:v>-1.5481509796765711E-3</c:v>
                </c:pt>
                <c:pt idx="36">
                  <c:v>-7.8630390100155219E-3</c:v>
                </c:pt>
                <c:pt idx="37">
                  <c:v>-5.6673672704681327E-3</c:v>
                </c:pt>
                <c:pt idx="38">
                  <c:v>-3.5142086949270829E-3</c:v>
                </c:pt>
                <c:pt idx="39">
                  <c:v>-1.4038711637311459E-2</c:v>
                </c:pt>
                <c:pt idx="40">
                  <c:v>1.7107123995061891E-3</c:v>
                </c:pt>
                <c:pt idx="41">
                  <c:v>7.686616233484214E-4</c:v>
                </c:pt>
                <c:pt idx="42">
                  <c:v>2.494923143091788E-3</c:v>
                </c:pt>
                <c:pt idx="43">
                  <c:v>2.99481713882501E-3</c:v>
                </c:pt>
                <c:pt idx="44">
                  <c:v>-1.297714182278672E-2</c:v>
                </c:pt>
                <c:pt idx="45">
                  <c:v>5.9091725580625509E-3</c:v>
                </c:pt>
                <c:pt idx="46">
                  <c:v>2.9051469043214231E-2</c:v>
                </c:pt>
                <c:pt idx="47">
                  <c:v>5.506724665597855E-2</c:v>
                </c:pt>
                <c:pt idx="48">
                  <c:v>6.4896799609135275E-2</c:v>
                </c:pt>
                <c:pt idx="49">
                  <c:v>3.7448770671879558E-2</c:v>
                </c:pt>
                <c:pt idx="50">
                  <c:v>8.6170656966827481E-3</c:v>
                </c:pt>
                <c:pt idx="51">
                  <c:v>3.7256539615498001E-3</c:v>
                </c:pt>
                <c:pt idx="52">
                  <c:v>-9.0800154966456416E-3</c:v>
                </c:pt>
                <c:pt idx="53">
                  <c:v>-2.120865892822893E-2</c:v>
                </c:pt>
                <c:pt idx="54">
                  <c:v>-2.4255606340919101E-2</c:v>
                </c:pt>
                <c:pt idx="55">
                  <c:v>-1.9741868378046451E-2</c:v>
                </c:pt>
                <c:pt idx="56">
                  <c:v>-1.4288677546684369E-2</c:v>
                </c:pt>
                <c:pt idx="57">
                  <c:v>-1.1758817634449361E-2</c:v>
                </c:pt>
                <c:pt idx="58">
                  <c:v>-1.2091303797543579E-2</c:v>
                </c:pt>
                <c:pt idx="59">
                  <c:v>-1.232872376797634E-2</c:v>
                </c:pt>
                <c:pt idx="60">
                  <c:v>-3.0294696983166332E-3</c:v>
                </c:pt>
                <c:pt idx="61">
                  <c:v>-1.0778100988191401E-2</c:v>
                </c:pt>
                <c:pt idx="62">
                  <c:v>-7.3039178315160973E-3</c:v>
                </c:pt>
                <c:pt idx="63">
                  <c:v>-6.0099121232437139E-3</c:v>
                </c:pt>
                <c:pt idx="64">
                  <c:v>9.3826425587657932E-4</c:v>
                </c:pt>
                <c:pt idx="65">
                  <c:v>4.2577779136481683E-3</c:v>
                </c:pt>
                <c:pt idx="66">
                  <c:v>9.9499174014875888E-3</c:v>
                </c:pt>
                <c:pt idx="67">
                  <c:v>1.091190735181127E-2</c:v>
                </c:pt>
                <c:pt idx="68">
                  <c:v>1.45295954755922E-2</c:v>
                </c:pt>
                <c:pt idx="69">
                  <c:v>1.791027330004203E-2</c:v>
                </c:pt>
                <c:pt idx="70">
                  <c:v>1.711510007205011E-2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1-4151-8F25-081E5592A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50196447"/>
        <c:axId val="450195615"/>
      </c:barChart>
      <c:lineChart>
        <c:grouping val="standard"/>
        <c:varyColors val="0"/>
        <c:ser>
          <c:idx val="0"/>
          <c:order val="0"/>
          <c:tx>
            <c:strRef>
              <c:f>Donnees_auto!$B$1</c:f>
              <c:strCache>
                <c:ptCount val="1"/>
                <c:pt idx="0">
                  <c:v>Indicateur de vulnérabilité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Donnees_auto!$B$2:$B$72</c:f>
              <c:numCache>
                <c:formatCode>General</c:formatCode>
                <c:ptCount val="71"/>
                <c:pt idx="0">
                  <c:v>0.75938862978570276</c:v>
                </c:pt>
                <c:pt idx="1">
                  <c:v>0.45363982679785431</c:v>
                </c:pt>
                <c:pt idx="2">
                  <c:v>0.2193589341089901</c:v>
                </c:pt>
                <c:pt idx="3">
                  <c:v>1.6394440049824752E-2</c:v>
                </c:pt>
                <c:pt idx="4">
                  <c:v>-8.4088459804528171E-2</c:v>
                </c:pt>
                <c:pt idx="5">
                  <c:v>-2.047166449028336E-2</c:v>
                </c:pt>
                <c:pt idx="6">
                  <c:v>1.9465936459070351E-2</c:v>
                </c:pt>
                <c:pt idx="7">
                  <c:v>-3.3287136568382683E-2</c:v>
                </c:pt>
                <c:pt idx="8">
                  <c:v>5.3537156589844592E-2</c:v>
                </c:pt>
                <c:pt idx="9">
                  <c:v>0.17257609828604761</c:v>
                </c:pt>
                <c:pt idx="10">
                  <c:v>0.37787769517013958</c:v>
                </c:pt>
                <c:pt idx="11">
                  <c:v>0.48899152224781439</c:v>
                </c:pt>
                <c:pt idx="12">
                  <c:v>0.47678880353304098</c:v>
                </c:pt>
                <c:pt idx="13">
                  <c:v>0.31222378477900398</c:v>
                </c:pt>
                <c:pt idx="14">
                  <c:v>0.23214152566910601</c:v>
                </c:pt>
                <c:pt idx="15">
                  <c:v>0.14244901911006569</c:v>
                </c:pt>
                <c:pt idx="16">
                  <c:v>9.3806664172490437E-2</c:v>
                </c:pt>
                <c:pt idx="17">
                  <c:v>5.9295366175094587E-2</c:v>
                </c:pt>
                <c:pt idx="18">
                  <c:v>3.2054502388262761E-2</c:v>
                </c:pt>
                <c:pt idx="19">
                  <c:v>1.7386966656672081E-3</c:v>
                </c:pt>
                <c:pt idx="20">
                  <c:v>-4.4151335847683187E-2</c:v>
                </c:pt>
                <c:pt idx="21">
                  <c:v>-4.2843722611845492E-2</c:v>
                </c:pt>
                <c:pt idx="22">
                  <c:v>-4.9236649366925789E-2</c:v>
                </c:pt>
                <c:pt idx="23">
                  <c:v>-7.9081510965803917E-2</c:v>
                </c:pt>
                <c:pt idx="24">
                  <c:v>-4.1744588979706169E-2</c:v>
                </c:pt>
                <c:pt idx="25">
                  <c:v>-5.7148391565720241E-2</c:v>
                </c:pt>
                <c:pt idx="26">
                  <c:v>-2.53837624947886E-2</c:v>
                </c:pt>
                <c:pt idx="27">
                  <c:v>6.2461387609336019E-2</c:v>
                </c:pt>
                <c:pt idx="28">
                  <c:v>1.130401712181122E-2</c:v>
                </c:pt>
                <c:pt idx="29">
                  <c:v>2.9979667942865952E-3</c:v>
                </c:pt>
                <c:pt idx="30">
                  <c:v>-2.6077613734069461E-2</c:v>
                </c:pt>
                <c:pt idx="31">
                  <c:v>-9.5975974788012272E-3</c:v>
                </c:pt>
                <c:pt idx="32">
                  <c:v>3.7080188319413072E-2</c:v>
                </c:pt>
                <c:pt idx="33">
                  <c:v>5.9778743308366682E-2</c:v>
                </c:pt>
                <c:pt idx="34">
                  <c:v>3.7432638746314917E-2</c:v>
                </c:pt>
                <c:pt idx="35">
                  <c:v>4.2860965699621313E-2</c:v>
                </c:pt>
                <c:pt idx="36">
                  <c:v>5.3701881733248587E-2</c:v>
                </c:pt>
                <c:pt idx="37">
                  <c:v>5.0836159682781462E-2</c:v>
                </c:pt>
                <c:pt idx="38">
                  <c:v>0.12708168501920261</c:v>
                </c:pt>
                <c:pt idx="39">
                  <c:v>0.165385033450859</c:v>
                </c:pt>
                <c:pt idx="40">
                  <c:v>0.1748484712444473</c:v>
                </c:pt>
                <c:pt idx="41">
                  <c:v>0.1441935172824699</c:v>
                </c:pt>
                <c:pt idx="42">
                  <c:v>0.20967698548054289</c:v>
                </c:pt>
                <c:pt idx="43">
                  <c:v>0.1965591442758948</c:v>
                </c:pt>
                <c:pt idx="44">
                  <c:v>0.32291821261851728</c:v>
                </c:pt>
                <c:pt idx="45">
                  <c:v>0.76090815272052814</c:v>
                </c:pt>
                <c:pt idx="46">
                  <c:v>0.85328957702918207</c:v>
                </c:pt>
                <c:pt idx="47">
                  <c:v>0.83385562400260205</c:v>
                </c:pt>
                <c:pt idx="48">
                  <c:v>0.69126148159882106</c:v>
                </c:pt>
                <c:pt idx="49">
                  <c:v>0.44892361734368869</c:v>
                </c:pt>
                <c:pt idx="50">
                  <c:v>0.33397941383928792</c:v>
                </c:pt>
                <c:pt idx="51">
                  <c:v>0.33075613244085927</c:v>
                </c:pt>
                <c:pt idx="52">
                  <c:v>0.41450916088720691</c:v>
                </c:pt>
                <c:pt idx="53">
                  <c:v>0.4432271088553465</c:v>
                </c:pt>
                <c:pt idx="54">
                  <c:v>0.58947479715779871</c:v>
                </c:pt>
                <c:pt idx="55">
                  <c:v>0.57286683222579027</c:v>
                </c:pt>
                <c:pt idx="56">
                  <c:v>0.51429712804782735</c:v>
                </c:pt>
                <c:pt idx="57">
                  <c:v>0.43021753643155602</c:v>
                </c:pt>
                <c:pt idx="58">
                  <c:v>0.31392670152686541</c:v>
                </c:pt>
                <c:pt idx="59">
                  <c:v>0.19626100708258351</c:v>
                </c:pt>
                <c:pt idx="60">
                  <c:v>2.5835035569923261E-2</c:v>
                </c:pt>
                <c:pt idx="61">
                  <c:v>-5.7036796162020405E-4</c:v>
                </c:pt>
                <c:pt idx="62">
                  <c:v>-1.1044406637812771E-3</c:v>
                </c:pt>
                <c:pt idx="63">
                  <c:v>-1.3430138444297669E-2</c:v>
                </c:pt>
                <c:pt idx="64">
                  <c:v>-3.7355474696075699E-3</c:v>
                </c:pt>
                <c:pt idx="65">
                  <c:v>-2.368793072880725E-2</c:v>
                </c:pt>
                <c:pt idx="66">
                  <c:v>-1.5081489416440949E-2</c:v>
                </c:pt>
                <c:pt idx="67">
                  <c:v>-1.389826660174899E-2</c:v>
                </c:pt>
                <c:pt idx="68">
                  <c:v>-1.802103738403403E-2</c:v>
                </c:pt>
                <c:pt idx="69">
                  <c:v>3.5066555421580069E-2</c:v>
                </c:pt>
                <c:pt idx="70">
                  <c:v>6.274798388346646E-2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D1-4151-8F25-081E5592A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196447"/>
        <c:axId val="450195615"/>
      </c:lineChart>
      <c:catAx>
        <c:axId val="450196447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0195615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45019561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50196447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18546195908187E-2"/>
          <c:y val="2.9275074491788702E-2"/>
          <c:w val="0.88410902104049882"/>
          <c:h val="0.74972578289149872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Donnees_auto!$D$1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Donnees_auto!$D$2:$D$72</c:f>
              <c:numCache>
                <c:formatCode>General</c:formatCode>
                <c:ptCount val="71"/>
                <c:pt idx="0">
                  <c:v>-3.3599883547810523E-2</c:v>
                </c:pt>
                <c:pt idx="1">
                  <c:v>-0.1245993203952518</c:v>
                </c:pt>
                <c:pt idx="2">
                  <c:v>-0.17547541952466111</c:v>
                </c:pt>
                <c:pt idx="3">
                  <c:v>-0.19225972957076551</c:v>
                </c:pt>
                <c:pt idx="4">
                  <c:v>-0.14952569434562529</c:v>
                </c:pt>
                <c:pt idx="5">
                  <c:v>-0.1050105783642432</c:v>
                </c:pt>
                <c:pt idx="6">
                  <c:v>-9.3981534229191324E-2</c:v>
                </c:pt>
                <c:pt idx="7">
                  <c:v>-2.887850285232664E-2</c:v>
                </c:pt>
                <c:pt idx="8">
                  <c:v>4.2168132643459061E-3</c:v>
                </c:pt>
                <c:pt idx="9">
                  <c:v>6.0030610342904467E-2</c:v>
                </c:pt>
                <c:pt idx="10">
                  <c:v>0.1258926126453935</c:v>
                </c:pt>
                <c:pt idx="11">
                  <c:v>0.1087962973474125</c:v>
                </c:pt>
                <c:pt idx="12">
                  <c:v>9.5627204026133339E-2</c:v>
                </c:pt>
                <c:pt idx="13">
                  <c:v>7.7741882966600784E-2</c:v>
                </c:pt>
                <c:pt idx="14">
                  <c:v>8.6973430038583977E-3</c:v>
                </c:pt>
                <c:pt idx="15">
                  <c:v>2.3120099873764989E-2</c:v>
                </c:pt>
                <c:pt idx="16">
                  <c:v>9.5372248556465818E-3</c:v>
                </c:pt>
                <c:pt idx="17">
                  <c:v>1.2041689494415661E-2</c:v>
                </c:pt>
                <c:pt idx="18">
                  <c:v>1.651869118852994E-2</c:v>
                </c:pt>
                <c:pt idx="19">
                  <c:v>-3.0887726439217389E-4</c:v>
                </c:pt>
                <c:pt idx="20">
                  <c:v>1.8777059067757101E-2</c:v>
                </c:pt>
                <c:pt idx="21">
                  <c:v>3.8430267711457779E-2</c:v>
                </c:pt>
                <c:pt idx="22">
                  <c:v>5.868268217011631E-2</c:v>
                </c:pt>
                <c:pt idx="23">
                  <c:v>6.219331071375412E-2</c:v>
                </c:pt>
                <c:pt idx="24">
                  <c:v>9.1330640506262065E-2</c:v>
                </c:pt>
                <c:pt idx="25">
                  <c:v>8.3599111512460522E-2</c:v>
                </c:pt>
                <c:pt idx="26">
                  <c:v>9.621167749860926E-2</c:v>
                </c:pt>
                <c:pt idx="27">
                  <c:v>0.12915011402184329</c:v>
                </c:pt>
                <c:pt idx="28">
                  <c:v>0.10331353080309021</c:v>
                </c:pt>
                <c:pt idx="29">
                  <c:v>0.13303743444916849</c:v>
                </c:pt>
                <c:pt idx="30">
                  <c:v>0.15547501846698331</c:v>
                </c:pt>
                <c:pt idx="31">
                  <c:v>0.1868678550138094</c:v>
                </c:pt>
                <c:pt idx="32">
                  <c:v>0.2442023058667066</c:v>
                </c:pt>
                <c:pt idx="33">
                  <c:v>0.28387363934004178</c:v>
                </c:pt>
                <c:pt idx="34">
                  <c:v>0.30532176559517848</c:v>
                </c:pt>
                <c:pt idx="35">
                  <c:v>0.32815084544367218</c:v>
                </c:pt>
                <c:pt idx="36">
                  <c:v>0.32992502029396881</c:v>
                </c:pt>
                <c:pt idx="37">
                  <c:v>0.32872263726493151</c:v>
                </c:pt>
                <c:pt idx="38">
                  <c:v>0.3450509308587304</c:v>
                </c:pt>
                <c:pt idx="39">
                  <c:v>0.34771257979299602</c:v>
                </c:pt>
                <c:pt idx="40">
                  <c:v>0.35441580025624508</c:v>
                </c:pt>
                <c:pt idx="41">
                  <c:v>0.35417582940446218</c:v>
                </c:pt>
                <c:pt idx="42">
                  <c:v>0.38039291482802079</c:v>
                </c:pt>
                <c:pt idx="43">
                  <c:v>0.38387213679183291</c:v>
                </c:pt>
                <c:pt idx="44">
                  <c:v>0.45127734612395148</c:v>
                </c:pt>
                <c:pt idx="45">
                  <c:v>0.67633922841706706</c:v>
                </c:pt>
                <c:pt idx="46">
                  <c:v>0.77138919591962551</c:v>
                </c:pt>
                <c:pt idx="47">
                  <c:v>0.78391946690046288</c:v>
                </c:pt>
                <c:pt idx="48">
                  <c:v>0.71738001907033377</c:v>
                </c:pt>
                <c:pt idx="49">
                  <c:v>0.55213308597050426</c:v>
                </c:pt>
                <c:pt idx="50">
                  <c:v>0.49255812096990842</c:v>
                </c:pt>
                <c:pt idx="51">
                  <c:v>0.50240000625713976</c:v>
                </c:pt>
                <c:pt idx="52">
                  <c:v>0.53557851128298184</c:v>
                </c:pt>
                <c:pt idx="53">
                  <c:v>0.53160076592420724</c:v>
                </c:pt>
                <c:pt idx="54">
                  <c:v>0.55427556363038266</c:v>
                </c:pt>
                <c:pt idx="55">
                  <c:v>0.52121002862686638</c:v>
                </c:pt>
                <c:pt idx="56">
                  <c:v>0.45047748593951831</c:v>
                </c:pt>
                <c:pt idx="57">
                  <c:v>0.31996545851235791</c:v>
                </c:pt>
                <c:pt idx="58">
                  <c:v>0.23209575628664059</c:v>
                </c:pt>
                <c:pt idx="59">
                  <c:v>0.1434082079363074</c:v>
                </c:pt>
                <c:pt idx="60">
                  <c:v>7.5383853573826362E-2</c:v>
                </c:pt>
                <c:pt idx="61">
                  <c:v>6.0874569681691602E-2</c:v>
                </c:pt>
                <c:pt idx="62">
                  <c:v>3.9448517589097593E-2</c:v>
                </c:pt>
                <c:pt idx="63">
                  <c:v>4.928779599848887E-2</c:v>
                </c:pt>
                <c:pt idx="64">
                  <c:v>7.3250687430598024E-2</c:v>
                </c:pt>
                <c:pt idx="65">
                  <c:v>8.940367176069422E-2</c:v>
                </c:pt>
                <c:pt idx="66">
                  <c:v>0.1177940348169985</c:v>
                </c:pt>
                <c:pt idx="67">
                  <c:v>0.13686539378563839</c:v>
                </c:pt>
                <c:pt idx="68">
                  <c:v>0.13436377580403941</c:v>
                </c:pt>
                <c:pt idx="69">
                  <c:v>0.14872483156366231</c:v>
                </c:pt>
                <c:pt idx="70">
                  <c:v>0.14872483156366231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F0-43DB-96CA-2E332EED14A8}"/>
            </c:ext>
          </c:extLst>
        </c:ser>
        <c:ser>
          <c:idx val="3"/>
          <c:order val="3"/>
          <c:tx>
            <c:strRef>
              <c:f>Donnees_auto!$E$1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Donnees_auto!$E$2:$E$72</c:f>
              <c:numCache>
                <c:formatCode>General</c:formatCode>
                <c:ptCount val="71"/>
                <c:pt idx="0">
                  <c:v>0.15807628525333131</c:v>
                </c:pt>
                <c:pt idx="1">
                  <c:v>8.0827066875595557E-2</c:v>
                </c:pt>
                <c:pt idx="2">
                  <c:v>7.5368742469298144E-2</c:v>
                </c:pt>
                <c:pt idx="3">
                  <c:v>2.8387072133174561E-2</c:v>
                </c:pt>
                <c:pt idx="4">
                  <c:v>-6.8805561126647416E-3</c:v>
                </c:pt>
                <c:pt idx="5">
                  <c:v>7.1557986033513789E-3</c:v>
                </c:pt>
                <c:pt idx="6">
                  <c:v>2.3916249525448539E-2</c:v>
                </c:pt>
                <c:pt idx="7">
                  <c:v>-6.8162534016352028E-2</c:v>
                </c:pt>
                <c:pt idx="8">
                  <c:v>-6.6836647302081446E-4</c:v>
                </c:pt>
                <c:pt idx="9">
                  <c:v>2.9632419282957349E-2</c:v>
                </c:pt>
                <c:pt idx="10">
                  <c:v>1.48563031548208E-2</c:v>
                </c:pt>
                <c:pt idx="11">
                  <c:v>7.6993710284746636E-2</c:v>
                </c:pt>
                <c:pt idx="12">
                  <c:v>0.14547381931494471</c:v>
                </c:pt>
                <c:pt idx="13">
                  <c:v>2.2967340471773501E-2</c:v>
                </c:pt>
                <c:pt idx="14">
                  <c:v>2.890743078500083E-2</c:v>
                </c:pt>
                <c:pt idx="15">
                  <c:v>6.6442896790399816E-4</c:v>
                </c:pt>
                <c:pt idx="16">
                  <c:v>2.7185229692434799E-2</c:v>
                </c:pt>
                <c:pt idx="17">
                  <c:v>2.1814733048122698E-3</c:v>
                </c:pt>
                <c:pt idx="18">
                  <c:v>-1.3414201150184549E-2</c:v>
                </c:pt>
                <c:pt idx="19">
                  <c:v>-6.3019319069576411E-4</c:v>
                </c:pt>
                <c:pt idx="20">
                  <c:v>-1.6322955091750468E-2</c:v>
                </c:pt>
                <c:pt idx="21">
                  <c:v>-2.1530262146002319E-2</c:v>
                </c:pt>
                <c:pt idx="22">
                  <c:v>-6.745430784391826E-2</c:v>
                </c:pt>
                <c:pt idx="23">
                  <c:v>-9.226168545691632E-2</c:v>
                </c:pt>
                <c:pt idx="24">
                  <c:v>-9.3315704841681932E-2</c:v>
                </c:pt>
                <c:pt idx="25">
                  <c:v>-9.3818681743563989E-2</c:v>
                </c:pt>
                <c:pt idx="26">
                  <c:v>-0.10516317278893959</c:v>
                </c:pt>
                <c:pt idx="27">
                  <c:v>-6.1955434042970277E-2</c:v>
                </c:pt>
                <c:pt idx="28">
                  <c:v>-8.7637271796090807E-2</c:v>
                </c:pt>
                <c:pt idx="29">
                  <c:v>-8.8109998574052245E-2</c:v>
                </c:pt>
                <c:pt idx="30">
                  <c:v>-0.12890786689234629</c:v>
                </c:pt>
                <c:pt idx="31">
                  <c:v>-0.13253212534790559</c:v>
                </c:pt>
                <c:pt idx="32">
                  <c:v>-0.1173579832724404</c:v>
                </c:pt>
                <c:pt idx="33">
                  <c:v>-0.1146689978112557</c:v>
                </c:pt>
                <c:pt idx="34">
                  <c:v>-0.1159950596229344</c:v>
                </c:pt>
                <c:pt idx="35">
                  <c:v>-0.12514489437971379</c:v>
                </c:pt>
                <c:pt idx="36">
                  <c:v>-0.1189219893596014</c:v>
                </c:pt>
                <c:pt idx="37">
                  <c:v>-0.14579909052782131</c:v>
                </c:pt>
                <c:pt idx="38">
                  <c:v>-0.12348017533120489</c:v>
                </c:pt>
                <c:pt idx="39">
                  <c:v>-0.1233037110121</c:v>
                </c:pt>
                <c:pt idx="40">
                  <c:v>-0.13222252049544109</c:v>
                </c:pt>
                <c:pt idx="41">
                  <c:v>-0.14073388682220589</c:v>
                </c:pt>
                <c:pt idx="42">
                  <c:v>-0.10870180920893539</c:v>
                </c:pt>
                <c:pt idx="43">
                  <c:v>-0.1158977283228967</c:v>
                </c:pt>
                <c:pt idx="44">
                  <c:v>-0.10055836131805029</c:v>
                </c:pt>
                <c:pt idx="45">
                  <c:v>-8.4001191782704321E-2</c:v>
                </c:pt>
                <c:pt idx="46">
                  <c:v>-0.1205583684502857</c:v>
                </c:pt>
                <c:pt idx="47">
                  <c:v>-5.3600292597632132E-2</c:v>
                </c:pt>
                <c:pt idx="48">
                  <c:v>-6.3152397241172054E-2</c:v>
                </c:pt>
                <c:pt idx="49">
                  <c:v>-0.12747811608564871</c:v>
                </c:pt>
                <c:pt idx="50">
                  <c:v>-0.12621947539471429</c:v>
                </c:pt>
                <c:pt idx="51">
                  <c:v>-0.124516015998105</c:v>
                </c:pt>
                <c:pt idx="52">
                  <c:v>-0.12000484158304529</c:v>
                </c:pt>
                <c:pt idx="53">
                  <c:v>-0.11254364508035911</c:v>
                </c:pt>
                <c:pt idx="54">
                  <c:v>-3.075790418546849E-2</c:v>
                </c:pt>
                <c:pt idx="55">
                  <c:v>9.5219168291139668E-3</c:v>
                </c:pt>
                <c:pt idx="56">
                  <c:v>8.9759336681875967E-2</c:v>
                </c:pt>
                <c:pt idx="57">
                  <c:v>0.1208513105376466</c:v>
                </c:pt>
                <c:pt idx="58">
                  <c:v>0.14060099466843129</c:v>
                </c:pt>
                <c:pt idx="59">
                  <c:v>0.1212205078223363</c:v>
                </c:pt>
                <c:pt idx="60">
                  <c:v>7.6666621474097071E-2</c:v>
                </c:pt>
                <c:pt idx="61">
                  <c:v>3.680090000107851E-2</c:v>
                </c:pt>
                <c:pt idx="62">
                  <c:v>3.2294330310950921E-2</c:v>
                </c:pt>
                <c:pt idx="63">
                  <c:v>2.7464468183422099E-2</c:v>
                </c:pt>
                <c:pt idx="64">
                  <c:v>3.0099336994425251E-2</c:v>
                </c:pt>
                <c:pt idx="65">
                  <c:v>-1.00669849421165E-2</c:v>
                </c:pt>
                <c:pt idx="66">
                  <c:v>2.272014369216576E-2</c:v>
                </c:pt>
                <c:pt idx="67">
                  <c:v>6.3115894370038544E-3</c:v>
                </c:pt>
                <c:pt idx="68">
                  <c:v>2.1087579584774072E-2</c:v>
                </c:pt>
                <c:pt idx="69">
                  <c:v>5.8424826415418032E-2</c:v>
                </c:pt>
                <c:pt idx="70">
                  <c:v>8.4262463222082168E-2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F0-43DB-96CA-2E332EED14A8}"/>
            </c:ext>
          </c:extLst>
        </c:ser>
        <c:ser>
          <c:idx val="4"/>
          <c:order val="4"/>
          <c:tx>
            <c:strRef>
              <c:f>Donnees_auto!$F$1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Donnees_auto!$F$2:$F$72</c:f>
              <c:numCache>
                <c:formatCode>General</c:formatCode>
                <c:ptCount val="71"/>
                <c:pt idx="0">
                  <c:v>0.68162432689556574</c:v>
                </c:pt>
                <c:pt idx="1">
                  <c:v>0.52180621273179684</c:v>
                </c:pt>
                <c:pt idx="2">
                  <c:v>0.28558688511061492</c:v>
                </c:pt>
                <c:pt idx="3">
                  <c:v>0.14661446909210241</c:v>
                </c:pt>
                <c:pt idx="4">
                  <c:v>8.7654506122701342E-2</c:v>
                </c:pt>
                <c:pt idx="5">
                  <c:v>0.1009077655759178</c:v>
                </c:pt>
                <c:pt idx="6">
                  <c:v>8.8001168588685397E-2</c:v>
                </c:pt>
                <c:pt idx="7">
                  <c:v>4.2042725293356967E-2</c:v>
                </c:pt>
                <c:pt idx="8">
                  <c:v>1.0398089028693311E-2</c:v>
                </c:pt>
                <c:pt idx="9">
                  <c:v>1.386912548059074E-2</c:v>
                </c:pt>
                <c:pt idx="10">
                  <c:v>0.1687474544009776</c:v>
                </c:pt>
                <c:pt idx="11">
                  <c:v>0.2180881013740541</c:v>
                </c:pt>
                <c:pt idx="12">
                  <c:v>0.1623564743097986</c:v>
                </c:pt>
                <c:pt idx="13">
                  <c:v>0.1503552600638112</c:v>
                </c:pt>
                <c:pt idx="14">
                  <c:v>0.11192907133567311</c:v>
                </c:pt>
                <c:pt idx="15">
                  <c:v>3.6028512092666498E-2</c:v>
                </c:pt>
                <c:pt idx="16">
                  <c:v>-6.961217003448629E-3</c:v>
                </c:pt>
                <c:pt idx="17">
                  <c:v>-1.445626969879326E-2</c:v>
                </c:pt>
                <c:pt idx="18">
                  <c:v>-2.1850858410701422E-2</c:v>
                </c:pt>
                <c:pt idx="19">
                  <c:v>-5.5668051269003968E-2</c:v>
                </c:pt>
                <c:pt idx="20">
                  <c:v>-8.6321531371677737E-2</c:v>
                </c:pt>
                <c:pt idx="21">
                  <c:v>-0.1090440067215733</c:v>
                </c:pt>
                <c:pt idx="22">
                  <c:v>-8.7186124061559553E-2</c:v>
                </c:pt>
                <c:pt idx="23">
                  <c:v>-7.1850885044320217E-2</c:v>
                </c:pt>
                <c:pt idx="24">
                  <c:v>-8.2980656115000648E-2</c:v>
                </c:pt>
                <c:pt idx="25">
                  <c:v>-7.907569845444673E-2</c:v>
                </c:pt>
                <c:pt idx="26">
                  <c:v>-4.3877668419678321E-2</c:v>
                </c:pt>
                <c:pt idx="27">
                  <c:v>-2.827254534517094E-2</c:v>
                </c:pt>
                <c:pt idx="28">
                  <c:v>9.7056845322205029E-3</c:v>
                </c:pt>
                <c:pt idx="29">
                  <c:v>-3.6509432569940582E-2</c:v>
                </c:pt>
                <c:pt idx="30">
                  <c:v>-5.3881299298418762E-2</c:v>
                </c:pt>
                <c:pt idx="31">
                  <c:v>-5.7927760943371411E-2</c:v>
                </c:pt>
                <c:pt idx="32">
                  <c:v>-7.4695527228518299E-2</c:v>
                </c:pt>
                <c:pt idx="33">
                  <c:v>-8.963430257819921E-2</c:v>
                </c:pt>
                <c:pt idx="34">
                  <c:v>-0.12645622251653599</c:v>
                </c:pt>
                <c:pt idx="35">
                  <c:v>-0.129948872127092</c:v>
                </c:pt>
                <c:pt idx="36">
                  <c:v>-0.11914442727153619</c:v>
                </c:pt>
                <c:pt idx="37">
                  <c:v>-9.9346781472320081E-2</c:v>
                </c:pt>
                <c:pt idx="38">
                  <c:v>-7.845503993448559E-2</c:v>
                </c:pt>
                <c:pt idx="39">
                  <c:v>-3.9671497476214478E-2</c:v>
                </c:pt>
                <c:pt idx="40">
                  <c:v>-3.3343460296481033E-2</c:v>
                </c:pt>
                <c:pt idx="41">
                  <c:v>-6.9933793935040511E-2</c:v>
                </c:pt>
                <c:pt idx="42">
                  <c:v>-8.2942510918223744E-2</c:v>
                </c:pt>
                <c:pt idx="43">
                  <c:v>-8.4549879537773306E-2</c:v>
                </c:pt>
                <c:pt idx="44">
                  <c:v>-3.3761288078555197E-2</c:v>
                </c:pt>
                <c:pt idx="45">
                  <c:v>6.5870024173803166E-2</c:v>
                </c:pt>
                <c:pt idx="46">
                  <c:v>-1.8382968672687339E-2</c:v>
                </c:pt>
                <c:pt idx="47">
                  <c:v>-5.7401519884720538E-2</c:v>
                </c:pt>
                <c:pt idx="48">
                  <c:v>-9.941397072492629E-2</c:v>
                </c:pt>
                <c:pt idx="49">
                  <c:v>-0.11429494859811171</c:v>
                </c:pt>
                <c:pt idx="50">
                  <c:v>-0.1127207842781069</c:v>
                </c:pt>
                <c:pt idx="51">
                  <c:v>-9.5056526835772509E-2</c:v>
                </c:pt>
                <c:pt idx="52">
                  <c:v>-5.9459251091066541E-2</c:v>
                </c:pt>
                <c:pt idx="53">
                  <c:v>-4.0376515330403234E-3</c:v>
                </c:pt>
                <c:pt idx="54">
                  <c:v>5.4203356068703738E-2</c:v>
                </c:pt>
                <c:pt idx="55">
                  <c:v>4.3126803585201018E-2</c:v>
                </c:pt>
                <c:pt idx="56">
                  <c:v>-1.52522851297068E-2</c:v>
                </c:pt>
                <c:pt idx="57">
                  <c:v>-5.0943611165930238E-3</c:v>
                </c:pt>
                <c:pt idx="58">
                  <c:v>-2.503681928249912E-2</c:v>
                </c:pt>
                <c:pt idx="59">
                  <c:v>-2.172098793948482E-2</c:v>
                </c:pt>
                <c:pt idx="60">
                  <c:v>-6.8336038268575774E-2</c:v>
                </c:pt>
                <c:pt idx="61">
                  <c:v>-6.9109651502383365E-2</c:v>
                </c:pt>
                <c:pt idx="62">
                  <c:v>-5.5022029181791013E-2</c:v>
                </c:pt>
                <c:pt idx="63">
                  <c:v>-7.355489806823641E-2</c:v>
                </c:pt>
                <c:pt idx="64">
                  <c:v>-8.55434695141086E-2</c:v>
                </c:pt>
                <c:pt idx="65">
                  <c:v>-6.6011473301298931E-2</c:v>
                </c:pt>
                <c:pt idx="66">
                  <c:v>-0.1020843132964132</c:v>
                </c:pt>
                <c:pt idx="67">
                  <c:v>-9.8150536262722937E-2</c:v>
                </c:pt>
                <c:pt idx="68">
                  <c:v>-0.1028601572103827</c:v>
                </c:pt>
                <c:pt idx="69">
                  <c:v>-0.1048515448194853</c:v>
                </c:pt>
                <c:pt idx="70">
                  <c:v>-0.1022125799362711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F0-43DB-96CA-2E332EED14A8}"/>
            </c:ext>
          </c:extLst>
        </c:ser>
        <c:ser>
          <c:idx val="5"/>
          <c:order val="5"/>
          <c:tx>
            <c:strRef>
              <c:f>Donnees_auto!$G$1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Donnees_auto!$G$2:$G$72</c:f>
              <c:numCache>
                <c:formatCode>General</c:formatCode>
                <c:ptCount val="71"/>
                <c:pt idx="0">
                  <c:v>-2.0610240157681269E-2</c:v>
                </c:pt>
                <c:pt idx="1">
                  <c:v>-1.3092621062153821E-2</c:v>
                </c:pt>
                <c:pt idx="2">
                  <c:v>1.659132931263264E-2</c:v>
                </c:pt>
                <c:pt idx="3">
                  <c:v>2.4996370649061399E-2</c:v>
                </c:pt>
                <c:pt idx="4">
                  <c:v>-2.6742978416793271E-2</c:v>
                </c:pt>
                <c:pt idx="5">
                  <c:v>-1.357100141732949E-2</c:v>
                </c:pt>
                <c:pt idx="6">
                  <c:v>7.5824493921410399E-3</c:v>
                </c:pt>
                <c:pt idx="7">
                  <c:v>3.1115114127759441E-2</c:v>
                </c:pt>
                <c:pt idx="8">
                  <c:v>4.5990864121159998E-2</c:v>
                </c:pt>
                <c:pt idx="9">
                  <c:v>7.7883922716461662E-2</c:v>
                </c:pt>
                <c:pt idx="10">
                  <c:v>9.3017004108295637E-2</c:v>
                </c:pt>
                <c:pt idx="11">
                  <c:v>9.1859228708529778E-2</c:v>
                </c:pt>
                <c:pt idx="12">
                  <c:v>7.3985047399860782E-2</c:v>
                </c:pt>
                <c:pt idx="13">
                  <c:v>6.5110418533404907E-2</c:v>
                </c:pt>
                <c:pt idx="14">
                  <c:v>7.6965985186592853E-2</c:v>
                </c:pt>
                <c:pt idx="15">
                  <c:v>8.317873049898486E-2</c:v>
                </c:pt>
                <c:pt idx="16">
                  <c:v>6.703963259573352E-2</c:v>
                </c:pt>
                <c:pt idx="17">
                  <c:v>6.086011590802063E-2</c:v>
                </c:pt>
                <c:pt idx="18">
                  <c:v>4.4273373311089673E-2</c:v>
                </c:pt>
                <c:pt idx="19">
                  <c:v>5.3585728780266413E-2</c:v>
                </c:pt>
                <c:pt idx="20">
                  <c:v>2.8998180632780202E-2</c:v>
                </c:pt>
                <c:pt idx="21">
                  <c:v>4.2525663447081877E-2</c:v>
                </c:pt>
                <c:pt idx="22">
                  <c:v>3.9010820621000912E-2</c:v>
                </c:pt>
                <c:pt idx="23">
                  <c:v>2.281364793939461E-2</c:v>
                </c:pt>
                <c:pt idx="24">
                  <c:v>2.136420792368408E-2</c:v>
                </c:pt>
                <c:pt idx="25">
                  <c:v>1.8357198158558241E-2</c:v>
                </c:pt>
                <c:pt idx="26">
                  <c:v>1.8468421572274681E-2</c:v>
                </c:pt>
                <c:pt idx="27">
                  <c:v>1.3878939426654489E-2</c:v>
                </c:pt>
                <c:pt idx="28">
                  <c:v>-1.598368201913547E-2</c:v>
                </c:pt>
                <c:pt idx="29">
                  <c:v>-6.5096095601763536E-3</c:v>
                </c:pt>
                <c:pt idx="30">
                  <c:v>-4.8705415091282907E-3</c:v>
                </c:pt>
                <c:pt idx="31">
                  <c:v>-1.1159065858089E-2</c:v>
                </c:pt>
                <c:pt idx="32">
                  <c:v>-2.3643820195496119E-2</c:v>
                </c:pt>
                <c:pt idx="33">
                  <c:v>-2.3443138131746141E-2</c:v>
                </c:pt>
                <c:pt idx="34">
                  <c:v>-2.828424627849822E-2</c:v>
                </c:pt>
                <c:pt idx="35">
                  <c:v>-2.8647962257568459E-2</c:v>
                </c:pt>
                <c:pt idx="36">
                  <c:v>-3.0293682919567098E-2</c:v>
                </c:pt>
                <c:pt idx="37">
                  <c:v>-2.7073238311540609E-2</c:v>
                </c:pt>
                <c:pt idx="38">
                  <c:v>-1.2519821878910089E-2</c:v>
                </c:pt>
                <c:pt idx="39">
                  <c:v>-5.3136262165109881E-3</c:v>
                </c:pt>
                <c:pt idx="40">
                  <c:v>-1.5712060619381941E-2</c:v>
                </c:pt>
                <c:pt idx="41">
                  <c:v>-8.3292988094355036E-5</c:v>
                </c:pt>
                <c:pt idx="42">
                  <c:v>1.8433467636589419E-2</c:v>
                </c:pt>
                <c:pt idx="43">
                  <c:v>1.0139798205906939E-2</c:v>
                </c:pt>
                <c:pt idx="44">
                  <c:v>1.8937657713957969E-2</c:v>
                </c:pt>
                <c:pt idx="45">
                  <c:v>9.6790919354299593E-2</c:v>
                </c:pt>
                <c:pt idx="46">
                  <c:v>0.1917902491893152</c:v>
                </c:pt>
                <c:pt idx="47">
                  <c:v>0.1058707229285135</c:v>
                </c:pt>
                <c:pt idx="48">
                  <c:v>7.1551030885450242E-2</c:v>
                </c:pt>
                <c:pt idx="49">
                  <c:v>0.1011148253850653</c:v>
                </c:pt>
                <c:pt idx="50">
                  <c:v>7.1744486845518041E-2</c:v>
                </c:pt>
                <c:pt idx="51">
                  <c:v>4.4203015056047221E-2</c:v>
                </c:pt>
                <c:pt idx="52">
                  <c:v>6.7474757774982699E-2</c:v>
                </c:pt>
                <c:pt idx="53">
                  <c:v>4.9416298472767503E-2</c:v>
                </c:pt>
                <c:pt idx="54">
                  <c:v>3.6009387985099901E-2</c:v>
                </c:pt>
                <c:pt idx="55">
                  <c:v>1.874995156265544E-2</c:v>
                </c:pt>
                <c:pt idx="56">
                  <c:v>3.6012681028243722E-3</c:v>
                </c:pt>
                <c:pt idx="57">
                  <c:v>6.2539461325938914E-3</c:v>
                </c:pt>
                <c:pt idx="58">
                  <c:v>-2.1641926348163879E-2</c:v>
                </c:pt>
                <c:pt idx="59">
                  <c:v>-3.4317996968599017E-2</c:v>
                </c:pt>
                <c:pt idx="60">
                  <c:v>-5.4849931511107772E-2</c:v>
                </c:pt>
                <c:pt idx="61">
                  <c:v>-1.835808515381554E-2</c:v>
                </c:pt>
                <c:pt idx="62">
                  <c:v>-1.052134155052268E-2</c:v>
                </c:pt>
                <c:pt idx="63">
                  <c:v>-1.0617592434728519E-2</c:v>
                </c:pt>
                <c:pt idx="64">
                  <c:v>-2.2480366636398848E-2</c:v>
                </c:pt>
                <c:pt idx="65">
                  <c:v>-4.1270922159734227E-2</c:v>
                </c:pt>
                <c:pt idx="66">
                  <c:v>-6.3461272030679527E-2</c:v>
                </c:pt>
                <c:pt idx="67">
                  <c:v>-6.9836620913479613E-2</c:v>
                </c:pt>
                <c:pt idx="68">
                  <c:v>-8.5141831038056948E-2</c:v>
                </c:pt>
                <c:pt idx="69">
                  <c:v>-8.5141831038056948E-2</c:v>
                </c:pt>
                <c:pt idx="70">
                  <c:v>-8.5141831038056948E-2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F0-43DB-96CA-2E332EED14A8}"/>
            </c:ext>
          </c:extLst>
        </c:ser>
        <c:ser>
          <c:idx val="6"/>
          <c:order val="6"/>
          <c:tx>
            <c:strRef>
              <c:f>Donnees_auto!$H$1</c:f>
              <c:strCache>
                <c:ptCount val="1"/>
                <c:pt idx="0">
                  <c:v>Valorisation sur les marchés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val>
            <c:numRef>
              <c:f>Donnees_auto!$H$2:$H$72</c:f>
              <c:numCache>
                <c:formatCode>General</c:formatCode>
                <c:ptCount val="71"/>
                <c:pt idx="0">
                  <c:v>-2.6101858657702669E-2</c:v>
                </c:pt>
                <c:pt idx="1">
                  <c:v>-1.1301511352132591E-2</c:v>
                </c:pt>
                <c:pt idx="2">
                  <c:v>1.7287396741105469E-2</c:v>
                </c:pt>
                <c:pt idx="3">
                  <c:v>8.6562577462518664E-3</c:v>
                </c:pt>
                <c:pt idx="4">
                  <c:v>1.140626294785382E-2</c:v>
                </c:pt>
                <c:pt idx="5">
                  <c:v>-9.9536488879797807E-3</c:v>
                </c:pt>
                <c:pt idx="6">
                  <c:v>-6.0523968180133097E-3</c:v>
                </c:pt>
                <c:pt idx="7">
                  <c:v>-9.4039391208204197E-3</c:v>
                </c:pt>
                <c:pt idx="8">
                  <c:v>-6.4002433513338144E-3</c:v>
                </c:pt>
                <c:pt idx="9">
                  <c:v>-8.8399795368665924E-3</c:v>
                </c:pt>
                <c:pt idx="10">
                  <c:v>-2.4635679139347819E-2</c:v>
                </c:pt>
                <c:pt idx="11">
                  <c:v>-6.7458154669285883E-3</c:v>
                </c:pt>
                <c:pt idx="12">
                  <c:v>-6.5374151769636776E-4</c:v>
                </c:pt>
                <c:pt idx="13">
                  <c:v>-3.9511172565864158E-3</c:v>
                </c:pt>
                <c:pt idx="14">
                  <c:v>5.6416953579807739E-3</c:v>
                </c:pt>
                <c:pt idx="15">
                  <c:v>-5.4275232325467875E-4</c:v>
                </c:pt>
                <c:pt idx="16">
                  <c:v>-2.99420596787583E-3</c:v>
                </c:pt>
                <c:pt idx="17">
                  <c:v>-1.331642833360706E-3</c:v>
                </c:pt>
                <c:pt idx="18">
                  <c:v>6.5274974495291146E-3</c:v>
                </c:pt>
                <c:pt idx="19">
                  <c:v>4.7600896094927092E-3</c:v>
                </c:pt>
                <c:pt idx="20">
                  <c:v>1.071791091520773E-2</c:v>
                </c:pt>
                <c:pt idx="21">
                  <c:v>6.7746150971904791E-3</c:v>
                </c:pt>
                <c:pt idx="22">
                  <c:v>7.7102797474347916E-3</c:v>
                </c:pt>
                <c:pt idx="23">
                  <c:v>2.410088228389535E-5</c:v>
                </c:pt>
                <c:pt idx="24">
                  <c:v>2.1856923547030279E-2</c:v>
                </c:pt>
                <c:pt idx="25">
                  <c:v>1.378967896127168E-2</c:v>
                </c:pt>
                <c:pt idx="26">
                  <c:v>8.9769796429454134E-3</c:v>
                </c:pt>
                <c:pt idx="27">
                  <c:v>9.6603135489794281E-3</c:v>
                </c:pt>
                <c:pt idx="28">
                  <c:v>1.9057556017267681E-3</c:v>
                </c:pt>
                <c:pt idx="29">
                  <c:v>1.089573049287294E-3</c:v>
                </c:pt>
                <c:pt idx="30">
                  <c:v>6.1070754988405643E-3</c:v>
                </c:pt>
                <c:pt idx="31">
                  <c:v>5.1534996567553478E-3</c:v>
                </c:pt>
                <c:pt idx="32">
                  <c:v>8.575213149161284E-3</c:v>
                </c:pt>
                <c:pt idx="33">
                  <c:v>3.6515424895259109E-3</c:v>
                </c:pt>
                <c:pt idx="34">
                  <c:v>2.8464015691050701E-3</c:v>
                </c:pt>
                <c:pt idx="35">
                  <c:v>-1.5481509796765711E-3</c:v>
                </c:pt>
                <c:pt idx="36">
                  <c:v>-7.8630390100155219E-3</c:v>
                </c:pt>
                <c:pt idx="37">
                  <c:v>-5.6673672704681327E-3</c:v>
                </c:pt>
                <c:pt idx="38">
                  <c:v>-3.5142086949270829E-3</c:v>
                </c:pt>
                <c:pt idx="39">
                  <c:v>-1.4038711637311459E-2</c:v>
                </c:pt>
                <c:pt idx="40">
                  <c:v>1.7107123995061891E-3</c:v>
                </c:pt>
                <c:pt idx="41">
                  <c:v>7.686616233484214E-4</c:v>
                </c:pt>
                <c:pt idx="42">
                  <c:v>2.494923143091788E-3</c:v>
                </c:pt>
                <c:pt idx="43">
                  <c:v>2.99481713882501E-3</c:v>
                </c:pt>
                <c:pt idx="44">
                  <c:v>-1.297714182278672E-2</c:v>
                </c:pt>
                <c:pt idx="45">
                  <c:v>5.9091725580625509E-3</c:v>
                </c:pt>
                <c:pt idx="46">
                  <c:v>2.9051469043214231E-2</c:v>
                </c:pt>
                <c:pt idx="47">
                  <c:v>5.506724665597855E-2</c:v>
                </c:pt>
                <c:pt idx="48">
                  <c:v>6.4896799609135275E-2</c:v>
                </c:pt>
                <c:pt idx="49">
                  <c:v>3.7448770671879558E-2</c:v>
                </c:pt>
                <c:pt idx="50">
                  <c:v>8.6170656966827481E-3</c:v>
                </c:pt>
                <c:pt idx="51">
                  <c:v>3.7256539615498001E-3</c:v>
                </c:pt>
                <c:pt idx="52">
                  <c:v>-9.0800154966456416E-3</c:v>
                </c:pt>
                <c:pt idx="53">
                  <c:v>-2.120865892822893E-2</c:v>
                </c:pt>
                <c:pt idx="54">
                  <c:v>-2.4255606340919101E-2</c:v>
                </c:pt>
                <c:pt idx="55">
                  <c:v>-1.9741868378046451E-2</c:v>
                </c:pt>
                <c:pt idx="56">
                  <c:v>-1.4288677546684369E-2</c:v>
                </c:pt>
                <c:pt idx="57">
                  <c:v>-1.1758817634449361E-2</c:v>
                </c:pt>
                <c:pt idx="58">
                  <c:v>-1.2091303797543579E-2</c:v>
                </c:pt>
                <c:pt idx="59">
                  <c:v>-1.232872376797634E-2</c:v>
                </c:pt>
                <c:pt idx="60">
                  <c:v>-3.0294696983166332E-3</c:v>
                </c:pt>
                <c:pt idx="61">
                  <c:v>-1.0778100988191401E-2</c:v>
                </c:pt>
                <c:pt idx="62">
                  <c:v>-7.3039178315160973E-3</c:v>
                </c:pt>
                <c:pt idx="63">
                  <c:v>-6.0099121232437139E-3</c:v>
                </c:pt>
                <c:pt idx="64">
                  <c:v>9.3826425587657932E-4</c:v>
                </c:pt>
                <c:pt idx="65">
                  <c:v>4.2577779136481683E-3</c:v>
                </c:pt>
                <c:pt idx="66">
                  <c:v>9.9499174014875888E-3</c:v>
                </c:pt>
                <c:pt idx="67">
                  <c:v>1.091190735181127E-2</c:v>
                </c:pt>
                <c:pt idx="68">
                  <c:v>1.45295954755922E-2</c:v>
                </c:pt>
                <c:pt idx="69">
                  <c:v>1.791027330004203E-2</c:v>
                </c:pt>
                <c:pt idx="70">
                  <c:v>1.711510007205011E-2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5-4616-8A4F-40BEB5F2B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7633855"/>
        <c:axId val="67635103"/>
      </c:barChart>
      <c:lineChart>
        <c:grouping val="standard"/>
        <c:varyColors val="0"/>
        <c:ser>
          <c:idx val="0"/>
          <c:order val="0"/>
          <c:tx>
            <c:strRef>
              <c:f>Donnees_auto!$B$1</c:f>
              <c:strCache>
                <c:ptCount val="1"/>
                <c:pt idx="0">
                  <c:v>Indicateur de vulnérabilité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Donnees_auto!$B$2:$B$72</c:f>
              <c:numCache>
                <c:formatCode>General</c:formatCode>
                <c:ptCount val="71"/>
                <c:pt idx="0">
                  <c:v>0.75938862978570276</c:v>
                </c:pt>
                <c:pt idx="1">
                  <c:v>0.45363982679785431</c:v>
                </c:pt>
                <c:pt idx="2">
                  <c:v>0.2193589341089901</c:v>
                </c:pt>
                <c:pt idx="3">
                  <c:v>1.6394440049824752E-2</c:v>
                </c:pt>
                <c:pt idx="4">
                  <c:v>-8.4088459804528171E-2</c:v>
                </c:pt>
                <c:pt idx="5">
                  <c:v>-2.047166449028336E-2</c:v>
                </c:pt>
                <c:pt idx="6">
                  <c:v>1.9465936459070351E-2</c:v>
                </c:pt>
                <c:pt idx="7">
                  <c:v>-3.3287136568382683E-2</c:v>
                </c:pt>
                <c:pt idx="8">
                  <c:v>5.3537156589844592E-2</c:v>
                </c:pt>
                <c:pt idx="9">
                  <c:v>0.17257609828604761</c:v>
                </c:pt>
                <c:pt idx="10">
                  <c:v>0.37787769517013958</c:v>
                </c:pt>
                <c:pt idx="11">
                  <c:v>0.48899152224781439</c:v>
                </c:pt>
                <c:pt idx="12">
                  <c:v>0.47678880353304098</c:v>
                </c:pt>
                <c:pt idx="13">
                  <c:v>0.31222378477900398</c:v>
                </c:pt>
                <c:pt idx="14">
                  <c:v>0.23214152566910601</c:v>
                </c:pt>
                <c:pt idx="15">
                  <c:v>0.14244901911006569</c:v>
                </c:pt>
                <c:pt idx="16">
                  <c:v>9.3806664172490437E-2</c:v>
                </c:pt>
                <c:pt idx="17">
                  <c:v>5.9295366175094587E-2</c:v>
                </c:pt>
                <c:pt idx="18">
                  <c:v>3.2054502388262761E-2</c:v>
                </c:pt>
                <c:pt idx="19">
                  <c:v>1.7386966656672081E-3</c:v>
                </c:pt>
                <c:pt idx="20">
                  <c:v>-4.4151335847683187E-2</c:v>
                </c:pt>
                <c:pt idx="21">
                  <c:v>-4.2843722611845492E-2</c:v>
                </c:pt>
                <c:pt idx="22">
                  <c:v>-4.9236649366925789E-2</c:v>
                </c:pt>
                <c:pt idx="23">
                  <c:v>-7.9081510965803917E-2</c:v>
                </c:pt>
                <c:pt idx="24">
                  <c:v>-4.1744588979706169E-2</c:v>
                </c:pt>
                <c:pt idx="25">
                  <c:v>-5.7148391565720241E-2</c:v>
                </c:pt>
                <c:pt idx="26">
                  <c:v>-2.53837624947886E-2</c:v>
                </c:pt>
                <c:pt idx="27">
                  <c:v>6.2461387609336019E-2</c:v>
                </c:pt>
                <c:pt idx="28">
                  <c:v>1.130401712181122E-2</c:v>
                </c:pt>
                <c:pt idx="29">
                  <c:v>2.9979667942865952E-3</c:v>
                </c:pt>
                <c:pt idx="30">
                  <c:v>-2.6077613734069461E-2</c:v>
                </c:pt>
                <c:pt idx="31">
                  <c:v>-9.5975974788012272E-3</c:v>
                </c:pt>
                <c:pt idx="32">
                  <c:v>3.7080188319413072E-2</c:v>
                </c:pt>
                <c:pt idx="33">
                  <c:v>5.9778743308366682E-2</c:v>
                </c:pt>
                <c:pt idx="34">
                  <c:v>3.7432638746314917E-2</c:v>
                </c:pt>
                <c:pt idx="35">
                  <c:v>4.2860965699621313E-2</c:v>
                </c:pt>
                <c:pt idx="36">
                  <c:v>5.3701881733248587E-2</c:v>
                </c:pt>
                <c:pt idx="37">
                  <c:v>5.0836159682781462E-2</c:v>
                </c:pt>
                <c:pt idx="38">
                  <c:v>0.12708168501920261</c:v>
                </c:pt>
                <c:pt idx="39">
                  <c:v>0.165385033450859</c:v>
                </c:pt>
                <c:pt idx="40">
                  <c:v>0.1748484712444473</c:v>
                </c:pt>
                <c:pt idx="41">
                  <c:v>0.1441935172824699</c:v>
                </c:pt>
                <c:pt idx="42">
                  <c:v>0.20967698548054289</c:v>
                </c:pt>
                <c:pt idx="43">
                  <c:v>0.1965591442758948</c:v>
                </c:pt>
                <c:pt idx="44">
                  <c:v>0.32291821261851728</c:v>
                </c:pt>
                <c:pt idx="45">
                  <c:v>0.76090815272052814</c:v>
                </c:pt>
                <c:pt idx="46">
                  <c:v>0.85328957702918207</c:v>
                </c:pt>
                <c:pt idx="47">
                  <c:v>0.83385562400260205</c:v>
                </c:pt>
                <c:pt idx="48">
                  <c:v>0.69126148159882106</c:v>
                </c:pt>
                <c:pt idx="49">
                  <c:v>0.44892361734368869</c:v>
                </c:pt>
                <c:pt idx="50">
                  <c:v>0.33397941383928792</c:v>
                </c:pt>
                <c:pt idx="51">
                  <c:v>0.33075613244085927</c:v>
                </c:pt>
                <c:pt idx="52">
                  <c:v>0.41450916088720691</c:v>
                </c:pt>
                <c:pt idx="53">
                  <c:v>0.4432271088553465</c:v>
                </c:pt>
                <c:pt idx="54">
                  <c:v>0.58947479715779871</c:v>
                </c:pt>
                <c:pt idx="55">
                  <c:v>0.57286683222579027</c:v>
                </c:pt>
                <c:pt idx="56">
                  <c:v>0.51429712804782735</c:v>
                </c:pt>
                <c:pt idx="57">
                  <c:v>0.43021753643155602</c:v>
                </c:pt>
                <c:pt idx="58">
                  <c:v>0.31392670152686541</c:v>
                </c:pt>
                <c:pt idx="59">
                  <c:v>0.19626100708258351</c:v>
                </c:pt>
                <c:pt idx="60">
                  <c:v>2.5835035569923261E-2</c:v>
                </c:pt>
                <c:pt idx="61">
                  <c:v>-5.7036796162020405E-4</c:v>
                </c:pt>
                <c:pt idx="62">
                  <c:v>-1.1044406637812771E-3</c:v>
                </c:pt>
                <c:pt idx="63">
                  <c:v>-1.3430138444297669E-2</c:v>
                </c:pt>
                <c:pt idx="64">
                  <c:v>-3.7355474696075699E-3</c:v>
                </c:pt>
                <c:pt idx="65">
                  <c:v>-2.368793072880725E-2</c:v>
                </c:pt>
                <c:pt idx="66">
                  <c:v>-1.5081489416440949E-2</c:v>
                </c:pt>
                <c:pt idx="67">
                  <c:v>-1.389826660174899E-2</c:v>
                </c:pt>
                <c:pt idx="68">
                  <c:v>-1.802103738403403E-2</c:v>
                </c:pt>
                <c:pt idx="69">
                  <c:v>3.5066555421580069E-2</c:v>
                </c:pt>
                <c:pt idx="70">
                  <c:v>6.274798388346646E-2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F0-43DB-96CA-2E332EED14A8}"/>
            </c:ext>
          </c:extLst>
        </c:ser>
        <c:ser>
          <c:idx val="1"/>
          <c:order val="1"/>
          <c:tx>
            <c:strRef>
              <c:f>Donnees_auto!$C$1</c:f>
              <c:strCache>
                <c:ptCount val="1"/>
                <c:pt idx="0">
                  <c:v>Taux du CCyB</c:v>
                </c:pt>
              </c:strCache>
            </c:strRef>
          </c:tx>
          <c:spPr>
            <a:ln w="381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Donnees_auto!$C$2:$C$72</c:f>
              <c:numCache>
                <c:formatCode>General</c:formatCode>
                <c:ptCount val="71"/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F0-43DB-96CA-2E332EED1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33855"/>
        <c:axId val="67635103"/>
      </c:lineChart>
      <c:catAx>
        <c:axId val="67633855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7635103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67635103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7633855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"/>
          <c:y val="0.83059435979401619"/>
          <c:w val="1"/>
          <c:h val="0.1568028997549577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83539255429879E-2"/>
          <c:y val="2.9303824333997971E-2"/>
          <c:w val="0.88368348370674221"/>
          <c:h val="0.7389674013454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Donnees_auto!$I$1</c:f>
              <c:strCache>
                <c:ptCount val="1"/>
                <c:pt idx="0">
                  <c:v>Dette Ménages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Donnees_auto!$I$2:$I$72</c:f>
              <c:numCache>
                <c:formatCode>General</c:formatCode>
                <c:ptCount val="71"/>
                <c:pt idx="0">
                  <c:v>-2.4977156167274511E-2</c:v>
                </c:pt>
                <c:pt idx="1">
                  <c:v>-1.462919029079526E-2</c:v>
                </c:pt>
                <c:pt idx="2">
                  <c:v>-1.326849541297571E-3</c:v>
                </c:pt>
                <c:pt idx="3">
                  <c:v>1.6537168473275191E-2</c:v>
                </c:pt>
                <c:pt idx="4">
                  <c:v>1.747093462485098E-2</c:v>
                </c:pt>
                <c:pt idx="5">
                  <c:v>2.0471232423356869E-2</c:v>
                </c:pt>
                <c:pt idx="6">
                  <c:v>2.1894843113464159E-2</c:v>
                </c:pt>
                <c:pt idx="7">
                  <c:v>3.3987880158462047E-2</c:v>
                </c:pt>
                <c:pt idx="8">
                  <c:v>3.7677021839277861E-2</c:v>
                </c:pt>
                <c:pt idx="9">
                  <c:v>4.6402377681871297E-2</c:v>
                </c:pt>
                <c:pt idx="10">
                  <c:v>4.9218983778427837E-2</c:v>
                </c:pt>
                <c:pt idx="11">
                  <c:v>5.1086516081579422E-2</c:v>
                </c:pt>
                <c:pt idx="12">
                  <c:v>5.408681388008519E-2</c:v>
                </c:pt>
                <c:pt idx="13">
                  <c:v>5.5403271077388731E-2</c:v>
                </c:pt>
                <c:pt idx="14">
                  <c:v>5.3704122834357423E-2</c:v>
                </c:pt>
                <c:pt idx="15">
                  <c:v>5.8434184159552767E-2</c:v>
                </c:pt>
                <c:pt idx="16">
                  <c:v>6.0240485895387941E-2</c:v>
                </c:pt>
                <c:pt idx="17">
                  <c:v>5.8908721056255213E-2</c:v>
                </c:pt>
                <c:pt idx="18">
                  <c:v>6.1939634138419249E-2</c:v>
                </c:pt>
                <c:pt idx="19">
                  <c:v>6.007210183526767E-2</c:v>
                </c:pt>
                <c:pt idx="20">
                  <c:v>6.6470696119836165E-2</c:v>
                </c:pt>
                <c:pt idx="21">
                  <c:v>6.7618769257019554E-2</c:v>
                </c:pt>
                <c:pt idx="22">
                  <c:v>6.6608464896298181E-2</c:v>
                </c:pt>
                <c:pt idx="23">
                  <c:v>6.7389154629582879E-2</c:v>
                </c:pt>
                <c:pt idx="24">
                  <c:v>6.8782150036032025E-2</c:v>
                </c:pt>
                <c:pt idx="25">
                  <c:v>7.0190453084310239E-2</c:v>
                </c:pt>
                <c:pt idx="26">
                  <c:v>7.4568438647436078E-2</c:v>
                </c:pt>
                <c:pt idx="27">
                  <c:v>7.4843976200360096E-2</c:v>
                </c:pt>
                <c:pt idx="28">
                  <c:v>7.7201353042043175E-2</c:v>
                </c:pt>
                <c:pt idx="29">
                  <c:v>8.023226612420721E-2</c:v>
                </c:pt>
                <c:pt idx="30">
                  <c:v>8.8176932233515942E-2</c:v>
                </c:pt>
                <c:pt idx="31">
                  <c:v>9.9259664917792548E-2</c:v>
                </c:pt>
                <c:pt idx="32">
                  <c:v>0.1068522552650318</c:v>
                </c:pt>
                <c:pt idx="33">
                  <c:v>0.1131436960567964</c:v>
                </c:pt>
                <c:pt idx="34">
                  <c:v>0.1155163805403087</c:v>
                </c:pt>
                <c:pt idx="35">
                  <c:v>0.1156541493167707</c:v>
                </c:pt>
                <c:pt idx="36">
                  <c:v>0.12326204730583901</c:v>
                </c:pt>
                <c:pt idx="37">
                  <c:v>0.1273185723905535</c:v>
                </c:pt>
                <c:pt idx="38">
                  <c:v>0.1324313247614767</c:v>
                </c:pt>
                <c:pt idx="39">
                  <c:v>0.1386921502695832</c:v>
                </c:pt>
                <c:pt idx="40">
                  <c:v>0.13654908041350761</c:v>
                </c:pt>
                <c:pt idx="41">
                  <c:v>0.14244252251771539</c:v>
                </c:pt>
                <c:pt idx="42">
                  <c:v>0.1531425641562642</c:v>
                </c:pt>
                <c:pt idx="43">
                  <c:v>0.16091884620545269</c:v>
                </c:pt>
                <c:pt idx="44">
                  <c:v>0.17709902361882329</c:v>
                </c:pt>
                <c:pt idx="45">
                  <c:v>0.21304136663357659</c:v>
                </c:pt>
                <c:pt idx="46">
                  <c:v>0.23405875886494651</c:v>
                </c:pt>
                <c:pt idx="47">
                  <c:v>0.2519074692376902</c:v>
                </c:pt>
                <c:pt idx="48">
                  <c:v>0.25631607008447421</c:v>
                </c:pt>
                <c:pt idx="49">
                  <c:v>0.2344720651943325</c:v>
                </c:pt>
                <c:pt idx="50">
                  <c:v>0.23159422853045961</c:v>
                </c:pt>
                <c:pt idx="51">
                  <c:v>0.22588447812820089</c:v>
                </c:pt>
                <c:pt idx="52">
                  <c:v>0.22332810194273939</c:v>
                </c:pt>
                <c:pt idx="53">
                  <c:v>0.2233434095845685</c:v>
                </c:pt>
                <c:pt idx="54">
                  <c:v>0.2238638694067582</c:v>
                </c:pt>
                <c:pt idx="55">
                  <c:v>0.21671520067256331</c:v>
                </c:pt>
                <c:pt idx="56">
                  <c:v>0.20847968936850139</c:v>
                </c:pt>
                <c:pt idx="57">
                  <c:v>0.19214643553683969</c:v>
                </c:pt>
                <c:pt idx="58">
                  <c:v>0.17650202558748801</c:v>
                </c:pt>
                <c:pt idx="59">
                  <c:v>0.1603218481741174</c:v>
                </c:pt>
                <c:pt idx="60">
                  <c:v>0.1477848895160753</c:v>
                </c:pt>
                <c:pt idx="61">
                  <c:v>0.13899830310616529</c:v>
                </c:pt>
                <c:pt idx="62">
                  <c:v>0.13122202105697689</c:v>
                </c:pt>
                <c:pt idx="63">
                  <c:v>0.12877279836431901</c:v>
                </c:pt>
                <c:pt idx="64">
                  <c:v>0.12618580689519929</c:v>
                </c:pt>
                <c:pt idx="65">
                  <c:v>0.1225119728562126</c:v>
                </c:pt>
                <c:pt idx="66">
                  <c:v>0.1212261309425673</c:v>
                </c:pt>
                <c:pt idx="67">
                  <c:v>0.1175676045454096</c:v>
                </c:pt>
                <c:pt idx="68">
                  <c:v>0.1151030742109227</c:v>
                </c:pt>
                <c:pt idx="69">
                  <c:v>0.1151030742109227</c:v>
                </c:pt>
                <c:pt idx="70">
                  <c:v>0.1151030742109227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69-4574-B594-372422759881}"/>
            </c:ext>
          </c:extLst>
        </c:ser>
        <c:ser>
          <c:idx val="2"/>
          <c:order val="2"/>
          <c:tx>
            <c:strRef>
              <c:f>Donnees_auto!$J$1</c:f>
              <c:strCache>
                <c:ptCount val="1"/>
                <c:pt idx="0">
                  <c:v>Dette SNF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Donnees_auto!$J$2:$J$72</c:f>
              <c:numCache>
                <c:formatCode>General</c:formatCode>
                <c:ptCount val="71"/>
                <c:pt idx="0">
                  <c:v>-3.6911080790846519E-2</c:v>
                </c:pt>
                <c:pt idx="1">
                  <c:v>-3.4067184435124E-2</c:v>
                </c:pt>
                <c:pt idx="2">
                  <c:v>-2.960520911838694E-2</c:v>
                </c:pt>
                <c:pt idx="3">
                  <c:v>-2.4554841452190071E-2</c:v>
                </c:pt>
                <c:pt idx="4">
                  <c:v>-2.2509477570734449E-2</c:v>
                </c:pt>
                <c:pt idx="5">
                  <c:v>-2.2544500924868979E-2</c:v>
                </c:pt>
                <c:pt idx="6">
                  <c:v>-2.5003140385111849E-2</c:v>
                </c:pt>
                <c:pt idx="7">
                  <c:v>-2.3588196878077498E-2</c:v>
                </c:pt>
                <c:pt idx="8">
                  <c:v>-2.3301005374174458E-2</c:v>
                </c:pt>
                <c:pt idx="9">
                  <c:v>-1.7459109904537581E-2</c:v>
                </c:pt>
                <c:pt idx="10">
                  <c:v>-1.0783658606499231E-2</c:v>
                </c:pt>
                <c:pt idx="11">
                  <c:v>-1.135804161430526E-2</c:v>
                </c:pt>
                <c:pt idx="12">
                  <c:v>-8.8713834707547495E-3</c:v>
                </c:pt>
                <c:pt idx="13">
                  <c:v>-3.4637775923858269E-3</c:v>
                </c:pt>
                <c:pt idx="14">
                  <c:v>-4.423417495671508E-3</c:v>
                </c:pt>
                <c:pt idx="15">
                  <c:v>-2.4971330182732578E-3</c:v>
                </c:pt>
                <c:pt idx="16">
                  <c:v>-5.21815845086703E-4</c:v>
                </c:pt>
                <c:pt idx="17">
                  <c:v>-6.7139448560686989E-3</c:v>
                </c:pt>
                <c:pt idx="18">
                  <c:v>-4.2342913833451267E-3</c:v>
                </c:pt>
                <c:pt idx="19">
                  <c:v>-4.864711757766399E-3</c:v>
                </c:pt>
                <c:pt idx="20">
                  <c:v>-2.9244179387143258E-3</c:v>
                </c:pt>
                <c:pt idx="21">
                  <c:v>4.6266172126868746E-3</c:v>
                </c:pt>
                <c:pt idx="22">
                  <c:v>9.2637093000964479E-3</c:v>
                </c:pt>
                <c:pt idx="23">
                  <c:v>1.3417479100449809E-2</c:v>
                </c:pt>
                <c:pt idx="24">
                  <c:v>2.0183991119237941E-2</c:v>
                </c:pt>
                <c:pt idx="25">
                  <c:v>1.839780005837767E-2</c:v>
                </c:pt>
                <c:pt idx="26">
                  <c:v>1.9434491340759249E-2</c:v>
                </c:pt>
                <c:pt idx="27">
                  <c:v>2.5276386810396179E-2</c:v>
                </c:pt>
                <c:pt idx="28">
                  <c:v>1.285010076347067E-2</c:v>
                </c:pt>
                <c:pt idx="29">
                  <c:v>2.0723350772909439E-2</c:v>
                </c:pt>
                <c:pt idx="30">
                  <c:v>2.4316746907110491E-2</c:v>
                </c:pt>
                <c:pt idx="31">
                  <c:v>3.411628139394747E-2</c:v>
                </c:pt>
                <c:pt idx="32">
                  <c:v>3.9397803197432191E-2</c:v>
                </c:pt>
                <c:pt idx="33">
                  <c:v>3.7401472011764927E-2</c:v>
                </c:pt>
                <c:pt idx="34">
                  <c:v>4.0616615921313208E-2</c:v>
                </c:pt>
                <c:pt idx="35">
                  <c:v>3.8178990473551062E-2</c:v>
                </c:pt>
                <c:pt idx="36">
                  <c:v>4.1807409961886699E-2</c:v>
                </c:pt>
                <c:pt idx="37">
                  <c:v>4.7978524960388028E-2</c:v>
                </c:pt>
                <c:pt idx="38">
                  <c:v>5.3834429771678738E-2</c:v>
                </c:pt>
                <c:pt idx="39">
                  <c:v>5.5235363937059308E-2</c:v>
                </c:pt>
                <c:pt idx="40">
                  <c:v>5.8212349038492962E-2</c:v>
                </c:pt>
                <c:pt idx="41">
                  <c:v>6.1322422885637808E-2</c:v>
                </c:pt>
                <c:pt idx="42">
                  <c:v>6.806792089194523E-2</c:v>
                </c:pt>
                <c:pt idx="43">
                  <c:v>6.4180328583014146E-2</c:v>
                </c:pt>
                <c:pt idx="44">
                  <c:v>8.5502546580106142E-2</c:v>
                </c:pt>
                <c:pt idx="45">
                  <c:v>0.13956459602214169</c:v>
                </c:pt>
                <c:pt idx="46">
                  <c:v>0.15110128887405061</c:v>
                </c:pt>
                <c:pt idx="47">
                  <c:v>0.15660696014399619</c:v>
                </c:pt>
                <c:pt idx="48">
                  <c:v>0.1509121627617242</c:v>
                </c:pt>
                <c:pt idx="49">
                  <c:v>0.12793684244948311</c:v>
                </c:pt>
                <c:pt idx="50">
                  <c:v>0.12306859622478571</c:v>
                </c:pt>
                <c:pt idx="51">
                  <c:v>0.1222770684213456</c:v>
                </c:pt>
                <c:pt idx="52">
                  <c:v>0.1191179618784125</c:v>
                </c:pt>
                <c:pt idx="53">
                  <c:v>0.1166803364306504</c:v>
                </c:pt>
                <c:pt idx="54">
                  <c:v>0.1199795363901216</c:v>
                </c:pt>
                <c:pt idx="55">
                  <c:v>0.1159308366521718</c:v>
                </c:pt>
                <c:pt idx="56">
                  <c:v>0.1075322363307154</c:v>
                </c:pt>
                <c:pt idx="57">
                  <c:v>9.759961309816724E-2</c:v>
                </c:pt>
                <c:pt idx="58">
                  <c:v>9.4699679375829487E-2</c:v>
                </c:pt>
                <c:pt idx="59">
                  <c:v>8.9453180926479345E-2</c:v>
                </c:pt>
                <c:pt idx="60">
                  <c:v>8.08514451510427E-2</c:v>
                </c:pt>
                <c:pt idx="61">
                  <c:v>8.2938837057459719E-2</c:v>
                </c:pt>
                <c:pt idx="62">
                  <c:v>7.9513553023104352E-2</c:v>
                </c:pt>
                <c:pt idx="63">
                  <c:v>7.8911151331990712E-2</c:v>
                </c:pt>
                <c:pt idx="64">
                  <c:v>7.4848442252387029E-2</c:v>
                </c:pt>
                <c:pt idx="65">
                  <c:v>7.4806414227425608E-2</c:v>
                </c:pt>
                <c:pt idx="66">
                  <c:v>8.1418823488021833E-2</c:v>
                </c:pt>
                <c:pt idx="67">
                  <c:v>8.0809417126081279E-2</c:v>
                </c:pt>
                <c:pt idx="68">
                  <c:v>8.2175327937327361E-2</c:v>
                </c:pt>
                <c:pt idx="69">
                  <c:v>8.2175327937327361E-2</c:v>
                </c:pt>
                <c:pt idx="70">
                  <c:v>8.2175327937327361E-2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69-4574-B594-372422759881}"/>
            </c:ext>
          </c:extLst>
        </c:ser>
        <c:ser>
          <c:idx val="3"/>
          <c:order val="3"/>
          <c:tx>
            <c:strRef>
              <c:f>Donnees_auto!$K$1</c:f>
              <c:strCache>
                <c:ptCount val="1"/>
                <c:pt idx="0">
                  <c:v>Taux croissance crédits particuliers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Donnees_auto!$K$2:$K$72</c:f>
              <c:numCache>
                <c:formatCode>General</c:formatCode>
                <c:ptCount val="71"/>
                <c:pt idx="0">
                  <c:v>1.403476883591792E-2</c:v>
                </c:pt>
                <c:pt idx="1">
                  <c:v>-2.6698467892128049E-2</c:v>
                </c:pt>
                <c:pt idx="2">
                  <c:v>-5.5640504514687078E-2</c:v>
                </c:pt>
                <c:pt idx="3">
                  <c:v>-6.2072068208589071E-2</c:v>
                </c:pt>
                <c:pt idx="4">
                  <c:v>-3.0986177021396069E-2</c:v>
                </c:pt>
                <c:pt idx="5">
                  <c:v>-8.4757040927390566E-3</c:v>
                </c:pt>
                <c:pt idx="6">
                  <c:v>-9.7221311652005444E-4</c:v>
                </c:pt>
                <c:pt idx="7">
                  <c:v>1.6178623400551938E-2</c:v>
                </c:pt>
                <c:pt idx="8">
                  <c:v>3.7617169046891948E-2</c:v>
                </c:pt>
                <c:pt idx="9">
                  <c:v>5.0480296434695947E-2</c:v>
                </c:pt>
                <c:pt idx="10">
                  <c:v>5.583993284628095E-2</c:v>
                </c:pt>
                <c:pt idx="11">
                  <c:v>2.9041750788355931E-2</c:v>
                </c:pt>
                <c:pt idx="12">
                  <c:v>4.387423295064927E-3</c:v>
                </c:pt>
                <c:pt idx="13">
                  <c:v>-3.6345813432981079E-2</c:v>
                </c:pt>
                <c:pt idx="14">
                  <c:v>-7.922290472566107E-2</c:v>
                </c:pt>
                <c:pt idx="15">
                  <c:v>-8.672639570188008E-2</c:v>
                </c:pt>
                <c:pt idx="16">
                  <c:v>-0.10816494134822011</c:v>
                </c:pt>
                <c:pt idx="17">
                  <c:v>-0.1017333776543181</c:v>
                </c:pt>
                <c:pt idx="18">
                  <c:v>-8.9942177548831076E-2</c:v>
                </c:pt>
                <c:pt idx="19">
                  <c:v>-8.672639570188008E-2</c:v>
                </c:pt>
                <c:pt idx="20">
                  <c:v>-8.672639570188008E-2</c:v>
                </c:pt>
                <c:pt idx="21">
                  <c:v>-8.672639570188008E-2</c:v>
                </c:pt>
                <c:pt idx="22">
                  <c:v>-8.8870250266514073E-2</c:v>
                </c:pt>
                <c:pt idx="23">
                  <c:v>-9.6373741242733069E-2</c:v>
                </c:pt>
                <c:pt idx="24">
                  <c:v>-9.3157959395782072E-2</c:v>
                </c:pt>
                <c:pt idx="25">
                  <c:v>-8.0294832007978059E-2</c:v>
                </c:pt>
                <c:pt idx="26">
                  <c:v>-6.7431704620174074E-2</c:v>
                </c:pt>
                <c:pt idx="27">
                  <c:v>-5.4568577232370068E-2</c:v>
                </c:pt>
                <c:pt idx="28">
                  <c:v>-6.2072068208589071E-2</c:v>
                </c:pt>
                <c:pt idx="29">
                  <c:v>-6.4215922773223064E-2</c:v>
                </c:pt>
                <c:pt idx="30">
                  <c:v>-5.8856286361638067E-2</c:v>
                </c:pt>
                <c:pt idx="31">
                  <c:v>-4.9208940820785058E-2</c:v>
                </c:pt>
                <c:pt idx="32">
                  <c:v>-1.1691485939690081E-2</c:v>
                </c:pt>
                <c:pt idx="33">
                  <c:v>8.6751324243329406E-3</c:v>
                </c:pt>
                <c:pt idx="34">
                  <c:v>1.7250550682868938E-2</c:v>
                </c:pt>
                <c:pt idx="35">
                  <c:v>2.3682114376770948E-2</c:v>
                </c:pt>
                <c:pt idx="36">
                  <c:v>1.189091427128393E-2</c:v>
                </c:pt>
                <c:pt idx="37">
                  <c:v>6.5312778596989477E-3</c:v>
                </c:pt>
                <c:pt idx="38">
                  <c:v>1.189091427128393E-2</c:v>
                </c:pt>
                <c:pt idx="39">
                  <c:v>1.189091427128393E-2</c:v>
                </c:pt>
                <c:pt idx="40">
                  <c:v>9.7470597066499371E-3</c:v>
                </c:pt>
                <c:pt idx="41">
                  <c:v>1.6178623400551938E-2</c:v>
                </c:pt>
                <c:pt idx="42">
                  <c:v>2.3682114376770948E-2</c:v>
                </c:pt>
                <c:pt idx="43">
                  <c:v>2.6897896223721941E-2</c:v>
                </c:pt>
                <c:pt idx="44">
                  <c:v>2.6897896223721941E-2</c:v>
                </c:pt>
                <c:pt idx="45">
                  <c:v>-1.597919506895806E-2</c:v>
                </c:pt>
                <c:pt idx="46">
                  <c:v>-3.2058104303713073E-2</c:v>
                </c:pt>
                <c:pt idx="47">
                  <c:v>-3.5273886150664083E-2</c:v>
                </c:pt>
                <c:pt idx="48">
                  <c:v>-4.4921231691517072E-2</c:v>
                </c:pt>
                <c:pt idx="49">
                  <c:v>-8.4757040927390566E-3</c:v>
                </c:pt>
                <c:pt idx="50">
                  <c:v>8.6751324243329406E-3</c:v>
                </c:pt>
                <c:pt idx="51">
                  <c:v>4.3874232950649556E-3</c:v>
                </c:pt>
                <c:pt idx="52">
                  <c:v>1.403476883591792E-2</c:v>
                </c:pt>
                <c:pt idx="53">
                  <c:v>1.9394405247502931E-2</c:v>
                </c:pt>
                <c:pt idx="54">
                  <c:v>5.4593505773819521E-3</c:v>
                </c:pt>
                <c:pt idx="55">
                  <c:v>-9.5476313750560825E-3</c:v>
                </c:pt>
                <c:pt idx="56">
                  <c:v>-3.4201958868347052E-2</c:v>
                </c:pt>
                <c:pt idx="57">
                  <c:v>-6.5287850055540081E-2</c:v>
                </c:pt>
                <c:pt idx="58">
                  <c:v>-0.1070930140659031</c:v>
                </c:pt>
                <c:pt idx="59">
                  <c:v>-0.13496312340614511</c:v>
                </c:pt>
                <c:pt idx="60">
                  <c:v>-0.1596174508994361</c:v>
                </c:pt>
                <c:pt idx="61">
                  <c:v>-0.17891214198114211</c:v>
                </c:pt>
                <c:pt idx="62">
                  <c:v>-0.1842717783927271</c:v>
                </c:pt>
                <c:pt idx="63">
                  <c:v>-0.18212792382809309</c:v>
                </c:pt>
                <c:pt idx="64">
                  <c:v>-0.17140865100492311</c:v>
                </c:pt>
                <c:pt idx="65">
                  <c:v>-0.1585455236171191</c:v>
                </c:pt>
                <c:pt idx="66">
                  <c:v>-0.1499701053585831</c:v>
                </c:pt>
                <c:pt idx="67">
                  <c:v>-0.15425781448785111</c:v>
                </c:pt>
                <c:pt idx="68">
                  <c:v>-0.15425781448785111</c:v>
                </c:pt>
                <c:pt idx="69">
                  <c:v>-0.15532974177016809</c:v>
                </c:pt>
                <c:pt idx="70">
                  <c:v>-0.15532974177016809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69-4574-B594-372422759881}"/>
            </c:ext>
          </c:extLst>
        </c:ser>
        <c:ser>
          <c:idx val="4"/>
          <c:order val="4"/>
          <c:tx>
            <c:strRef>
              <c:f>Donnees_auto!$L$1</c:f>
              <c:strCache>
                <c:ptCount val="1"/>
                <c:pt idx="0">
                  <c:v>Taux croissance crédits SNF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Donnees_auto!$L$2:$L$72</c:f>
              <c:numCache>
                <c:formatCode>General</c:formatCode>
                <c:ptCount val="71"/>
                <c:pt idx="0">
                  <c:v>4.8717036908054581E-2</c:v>
                </c:pt>
                <c:pt idx="1">
                  <c:v>-9.2735660374165477E-3</c:v>
                </c:pt>
                <c:pt idx="2">
                  <c:v>-5.6975513621594427E-2</c:v>
                </c:pt>
                <c:pt idx="3">
                  <c:v>-8.6438481247116047E-2</c:v>
                </c:pt>
                <c:pt idx="4">
                  <c:v>-8.8309145858260274E-2</c:v>
                </c:pt>
                <c:pt idx="5">
                  <c:v>-7.0537832052390101E-2</c:v>
                </c:pt>
                <c:pt idx="6">
                  <c:v>-5.4169516704878073E-2</c:v>
                </c:pt>
                <c:pt idx="7">
                  <c:v>-4.2945529038012693E-2</c:v>
                </c:pt>
                <c:pt idx="8">
                  <c:v>-3.7801201357366053E-2</c:v>
                </c:pt>
                <c:pt idx="9">
                  <c:v>-1.956222139870982E-2</c:v>
                </c:pt>
                <c:pt idx="10">
                  <c:v>5.6917508517372916E-3</c:v>
                </c:pt>
                <c:pt idx="11">
                  <c:v>5.2240846989512358E-3</c:v>
                </c:pt>
                <c:pt idx="12">
                  <c:v>-2.7262398984117522E-3</c:v>
                </c:pt>
                <c:pt idx="13">
                  <c:v>-2.377121677378433E-2</c:v>
                </c:pt>
                <c:pt idx="14">
                  <c:v>-4.4348527496370867E-2</c:v>
                </c:pt>
                <c:pt idx="15">
                  <c:v>-5.2298852093733847E-2</c:v>
                </c:pt>
                <c:pt idx="16">
                  <c:v>-4.9492855177017493E-2</c:v>
                </c:pt>
                <c:pt idx="17">
                  <c:v>-5.1363519788161727E-2</c:v>
                </c:pt>
                <c:pt idx="18">
                  <c:v>-6.1652175149455E-2</c:v>
                </c:pt>
                <c:pt idx="19">
                  <c:v>-5.9781510538310753E-2</c:v>
                </c:pt>
                <c:pt idx="20">
                  <c:v>-5.7910845927166527E-2</c:v>
                </c:pt>
                <c:pt idx="21">
                  <c:v>-4.9492855177017493E-2</c:v>
                </c:pt>
                <c:pt idx="22">
                  <c:v>-3.4527538287863653E-2</c:v>
                </c:pt>
                <c:pt idx="23">
                  <c:v>-2.844787830164491E-2</c:v>
                </c:pt>
                <c:pt idx="24">
                  <c:v>-1.956222139870982E-2</c:v>
                </c:pt>
                <c:pt idx="25">
                  <c:v>-1.4417893718063179E-2</c:v>
                </c:pt>
                <c:pt idx="26">
                  <c:v>-1.2079562954132889E-2</c:v>
                </c:pt>
                <c:pt idx="27">
                  <c:v>-3.193906051197795E-3</c:v>
                </c:pt>
                <c:pt idx="28">
                  <c:v>2.8857539350209431E-3</c:v>
                </c:pt>
                <c:pt idx="29">
                  <c:v>9.9007462268118074E-3</c:v>
                </c:pt>
                <c:pt idx="30">
                  <c:v>1.036841237959788E-2</c:v>
                </c:pt>
                <c:pt idx="31">
                  <c:v>6.1594170045233473E-3</c:v>
                </c:pt>
                <c:pt idx="32">
                  <c:v>8.0300816156675826E-3</c:v>
                </c:pt>
                <c:pt idx="33">
                  <c:v>1.482755476662776E-3</c:v>
                </c:pt>
                <c:pt idx="34">
                  <c:v>1.1303744685169989E-2</c:v>
                </c:pt>
                <c:pt idx="35">
                  <c:v>2.1124733893677201E-2</c:v>
                </c:pt>
                <c:pt idx="36">
                  <c:v>1.4577407754672389E-2</c:v>
                </c:pt>
                <c:pt idx="37">
                  <c:v>1.7383404671388731E-2</c:v>
                </c:pt>
                <c:pt idx="38">
                  <c:v>1.7383404671388741E-2</c:v>
                </c:pt>
                <c:pt idx="39">
                  <c:v>2.2527732352035371E-2</c:v>
                </c:pt>
                <c:pt idx="40">
                  <c:v>2.6736727727109881E-2</c:v>
                </c:pt>
                <c:pt idx="41">
                  <c:v>3.5154718477258921E-2</c:v>
                </c:pt>
                <c:pt idx="42">
                  <c:v>3.5154718477258921E-2</c:v>
                </c:pt>
                <c:pt idx="43">
                  <c:v>1.9721735435319021E-2</c:v>
                </c:pt>
                <c:pt idx="44">
                  <c:v>2.2995398504821421E-2</c:v>
                </c:pt>
                <c:pt idx="45">
                  <c:v>9.3145321422730062E-2</c:v>
                </c:pt>
                <c:pt idx="46">
                  <c:v>0.1193346259787493</c:v>
                </c:pt>
                <c:pt idx="47">
                  <c:v>0.1193346259787493</c:v>
                </c:pt>
                <c:pt idx="48">
                  <c:v>0.1081106383118839</c:v>
                </c:pt>
                <c:pt idx="49">
                  <c:v>1.0836078532383929E-2</c:v>
                </c:pt>
                <c:pt idx="50">
                  <c:v>-2.517421523214251E-2</c:v>
                </c:pt>
                <c:pt idx="51">
                  <c:v>-1.722389063477953E-2</c:v>
                </c:pt>
                <c:pt idx="52">
                  <c:v>-3.193906051197795E-3</c:v>
                </c:pt>
                <c:pt idx="53">
                  <c:v>2.1592400046463251E-2</c:v>
                </c:pt>
                <c:pt idx="54">
                  <c:v>4.1702044616263742E-2</c:v>
                </c:pt>
                <c:pt idx="55">
                  <c:v>4.9184703060840648E-2</c:v>
                </c:pt>
                <c:pt idx="56">
                  <c:v>3.2816387713328628E-2</c:v>
                </c:pt>
                <c:pt idx="57">
                  <c:v>9.9007462268118195E-3</c:v>
                </c:pt>
                <c:pt idx="58">
                  <c:v>-1.2547229106918949E-2</c:v>
                </c:pt>
                <c:pt idx="59">
                  <c:v>-3.1253875218361253E-2</c:v>
                </c:pt>
                <c:pt idx="60">
                  <c:v>-4.2945529038012693E-2</c:v>
                </c:pt>
                <c:pt idx="61">
                  <c:v>-3.7801201357366053E-2</c:v>
                </c:pt>
                <c:pt idx="62">
                  <c:v>-3.5930536746221833E-2</c:v>
                </c:pt>
                <c:pt idx="63">
                  <c:v>-3.40598721350776E-2</c:v>
                </c:pt>
                <c:pt idx="64">
                  <c:v>-2.938321060721702E-2</c:v>
                </c:pt>
                <c:pt idx="65">
                  <c:v>-3.1253875218361253E-2</c:v>
                </c:pt>
                <c:pt idx="66">
                  <c:v>-2.564188138492856E-2</c:v>
                </c:pt>
                <c:pt idx="67">
                  <c:v>-2.377121677378433E-2</c:v>
                </c:pt>
                <c:pt idx="68">
                  <c:v>-2.517421523214251E-2</c:v>
                </c:pt>
                <c:pt idx="69">
                  <c:v>-9.7412321902026096E-3</c:v>
                </c:pt>
                <c:pt idx="70">
                  <c:v>-9.7412321902026096E-3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69-4574-B594-372422759881}"/>
            </c:ext>
          </c:extLst>
        </c:ser>
        <c:ser>
          <c:idx val="5"/>
          <c:order val="5"/>
          <c:tx>
            <c:strRef>
              <c:f>Donnees_auto!$M$1</c:f>
              <c:strCache>
                <c:ptCount val="1"/>
                <c:pt idx="0">
                  <c:v>Service de la dette des ménages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val>
            <c:numRef>
              <c:f>Donnees_auto!$M$2:$M$72</c:f>
              <c:numCache>
                <c:formatCode>General</c:formatCode>
                <c:ptCount val="71"/>
                <c:pt idx="0">
                  <c:v>4.1655059559861742E-2</c:v>
                </c:pt>
                <c:pt idx="1">
                  <c:v>2.9847326141318301E-2</c:v>
                </c:pt>
                <c:pt idx="2">
                  <c:v>4.1655059559861742E-2</c:v>
                </c:pt>
                <c:pt idx="3">
                  <c:v>4.1655059559861742E-2</c:v>
                </c:pt>
                <c:pt idx="4">
                  <c:v>5.3462792978405282E-2</c:v>
                </c:pt>
                <c:pt idx="5">
                  <c:v>5.3462792978405282E-2</c:v>
                </c:pt>
                <c:pt idx="6">
                  <c:v>4.1655059559861742E-2</c:v>
                </c:pt>
                <c:pt idx="7">
                  <c:v>5.3462792978405282E-2</c:v>
                </c:pt>
                <c:pt idx="8">
                  <c:v>5.3462792978405282E-2</c:v>
                </c:pt>
                <c:pt idx="9">
                  <c:v>5.3462792978405282E-2</c:v>
                </c:pt>
                <c:pt idx="10">
                  <c:v>6.5270526396948719E-2</c:v>
                </c:pt>
                <c:pt idx="11">
                  <c:v>6.5270526396948719E-2</c:v>
                </c:pt>
                <c:pt idx="12">
                  <c:v>6.5270526396948719E-2</c:v>
                </c:pt>
                <c:pt idx="13">
                  <c:v>7.707825981549217E-2</c:v>
                </c:pt>
                <c:pt idx="14">
                  <c:v>6.5270526396948719E-2</c:v>
                </c:pt>
                <c:pt idx="15">
                  <c:v>7.707825981549217E-2</c:v>
                </c:pt>
                <c:pt idx="16">
                  <c:v>7.707825981549217E-2</c:v>
                </c:pt>
                <c:pt idx="17">
                  <c:v>8.8885993234035718E-2</c:v>
                </c:pt>
                <c:pt idx="18">
                  <c:v>8.8885993234035718E-2</c:v>
                </c:pt>
                <c:pt idx="19">
                  <c:v>7.707825981549217E-2</c:v>
                </c:pt>
                <c:pt idx="20">
                  <c:v>7.707825981549217E-2</c:v>
                </c:pt>
                <c:pt idx="21">
                  <c:v>7.707825981549217E-2</c:v>
                </c:pt>
                <c:pt idx="22">
                  <c:v>7.707825981549217E-2</c:v>
                </c:pt>
                <c:pt idx="23">
                  <c:v>7.707825981549217E-2</c:v>
                </c:pt>
                <c:pt idx="24">
                  <c:v>7.707825981549217E-2</c:v>
                </c:pt>
                <c:pt idx="25">
                  <c:v>7.707825981549217E-2</c:v>
                </c:pt>
                <c:pt idx="26">
                  <c:v>6.5270526396948719E-2</c:v>
                </c:pt>
                <c:pt idx="27">
                  <c:v>6.5270526396948719E-2</c:v>
                </c:pt>
                <c:pt idx="28">
                  <c:v>5.3462792978405282E-2</c:v>
                </c:pt>
                <c:pt idx="29">
                  <c:v>5.3462792978405282E-2</c:v>
                </c:pt>
                <c:pt idx="30">
                  <c:v>5.3462792978405282E-2</c:v>
                </c:pt>
                <c:pt idx="31">
                  <c:v>5.3462792978405282E-2</c:v>
                </c:pt>
                <c:pt idx="32">
                  <c:v>5.3462792978405282E-2</c:v>
                </c:pt>
                <c:pt idx="33">
                  <c:v>5.3462792978405282E-2</c:v>
                </c:pt>
                <c:pt idx="34">
                  <c:v>5.3462792978405282E-2</c:v>
                </c:pt>
                <c:pt idx="35">
                  <c:v>5.3462792978405282E-2</c:v>
                </c:pt>
                <c:pt idx="36">
                  <c:v>5.3462792978405282E-2</c:v>
                </c:pt>
                <c:pt idx="37">
                  <c:v>5.3462792978405282E-2</c:v>
                </c:pt>
                <c:pt idx="38">
                  <c:v>5.3462792978405282E-2</c:v>
                </c:pt>
                <c:pt idx="39">
                  <c:v>5.3462792978405282E-2</c:v>
                </c:pt>
                <c:pt idx="40">
                  <c:v>5.3462792978405282E-2</c:v>
                </c:pt>
                <c:pt idx="41">
                  <c:v>5.3462792978405282E-2</c:v>
                </c:pt>
                <c:pt idx="42">
                  <c:v>5.3462792978405282E-2</c:v>
                </c:pt>
                <c:pt idx="43">
                  <c:v>6.5270526396948719E-2</c:v>
                </c:pt>
                <c:pt idx="44">
                  <c:v>6.5270526396948719E-2</c:v>
                </c:pt>
                <c:pt idx="45">
                  <c:v>6.5270526396948719E-2</c:v>
                </c:pt>
                <c:pt idx="46">
                  <c:v>7.707825981549217E-2</c:v>
                </c:pt>
                <c:pt idx="47">
                  <c:v>7.707825981549217E-2</c:v>
                </c:pt>
                <c:pt idx="48">
                  <c:v>7.707825981549217E-2</c:v>
                </c:pt>
                <c:pt idx="49">
                  <c:v>7.707825981549217E-2</c:v>
                </c:pt>
                <c:pt idx="50">
                  <c:v>7.707825981549217E-2</c:v>
                </c:pt>
                <c:pt idx="51">
                  <c:v>7.707825981549217E-2</c:v>
                </c:pt>
                <c:pt idx="52">
                  <c:v>7.707825981549217E-2</c:v>
                </c:pt>
                <c:pt idx="53">
                  <c:v>7.707825981549217E-2</c:v>
                </c:pt>
                <c:pt idx="54">
                  <c:v>7.707825981549217E-2</c:v>
                </c:pt>
                <c:pt idx="55">
                  <c:v>6.5270526396948719E-2</c:v>
                </c:pt>
                <c:pt idx="56">
                  <c:v>5.3462792978405282E-2</c:v>
                </c:pt>
                <c:pt idx="57">
                  <c:v>2.9847326141318301E-2</c:v>
                </c:pt>
                <c:pt idx="58">
                  <c:v>2.9847326141318301E-2</c:v>
                </c:pt>
                <c:pt idx="59">
                  <c:v>1.803959272277475E-2</c:v>
                </c:pt>
                <c:pt idx="60">
                  <c:v>6.2318593042313122E-3</c:v>
                </c:pt>
                <c:pt idx="61">
                  <c:v>6.2318593042313122E-3</c:v>
                </c:pt>
                <c:pt idx="62">
                  <c:v>-5.5758741143121281E-3</c:v>
                </c:pt>
                <c:pt idx="63">
                  <c:v>-5.5758741143121281E-3</c:v>
                </c:pt>
                <c:pt idx="64">
                  <c:v>-5.5758741143121281E-3</c:v>
                </c:pt>
                <c:pt idx="65">
                  <c:v>-5.5758741143121281E-3</c:v>
                </c:pt>
                <c:pt idx="66">
                  <c:v>-5.5758741143121281E-3</c:v>
                </c:pt>
                <c:pt idx="67">
                  <c:v>6.2318593042313122E-3</c:v>
                </c:pt>
                <c:pt idx="68">
                  <c:v>6.2318593042313122E-3</c:v>
                </c:pt>
                <c:pt idx="69">
                  <c:v>6.2318593042313122E-3</c:v>
                </c:pt>
                <c:pt idx="70">
                  <c:v>6.2318593042313122E-3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54-4786-9A93-95A7392BD637}"/>
            </c:ext>
          </c:extLst>
        </c:ser>
        <c:ser>
          <c:idx val="6"/>
          <c:order val="6"/>
          <c:tx>
            <c:strRef>
              <c:f>Donnees_auto!$N$1</c:f>
              <c:strCache>
                <c:ptCount val="1"/>
                <c:pt idx="0">
                  <c:v>Service de la dette des SNF</c:v>
                </c:pt>
              </c:strCache>
            </c:strRef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val>
            <c:numRef>
              <c:f>Donnees_auto!$N$2:$N$72</c:f>
              <c:numCache>
                <c:formatCode>General</c:formatCode>
                <c:ptCount val="71"/>
                <c:pt idx="0">
                  <c:v>-7.6118511893523741E-2</c:v>
                </c:pt>
                <c:pt idx="1">
                  <c:v>-6.9778237881106209E-2</c:v>
                </c:pt>
                <c:pt idx="2">
                  <c:v>-7.3582402288556781E-2</c:v>
                </c:pt>
                <c:pt idx="3">
                  <c:v>-7.7386566696007256E-2</c:v>
                </c:pt>
                <c:pt idx="4">
                  <c:v>-7.8654621498490784E-2</c:v>
                </c:pt>
                <c:pt idx="5">
                  <c:v>-7.7386566696007256E-2</c:v>
                </c:pt>
                <c:pt idx="6">
                  <c:v>-7.7386566696007256E-2</c:v>
                </c:pt>
                <c:pt idx="7">
                  <c:v>-6.597407347365572E-2</c:v>
                </c:pt>
                <c:pt idx="8">
                  <c:v>-6.3437963868688677E-2</c:v>
                </c:pt>
                <c:pt idx="9">
                  <c:v>-5.3293525448820663E-2</c:v>
                </c:pt>
                <c:pt idx="10">
                  <c:v>-3.9344922621502083E-2</c:v>
                </c:pt>
                <c:pt idx="11">
                  <c:v>-3.0468539004117501E-2</c:v>
                </c:pt>
                <c:pt idx="12">
                  <c:v>-1.6519936176799001E-2</c:v>
                </c:pt>
                <c:pt idx="13">
                  <c:v>8.8411598728711203E-3</c:v>
                </c:pt>
                <c:pt idx="14">
                  <c:v>1.7717543490255699E-2</c:v>
                </c:pt>
                <c:pt idx="15">
                  <c:v>2.9130036712607239E-2</c:v>
                </c:pt>
                <c:pt idx="16">
                  <c:v>3.039809151509076E-2</c:v>
                </c:pt>
                <c:pt idx="17">
                  <c:v>2.4057817502673232E-2</c:v>
                </c:pt>
                <c:pt idx="18">
                  <c:v>2.1521707897706181E-2</c:v>
                </c:pt>
                <c:pt idx="19">
                  <c:v>1.3913379082805219E-2</c:v>
                </c:pt>
                <c:pt idx="20">
                  <c:v>2.278976270018971E-2</c:v>
                </c:pt>
                <c:pt idx="21">
                  <c:v>2.532587230515675E-2</c:v>
                </c:pt>
                <c:pt idx="22">
                  <c:v>2.9130036712607239E-2</c:v>
                </c:pt>
                <c:pt idx="23">
                  <c:v>2.9130036712607239E-2</c:v>
                </c:pt>
                <c:pt idx="24">
                  <c:v>3.8006420329991818E-2</c:v>
                </c:pt>
                <c:pt idx="25">
                  <c:v>1.2645324280321691E-2</c:v>
                </c:pt>
                <c:pt idx="26">
                  <c:v>1.6449488687772181E-2</c:v>
                </c:pt>
                <c:pt idx="27">
                  <c:v>2.1521707897706181E-2</c:v>
                </c:pt>
                <c:pt idx="28">
                  <c:v>1.8985598292739221E-2</c:v>
                </c:pt>
                <c:pt idx="29">
                  <c:v>3.2934201120057807E-2</c:v>
                </c:pt>
                <c:pt idx="30">
                  <c:v>3.8006420329991818E-2</c:v>
                </c:pt>
                <c:pt idx="31">
                  <c:v>4.3078639539925821E-2</c:v>
                </c:pt>
                <c:pt idx="32">
                  <c:v>4.8150858749859818E-2</c:v>
                </c:pt>
                <c:pt idx="33">
                  <c:v>6.9707790392079472E-2</c:v>
                </c:pt>
                <c:pt idx="34">
                  <c:v>6.7171680787112428E-2</c:v>
                </c:pt>
                <c:pt idx="35">
                  <c:v>7.6048064404497004E-2</c:v>
                </c:pt>
                <c:pt idx="36">
                  <c:v>8.4924448021881482E-2</c:v>
                </c:pt>
                <c:pt idx="37">
                  <c:v>7.6048064404497004E-2</c:v>
                </c:pt>
                <c:pt idx="38">
                  <c:v>7.6048064404497004E-2</c:v>
                </c:pt>
                <c:pt idx="39">
                  <c:v>6.59036259846289E-2</c:v>
                </c:pt>
                <c:pt idx="40">
                  <c:v>6.9707790392079472E-2</c:v>
                </c:pt>
                <c:pt idx="41">
                  <c:v>4.5614749144892879E-2</c:v>
                </c:pt>
                <c:pt idx="42">
                  <c:v>4.6882803947376303E-2</c:v>
                </c:pt>
                <c:pt idx="43">
                  <c:v>4.6882803947376303E-2</c:v>
                </c:pt>
                <c:pt idx="44">
                  <c:v>7.351195479952996E-2</c:v>
                </c:pt>
                <c:pt idx="45">
                  <c:v>0.18129661301062799</c:v>
                </c:pt>
                <c:pt idx="46">
                  <c:v>0.22187436669010011</c:v>
                </c:pt>
                <c:pt idx="47">
                  <c:v>0.21426603787519921</c:v>
                </c:pt>
                <c:pt idx="48">
                  <c:v>0.16988411978827639</c:v>
                </c:pt>
                <c:pt idx="49">
                  <c:v>0.1102855440715516</c:v>
                </c:pt>
                <c:pt idx="50">
                  <c:v>7.7316119206980533E-2</c:v>
                </c:pt>
                <c:pt idx="51">
                  <c:v>8.9996667231815583E-2</c:v>
                </c:pt>
                <c:pt idx="52">
                  <c:v>0.10521332486161759</c:v>
                </c:pt>
                <c:pt idx="53">
                  <c:v>7.351195479952996E-2</c:v>
                </c:pt>
                <c:pt idx="54">
                  <c:v>8.6192502824365011E-2</c:v>
                </c:pt>
                <c:pt idx="55">
                  <c:v>8.3656393219398051E-2</c:v>
                </c:pt>
                <c:pt idx="56">
                  <c:v>8.2388338416914522E-2</c:v>
                </c:pt>
                <c:pt idx="57">
                  <c:v>5.5759187564760893E-2</c:v>
                </c:pt>
                <c:pt idx="58">
                  <c:v>5.0686968354826882E-2</c:v>
                </c:pt>
                <c:pt idx="59">
                  <c:v>4.18105847374423E-2</c:v>
                </c:pt>
                <c:pt idx="60">
                  <c:v>4.3078639539925821E-2</c:v>
                </c:pt>
                <c:pt idx="61">
                  <c:v>4.9418913552343353E-2</c:v>
                </c:pt>
                <c:pt idx="62">
                  <c:v>5.4491132762277357E-2</c:v>
                </c:pt>
                <c:pt idx="63">
                  <c:v>6.336751637966194E-2</c:v>
                </c:pt>
                <c:pt idx="64">
                  <c:v>7.858417400946395E-2</c:v>
                </c:pt>
                <c:pt idx="65">
                  <c:v>8.746055762684854E-2</c:v>
                </c:pt>
                <c:pt idx="66">
                  <c:v>9.6336941244233115E-2</c:v>
                </c:pt>
                <c:pt idx="67">
                  <c:v>0.1102855440715516</c:v>
                </c:pt>
                <c:pt idx="68">
                  <c:v>0.1102855440715516</c:v>
                </c:pt>
                <c:pt idx="69">
                  <c:v>0.1102855440715516</c:v>
                </c:pt>
                <c:pt idx="70">
                  <c:v>0.1102855440715516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54-4786-9A93-95A7392BD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46625648"/>
        <c:axId val="946628560"/>
      </c:barChart>
      <c:lineChart>
        <c:grouping val="standard"/>
        <c:varyColors val="0"/>
        <c:ser>
          <c:idx val="0"/>
          <c:order val="0"/>
          <c:tx>
            <c:strRef>
              <c:f>Donnees_auto!$D$1</c:f>
              <c:strCache>
                <c:ptCount val="1"/>
                <c:pt idx="0">
                  <c:v>Encours de dette (ménages et SNF)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Donnees_auto!$D$2:$D$72</c:f>
              <c:numCache>
                <c:formatCode>General</c:formatCode>
                <c:ptCount val="71"/>
                <c:pt idx="0">
                  <c:v>-3.3599883547810523E-2</c:v>
                </c:pt>
                <c:pt idx="1">
                  <c:v>-0.1245993203952518</c:v>
                </c:pt>
                <c:pt idx="2">
                  <c:v>-0.17547541952466111</c:v>
                </c:pt>
                <c:pt idx="3">
                  <c:v>-0.19225972957076551</c:v>
                </c:pt>
                <c:pt idx="4">
                  <c:v>-0.14952569434562529</c:v>
                </c:pt>
                <c:pt idx="5">
                  <c:v>-0.1050105783642432</c:v>
                </c:pt>
                <c:pt idx="6">
                  <c:v>-9.3981534229191324E-2</c:v>
                </c:pt>
                <c:pt idx="7">
                  <c:v>-2.887850285232664E-2</c:v>
                </c:pt>
                <c:pt idx="8">
                  <c:v>4.2168132643459061E-3</c:v>
                </c:pt>
                <c:pt idx="9">
                  <c:v>6.0030610342904467E-2</c:v>
                </c:pt>
                <c:pt idx="10">
                  <c:v>0.1258926126453935</c:v>
                </c:pt>
                <c:pt idx="11">
                  <c:v>0.1087962973474125</c:v>
                </c:pt>
                <c:pt idx="12">
                  <c:v>9.5627204026133339E-2</c:v>
                </c:pt>
                <c:pt idx="13">
                  <c:v>7.7741882966600784E-2</c:v>
                </c:pt>
                <c:pt idx="14">
                  <c:v>8.6973430038583977E-3</c:v>
                </c:pt>
                <c:pt idx="15">
                  <c:v>2.3120099873764989E-2</c:v>
                </c:pt>
                <c:pt idx="16">
                  <c:v>9.5372248556465818E-3</c:v>
                </c:pt>
                <c:pt idx="17">
                  <c:v>1.2041689494415661E-2</c:v>
                </c:pt>
                <c:pt idx="18">
                  <c:v>1.651869118852994E-2</c:v>
                </c:pt>
                <c:pt idx="19">
                  <c:v>-3.0887726439217389E-4</c:v>
                </c:pt>
                <c:pt idx="20">
                  <c:v>1.8777059067757101E-2</c:v>
                </c:pt>
                <c:pt idx="21">
                  <c:v>3.8430267711457779E-2</c:v>
                </c:pt>
                <c:pt idx="22">
                  <c:v>5.868268217011631E-2</c:v>
                </c:pt>
                <c:pt idx="23">
                  <c:v>6.219331071375412E-2</c:v>
                </c:pt>
                <c:pt idx="24">
                  <c:v>9.1330640506262065E-2</c:v>
                </c:pt>
                <c:pt idx="25">
                  <c:v>8.3599111512460522E-2</c:v>
                </c:pt>
                <c:pt idx="26">
                  <c:v>9.621167749860926E-2</c:v>
                </c:pt>
                <c:pt idx="27">
                  <c:v>0.12915011402184329</c:v>
                </c:pt>
                <c:pt idx="28">
                  <c:v>0.10331353080309021</c:v>
                </c:pt>
                <c:pt idx="29">
                  <c:v>0.13303743444916849</c:v>
                </c:pt>
                <c:pt idx="30">
                  <c:v>0.15547501846698331</c:v>
                </c:pt>
                <c:pt idx="31">
                  <c:v>0.1868678550138094</c:v>
                </c:pt>
                <c:pt idx="32">
                  <c:v>0.2442023058667066</c:v>
                </c:pt>
                <c:pt idx="33">
                  <c:v>0.28387363934004178</c:v>
                </c:pt>
                <c:pt idx="34">
                  <c:v>0.30532176559517848</c:v>
                </c:pt>
                <c:pt idx="35">
                  <c:v>0.32815084544367218</c:v>
                </c:pt>
                <c:pt idx="36">
                  <c:v>0.32992502029396881</c:v>
                </c:pt>
                <c:pt idx="37">
                  <c:v>0.32872263726493151</c:v>
                </c:pt>
                <c:pt idx="38">
                  <c:v>0.3450509308587304</c:v>
                </c:pt>
                <c:pt idx="39">
                  <c:v>0.34771257979299602</c:v>
                </c:pt>
                <c:pt idx="40">
                  <c:v>0.35441580025624508</c:v>
                </c:pt>
                <c:pt idx="41">
                  <c:v>0.35417582940446218</c:v>
                </c:pt>
                <c:pt idx="42">
                  <c:v>0.38039291482802079</c:v>
                </c:pt>
                <c:pt idx="43">
                  <c:v>0.38387213679183291</c:v>
                </c:pt>
                <c:pt idx="44">
                  <c:v>0.45127734612395148</c:v>
                </c:pt>
                <c:pt idx="45">
                  <c:v>0.67633922841706706</c:v>
                </c:pt>
                <c:pt idx="46">
                  <c:v>0.77138919591962551</c:v>
                </c:pt>
                <c:pt idx="47">
                  <c:v>0.78391946690046288</c:v>
                </c:pt>
                <c:pt idx="48">
                  <c:v>0.71738001907033377</c:v>
                </c:pt>
                <c:pt idx="49">
                  <c:v>0.55213308597050426</c:v>
                </c:pt>
                <c:pt idx="50">
                  <c:v>0.49255812096990842</c:v>
                </c:pt>
                <c:pt idx="51">
                  <c:v>0.50240000625713976</c:v>
                </c:pt>
                <c:pt idx="52">
                  <c:v>0.53557851128298184</c:v>
                </c:pt>
                <c:pt idx="53">
                  <c:v>0.53160076592420724</c:v>
                </c:pt>
                <c:pt idx="54">
                  <c:v>0.55427556363038266</c:v>
                </c:pt>
                <c:pt idx="55">
                  <c:v>0.52121002862686638</c:v>
                </c:pt>
                <c:pt idx="56">
                  <c:v>0.45047748593951831</c:v>
                </c:pt>
                <c:pt idx="57">
                  <c:v>0.31996545851235791</c:v>
                </c:pt>
                <c:pt idx="58">
                  <c:v>0.23209575628664059</c:v>
                </c:pt>
                <c:pt idx="59">
                  <c:v>0.1434082079363074</c:v>
                </c:pt>
                <c:pt idx="60">
                  <c:v>7.5383853573826362E-2</c:v>
                </c:pt>
                <c:pt idx="61">
                  <c:v>6.0874569681691602E-2</c:v>
                </c:pt>
                <c:pt idx="62">
                  <c:v>3.9448517589097593E-2</c:v>
                </c:pt>
                <c:pt idx="63">
                  <c:v>4.928779599848887E-2</c:v>
                </c:pt>
                <c:pt idx="64">
                  <c:v>7.3250687430598024E-2</c:v>
                </c:pt>
                <c:pt idx="65">
                  <c:v>8.940367176069422E-2</c:v>
                </c:pt>
                <c:pt idx="66">
                  <c:v>0.1177940348169985</c:v>
                </c:pt>
                <c:pt idx="67">
                  <c:v>0.13686539378563839</c:v>
                </c:pt>
                <c:pt idx="68">
                  <c:v>0.13436377580403941</c:v>
                </c:pt>
                <c:pt idx="69">
                  <c:v>0.14872483156366231</c:v>
                </c:pt>
                <c:pt idx="70">
                  <c:v>0.14872483156366231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69-4574-B594-37242275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625648"/>
        <c:axId val="946628560"/>
      </c:lineChart>
      <c:catAx>
        <c:axId val="94662564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46628560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94662856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46625648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0254392296386E-2"/>
          <c:y val="2.9303824333997971E-2"/>
          <c:w val="0.86999570074281551"/>
          <c:h val="0.76427743191975595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Donnees_auto!$O$1</c:f>
              <c:strCache>
                <c:ptCount val="1"/>
                <c:pt idx="0">
                  <c:v>Taux crédits nouveaux ménages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Donnees_auto!$O$2:$O$72</c:f>
              <c:numCache>
                <c:formatCode>General</c:formatCode>
                <c:ptCount val="71"/>
                <c:pt idx="0">
                  <c:v>6.624295543127412E-2</c:v>
                </c:pt>
                <c:pt idx="1">
                  <c:v>5.6901032607203583E-2</c:v>
                </c:pt>
                <c:pt idx="2">
                  <c:v>5.3908697952618483E-2</c:v>
                </c:pt>
                <c:pt idx="3">
                  <c:v>4.6975239606628597E-2</c:v>
                </c:pt>
                <c:pt idx="4">
                  <c:v>4.7121207150754713E-2</c:v>
                </c:pt>
                <c:pt idx="5">
                  <c:v>4.2231294422530277E-2</c:v>
                </c:pt>
                <c:pt idx="6">
                  <c:v>3.9603878628260453E-2</c:v>
                </c:pt>
                <c:pt idx="7">
                  <c:v>-6.4254463873578346E-3</c:v>
                </c:pt>
                <c:pt idx="8">
                  <c:v>-1.4695279181643601E-3</c:v>
                </c:pt>
                <c:pt idx="9">
                  <c:v>3.1363205207558661E-3</c:v>
                </c:pt>
                <c:pt idx="10">
                  <c:v>7.303870588803137E-3</c:v>
                </c:pt>
                <c:pt idx="11">
                  <c:v>7.1204714916630772E-3</c:v>
                </c:pt>
                <c:pt idx="12">
                  <c:v>1.292297966372748E-2</c:v>
                </c:pt>
                <c:pt idx="13">
                  <c:v>1.268413111339012E-2</c:v>
                </c:pt>
                <c:pt idx="14">
                  <c:v>7.8713027854780421E-3</c:v>
                </c:pt>
                <c:pt idx="15">
                  <c:v>2.176999272927093E-3</c:v>
                </c:pt>
                <c:pt idx="16">
                  <c:v>-2.177887695902935E-3</c:v>
                </c:pt>
                <c:pt idx="17">
                  <c:v>-7.3925280923400729E-3</c:v>
                </c:pt>
                <c:pt idx="18">
                  <c:v>-1.100303314390041E-2</c:v>
                </c:pt>
                <c:pt idx="19">
                  <c:v>-9.7013005130179419E-3</c:v>
                </c:pt>
                <c:pt idx="20">
                  <c:v>-7.0526563851373682E-3</c:v>
                </c:pt>
                <c:pt idx="21">
                  <c:v>-9.8661159745460011E-3</c:v>
                </c:pt>
                <c:pt idx="22">
                  <c:v>-1.5133950419027939E-2</c:v>
                </c:pt>
                <c:pt idx="23">
                  <c:v>-1.9381120864582321E-2</c:v>
                </c:pt>
                <c:pt idx="24">
                  <c:v>-2.4355754118244741E-2</c:v>
                </c:pt>
                <c:pt idx="25">
                  <c:v>-3.093085278651116E-2</c:v>
                </c:pt>
                <c:pt idx="26">
                  <c:v>-3.4000255497326687E-2</c:v>
                </c:pt>
                <c:pt idx="27">
                  <c:v>-3.0269937611836169E-2</c:v>
                </c:pt>
                <c:pt idx="28">
                  <c:v>-3.051872301207368E-2</c:v>
                </c:pt>
                <c:pt idx="29">
                  <c:v>-3.7882992171081008E-2</c:v>
                </c:pt>
                <c:pt idx="30">
                  <c:v>-4.4141299841550831E-2</c:v>
                </c:pt>
                <c:pt idx="31">
                  <c:v>-4.8176878419083267E-2</c:v>
                </c:pt>
                <c:pt idx="32">
                  <c:v>-4.8339423833579663E-2</c:v>
                </c:pt>
                <c:pt idx="33">
                  <c:v>-4.6828576879770871E-2</c:v>
                </c:pt>
                <c:pt idx="34">
                  <c:v>-4.4445910729149163E-2</c:v>
                </c:pt>
                <c:pt idx="35">
                  <c:v>-4.5842709484419847E-2</c:v>
                </c:pt>
                <c:pt idx="36">
                  <c:v>-4.5955670448483268E-2</c:v>
                </c:pt>
                <c:pt idx="37">
                  <c:v>-4.7081636326838323E-2</c:v>
                </c:pt>
                <c:pt idx="38">
                  <c:v>-4.8613597130860338E-2</c:v>
                </c:pt>
                <c:pt idx="39">
                  <c:v>-4.9070225369024237E-2</c:v>
                </c:pt>
                <c:pt idx="40">
                  <c:v>-4.8298635077090923E-2</c:v>
                </c:pt>
                <c:pt idx="41">
                  <c:v>-4.9407980076210348E-2</c:v>
                </c:pt>
                <c:pt idx="42">
                  <c:v>-5.3225831882150083E-2</c:v>
                </c:pt>
                <c:pt idx="43">
                  <c:v>-5.5487773783034398E-2</c:v>
                </c:pt>
                <c:pt idx="44">
                  <c:v>-5.5334820334033419E-2</c:v>
                </c:pt>
                <c:pt idx="45">
                  <c:v>-5.5724155958709512E-2</c:v>
                </c:pt>
                <c:pt idx="46">
                  <c:v>-5.2483071879814817E-2</c:v>
                </c:pt>
                <c:pt idx="47">
                  <c:v>-5.5500702522203703E-2</c:v>
                </c:pt>
                <c:pt idx="48">
                  <c:v>-5.5274916608279573E-2</c:v>
                </c:pt>
                <c:pt idx="49">
                  <c:v>-5.8962934055014259E-2</c:v>
                </c:pt>
                <c:pt idx="50">
                  <c:v>-5.9379713167086179E-2</c:v>
                </c:pt>
                <c:pt idx="51">
                  <c:v>-5.8515844924012073E-2</c:v>
                </c:pt>
                <c:pt idx="52">
                  <c:v>-5.7867667960613482E-2</c:v>
                </c:pt>
                <c:pt idx="53">
                  <c:v>-5.5016613174899642E-2</c:v>
                </c:pt>
                <c:pt idx="54">
                  <c:v>-4.7609585407766393E-2</c:v>
                </c:pt>
                <c:pt idx="55">
                  <c:v>-3.6346262708930349E-2</c:v>
                </c:pt>
                <c:pt idx="56">
                  <c:v>-2.1420639846771811E-2</c:v>
                </c:pt>
                <c:pt idx="57">
                  <c:v>-8.763669532559094E-3</c:v>
                </c:pt>
                <c:pt idx="58">
                  <c:v>2.7168513814683709E-3</c:v>
                </c:pt>
                <c:pt idx="59">
                  <c:v>1.2331535137908099E-2</c:v>
                </c:pt>
                <c:pt idx="60">
                  <c:v>1.790197297506815E-2</c:v>
                </c:pt>
                <c:pt idx="61">
                  <c:v>1.1671652737143681E-2</c:v>
                </c:pt>
                <c:pt idx="62">
                  <c:v>6.3595390039463493E-3</c:v>
                </c:pt>
                <c:pt idx="63">
                  <c:v>2.993688256535878E-3</c:v>
                </c:pt>
                <c:pt idx="64">
                  <c:v>2.3420191774870241E-4</c:v>
                </c:pt>
                <c:pt idx="65">
                  <c:v>-4.794812652666779E-3</c:v>
                </c:pt>
                <c:pt idx="66">
                  <c:v>-7.0186388359286906E-3</c:v>
                </c:pt>
                <c:pt idx="67">
                  <c:v>-6.6628626386774654E-3</c:v>
                </c:pt>
                <c:pt idx="68">
                  <c:v>-2.2107110599879978E-3</c:v>
                </c:pt>
                <c:pt idx="69">
                  <c:v>-2.573015553794614E-3</c:v>
                </c:pt>
                <c:pt idx="70">
                  <c:v>-2.573015553794614E-3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2-472A-8E58-45A43DCAF497}"/>
            </c:ext>
          </c:extLst>
        </c:ser>
        <c:ser>
          <c:idx val="2"/>
          <c:order val="2"/>
          <c:tx>
            <c:strRef>
              <c:f>Donnees_auto!$P$1</c:f>
              <c:strCache>
                <c:ptCount val="1"/>
                <c:pt idx="0">
                  <c:v>Taux crédits nouveaux SNF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Donnees_auto!$P$2:$P$72</c:f>
              <c:numCache>
                <c:formatCode>General</c:formatCode>
                <c:ptCount val="71"/>
                <c:pt idx="0">
                  <c:v>1.5917883172514871E-2</c:v>
                </c:pt>
                <c:pt idx="1">
                  <c:v>-1.127675717651763E-3</c:v>
                </c:pt>
                <c:pt idx="2">
                  <c:v>-6.9912654854780484E-3</c:v>
                </c:pt>
                <c:pt idx="3">
                  <c:v>-9.2046906056487098E-3</c:v>
                </c:pt>
                <c:pt idx="4">
                  <c:v>-1.2480690119666569E-2</c:v>
                </c:pt>
                <c:pt idx="5">
                  <c:v>-1.247181611040755E-2</c:v>
                </c:pt>
                <c:pt idx="6">
                  <c:v>-7.8663027881399668E-3</c:v>
                </c:pt>
                <c:pt idx="7">
                  <c:v>-3.5826687828660951E-3</c:v>
                </c:pt>
                <c:pt idx="8">
                  <c:v>-2.1706610584180711E-5</c:v>
                </c:pt>
                <c:pt idx="9">
                  <c:v>6.7558372714922408E-3</c:v>
                </c:pt>
                <c:pt idx="10">
                  <c:v>1.117008647989179E-2</c:v>
                </c:pt>
                <c:pt idx="11">
                  <c:v>1.3529168028413301E-2</c:v>
                </c:pt>
                <c:pt idx="12">
                  <c:v>8.3388878978552083E-3</c:v>
                </c:pt>
                <c:pt idx="13">
                  <c:v>-1.859215223246461E-3</c:v>
                </c:pt>
                <c:pt idx="14">
                  <c:v>-1.027462639534704E-2</c:v>
                </c:pt>
                <c:pt idx="15">
                  <c:v>-1.39059312649114E-2</c:v>
                </c:pt>
                <c:pt idx="16">
                  <c:v>-1.537554631709733E-2</c:v>
                </c:pt>
                <c:pt idx="17">
                  <c:v>-1.6247268873301201E-2</c:v>
                </c:pt>
                <c:pt idx="18">
                  <c:v>-1.6439717018809731E-2</c:v>
                </c:pt>
                <c:pt idx="19">
                  <c:v>-1.2811366220894269E-2</c:v>
                </c:pt>
                <c:pt idx="20">
                  <c:v>-1.283187293498521E-2</c:v>
                </c:pt>
                <c:pt idx="21">
                  <c:v>-1.5225720399828431E-2</c:v>
                </c:pt>
                <c:pt idx="22">
                  <c:v>-1.7687677282880499E-2</c:v>
                </c:pt>
                <c:pt idx="23">
                  <c:v>-2.2540035388942462E-2</c:v>
                </c:pt>
                <c:pt idx="24">
                  <c:v>-2.751990018334639E-2</c:v>
                </c:pt>
                <c:pt idx="25">
                  <c:v>-2.9301702947652868E-2</c:v>
                </c:pt>
                <c:pt idx="26">
                  <c:v>-3.0547435075483159E-2</c:v>
                </c:pt>
                <c:pt idx="27">
                  <c:v>-2.890480108496735E-2</c:v>
                </c:pt>
                <c:pt idx="28">
                  <c:v>-3.0947743061003591E-2</c:v>
                </c:pt>
                <c:pt idx="29">
                  <c:v>-3.1910125210648559E-2</c:v>
                </c:pt>
                <c:pt idx="30">
                  <c:v>-3.370944147867045E-2</c:v>
                </c:pt>
                <c:pt idx="31">
                  <c:v>-3.6507665730297109E-2</c:v>
                </c:pt>
                <c:pt idx="32">
                  <c:v>-3.6144587842778103E-2</c:v>
                </c:pt>
                <c:pt idx="33">
                  <c:v>-3.4966449335402203E-2</c:v>
                </c:pt>
                <c:pt idx="34">
                  <c:v>-3.7260193551538728E-2</c:v>
                </c:pt>
                <c:pt idx="35">
                  <c:v>-3.715930502235662E-2</c:v>
                </c:pt>
                <c:pt idx="36">
                  <c:v>-3.7165551768115902E-2</c:v>
                </c:pt>
                <c:pt idx="37">
                  <c:v>-3.7617979759242012E-2</c:v>
                </c:pt>
                <c:pt idx="38">
                  <c:v>-3.7580068855822511E-2</c:v>
                </c:pt>
                <c:pt idx="39">
                  <c:v>-3.6946976298553702E-2</c:v>
                </c:pt>
                <c:pt idx="40">
                  <c:v>-3.6317809208302812E-2</c:v>
                </c:pt>
                <c:pt idx="41">
                  <c:v>-3.7461226237944137E-2</c:v>
                </c:pt>
                <c:pt idx="42">
                  <c:v>-3.8412804013776031E-2</c:v>
                </c:pt>
                <c:pt idx="43">
                  <c:v>-3.9869774855279178E-2</c:v>
                </c:pt>
                <c:pt idx="44">
                  <c:v>-4.1144231554035397E-2</c:v>
                </c:pt>
                <c:pt idx="45">
                  <c:v>-5.4754394611618622E-2</c:v>
                </c:pt>
                <c:pt idx="46">
                  <c:v>-4.6428589699934367E-2</c:v>
                </c:pt>
                <c:pt idx="47">
                  <c:v>-4.3113103533873078E-2</c:v>
                </c:pt>
                <c:pt idx="48">
                  <c:v>-4.2864268041887497E-2</c:v>
                </c:pt>
                <c:pt idx="49">
                  <c:v>-4.2167719479698287E-2</c:v>
                </c:pt>
                <c:pt idx="50">
                  <c:v>-4.0232622098814112E-2</c:v>
                </c:pt>
                <c:pt idx="51">
                  <c:v>-4.1094714479995617E-2</c:v>
                </c:pt>
                <c:pt idx="52">
                  <c:v>-4.2580117731315668E-2</c:v>
                </c:pt>
                <c:pt idx="53">
                  <c:v>-3.7969976014343258E-2</c:v>
                </c:pt>
                <c:pt idx="54">
                  <c:v>-2.4342128344153009E-2</c:v>
                </c:pt>
                <c:pt idx="55">
                  <c:v>3.119963004791248E-3</c:v>
                </c:pt>
                <c:pt idx="56">
                  <c:v>2.3618612195958021E-2</c:v>
                </c:pt>
                <c:pt idx="57">
                  <c:v>3.899705784464079E-2</c:v>
                </c:pt>
                <c:pt idx="58">
                  <c:v>4.9953850215763963E-2</c:v>
                </c:pt>
                <c:pt idx="59">
                  <c:v>5.7740068793502658E-2</c:v>
                </c:pt>
                <c:pt idx="60">
                  <c:v>5.5865347696441282E-2</c:v>
                </c:pt>
                <c:pt idx="61">
                  <c:v>5.1650997925995652E-2</c:v>
                </c:pt>
                <c:pt idx="62">
                  <c:v>5.0337257646731269E-2</c:v>
                </c:pt>
                <c:pt idx="63">
                  <c:v>4.1660188520427383E-2</c:v>
                </c:pt>
                <c:pt idx="64">
                  <c:v>3.275213829868321E-2</c:v>
                </c:pt>
                <c:pt idx="65">
                  <c:v>2.3452467739221081E-2</c:v>
                </c:pt>
                <c:pt idx="66">
                  <c:v>1.9660545931175059E-2</c:v>
                </c:pt>
                <c:pt idx="67">
                  <c:v>1.9913052448781051E-2</c:v>
                </c:pt>
                <c:pt idx="68">
                  <c:v>2.1158330216257529E-2</c:v>
                </c:pt>
                <c:pt idx="69">
                  <c:v>2.34457342415888E-2</c:v>
                </c:pt>
                <c:pt idx="70">
                  <c:v>2.34457342415888E-2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2-472A-8E58-45A43DCAF497}"/>
            </c:ext>
          </c:extLst>
        </c:ser>
        <c:ser>
          <c:idx val="3"/>
          <c:order val="3"/>
          <c:tx>
            <c:strRef>
              <c:f>Donnees_auto!$Q$1</c:f>
              <c:strCache>
                <c:ptCount val="1"/>
                <c:pt idx="0">
                  <c:v>Durcissement conditions d'octroi - SNF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Donnees_auto!$Q$2:$Q$72</c:f>
              <c:numCache>
                <c:formatCode>General</c:formatCode>
                <c:ptCount val="71"/>
                <c:pt idx="0">
                  <c:v>3.4927161922529121E-2</c:v>
                </c:pt>
                <c:pt idx="1">
                  <c:v>1.736755209657118E-3</c:v>
                </c:pt>
                <c:pt idx="2">
                  <c:v>1.736755209657118E-3</c:v>
                </c:pt>
                <c:pt idx="3">
                  <c:v>-2.0390182598924219E-2</c:v>
                </c:pt>
                <c:pt idx="4">
                  <c:v>-3.1453651503214893E-2</c:v>
                </c:pt>
                <c:pt idx="5">
                  <c:v>-2.0390182598924219E-2</c:v>
                </c:pt>
                <c:pt idx="6">
                  <c:v>-9.326713694633549E-3</c:v>
                </c:pt>
                <c:pt idx="7">
                  <c:v>-2.0390182598924219E-2</c:v>
                </c:pt>
                <c:pt idx="8">
                  <c:v>-2.0390182598924219E-2</c:v>
                </c:pt>
                <c:pt idx="9">
                  <c:v>-9.326713694633549E-3</c:v>
                </c:pt>
                <c:pt idx="10">
                  <c:v>-3.1453651503214893E-2</c:v>
                </c:pt>
                <c:pt idx="11">
                  <c:v>1.2800224113947789E-2</c:v>
                </c:pt>
                <c:pt idx="12">
                  <c:v>6.8117570007024147E-2</c:v>
                </c:pt>
                <c:pt idx="13">
                  <c:v>-2.0390182598924219E-2</c:v>
                </c:pt>
                <c:pt idx="14">
                  <c:v>1.736755209657118E-3</c:v>
                </c:pt>
                <c:pt idx="15">
                  <c:v>-9.326713694633549E-3</c:v>
                </c:pt>
                <c:pt idx="16">
                  <c:v>1.736755209657118E-3</c:v>
                </c:pt>
                <c:pt idx="17">
                  <c:v>-9.326713694633549E-3</c:v>
                </c:pt>
                <c:pt idx="18">
                  <c:v>-9.326713694633549E-3</c:v>
                </c:pt>
                <c:pt idx="19">
                  <c:v>-9.326713694633549E-3</c:v>
                </c:pt>
                <c:pt idx="20">
                  <c:v>-9.326713694633549E-3</c:v>
                </c:pt>
                <c:pt idx="21">
                  <c:v>-9.326713694633549E-3</c:v>
                </c:pt>
                <c:pt idx="22">
                  <c:v>-2.0390182598924219E-2</c:v>
                </c:pt>
                <c:pt idx="23">
                  <c:v>-2.0390182598924219E-2</c:v>
                </c:pt>
                <c:pt idx="24">
                  <c:v>-2.0390182598924219E-2</c:v>
                </c:pt>
                <c:pt idx="25">
                  <c:v>-2.0390182598924219E-2</c:v>
                </c:pt>
                <c:pt idx="26">
                  <c:v>-2.0390182598924219E-2</c:v>
                </c:pt>
                <c:pt idx="27">
                  <c:v>1.736755209657118E-3</c:v>
                </c:pt>
                <c:pt idx="28">
                  <c:v>1.736755209657118E-3</c:v>
                </c:pt>
                <c:pt idx="29">
                  <c:v>1.736755209657118E-3</c:v>
                </c:pt>
                <c:pt idx="30">
                  <c:v>-2.0390182598924219E-2</c:v>
                </c:pt>
                <c:pt idx="31">
                  <c:v>-9.326713694633549E-3</c:v>
                </c:pt>
                <c:pt idx="32">
                  <c:v>-9.326713694633549E-3</c:v>
                </c:pt>
                <c:pt idx="33">
                  <c:v>-9.326713694633549E-3</c:v>
                </c:pt>
                <c:pt idx="34">
                  <c:v>-9.326713694633549E-3</c:v>
                </c:pt>
                <c:pt idx="35">
                  <c:v>-9.326713694633549E-3</c:v>
                </c:pt>
                <c:pt idx="36">
                  <c:v>-9.326713694633549E-3</c:v>
                </c:pt>
                <c:pt idx="37">
                  <c:v>-2.0390182598924219E-2</c:v>
                </c:pt>
                <c:pt idx="38">
                  <c:v>-9.326713694633549E-3</c:v>
                </c:pt>
                <c:pt idx="39">
                  <c:v>-9.326713694633549E-3</c:v>
                </c:pt>
                <c:pt idx="40">
                  <c:v>-9.326713694633549E-3</c:v>
                </c:pt>
                <c:pt idx="41">
                  <c:v>-2.1312138226646519E-2</c:v>
                </c:pt>
                <c:pt idx="42">
                  <c:v>1.4644135369392391E-2</c:v>
                </c:pt>
                <c:pt idx="43">
                  <c:v>2.6587108373794209E-3</c:v>
                </c:pt>
                <c:pt idx="44">
                  <c:v>2.6587108373794209E-3</c:v>
                </c:pt>
                <c:pt idx="45">
                  <c:v>-9.326713694633549E-3</c:v>
                </c:pt>
                <c:pt idx="46">
                  <c:v>-4.5282988662295492E-2</c:v>
                </c:pt>
                <c:pt idx="47">
                  <c:v>2.6587108373794209E-3</c:v>
                </c:pt>
                <c:pt idx="48">
                  <c:v>2.6587108373794209E-3</c:v>
                </c:pt>
                <c:pt idx="49">
                  <c:v>-9.326713694633549E-3</c:v>
                </c:pt>
                <c:pt idx="50">
                  <c:v>-9.326713694633549E-3</c:v>
                </c:pt>
                <c:pt idx="51">
                  <c:v>-9.326713694633549E-3</c:v>
                </c:pt>
                <c:pt idx="52">
                  <c:v>-9.326713694633549E-3</c:v>
                </c:pt>
                <c:pt idx="53">
                  <c:v>-9.326713694633549E-3</c:v>
                </c:pt>
                <c:pt idx="54">
                  <c:v>2.6629561273028391E-2</c:v>
                </c:pt>
                <c:pt idx="55">
                  <c:v>2.6587108373794209E-3</c:v>
                </c:pt>
                <c:pt idx="56">
                  <c:v>5.7054102474356522E-2</c:v>
                </c:pt>
                <c:pt idx="57">
                  <c:v>6.2585836240690335E-2</c:v>
                </c:pt>
                <c:pt idx="58">
                  <c:v>2.6629561273028391E-2</c:v>
                </c:pt>
                <c:pt idx="59">
                  <c:v>1.4644135369392391E-2</c:v>
                </c:pt>
                <c:pt idx="60">
                  <c:v>-9.326713694633549E-3</c:v>
                </c:pt>
                <c:pt idx="61">
                  <c:v>-9.326713694633549E-3</c:v>
                </c:pt>
                <c:pt idx="62">
                  <c:v>2.658711294587098E-3</c:v>
                </c:pt>
                <c:pt idx="63">
                  <c:v>-9.326713694633549E-3</c:v>
                </c:pt>
                <c:pt idx="64">
                  <c:v>3.7482953845162509E-3</c:v>
                </c:pt>
                <c:pt idx="65">
                  <c:v>-9.326713694633549E-3</c:v>
                </c:pt>
                <c:pt idx="66">
                  <c:v>-9.326713694633549E-3</c:v>
                </c:pt>
                <c:pt idx="67">
                  <c:v>-9.326713694633549E-3</c:v>
                </c:pt>
                <c:pt idx="68">
                  <c:v>5.0557962924312298E-3</c:v>
                </c:pt>
                <c:pt idx="69">
                  <c:v>3.7482953845162509E-3</c:v>
                </c:pt>
                <c:pt idx="70">
                  <c:v>1.6823304463666051E-2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12-472A-8E58-45A43DCAF497}"/>
            </c:ext>
          </c:extLst>
        </c:ser>
        <c:ser>
          <c:idx val="4"/>
          <c:order val="4"/>
          <c:tx>
            <c:strRef>
              <c:f>Donnees_auto!$R$1</c:f>
              <c:strCache>
                <c:ptCount val="1"/>
                <c:pt idx="0">
                  <c:v>Durcissement conditions d'octroi - Ménages</c:v>
                </c:pt>
              </c:strCache>
            </c:strRef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Donnees_auto!$R$2:$R$72</c:f>
              <c:numCache>
                <c:formatCode>General</c:formatCode>
                <c:ptCount val="71"/>
                <c:pt idx="0">
                  <c:v>2.233269995927209E-2</c:v>
                </c:pt>
                <c:pt idx="1">
                  <c:v>4.6613700086454773E-3</c:v>
                </c:pt>
                <c:pt idx="2">
                  <c:v>1.2515294539336331E-2</c:v>
                </c:pt>
                <c:pt idx="3">
                  <c:v>-3.192554522045375E-3</c:v>
                </c:pt>
                <c:pt idx="4">
                  <c:v>-1.104647905273623E-2</c:v>
                </c:pt>
                <c:pt idx="5">
                  <c:v>-3.192554522045375E-3</c:v>
                </c:pt>
                <c:pt idx="6">
                  <c:v>-3.192554522045375E-3</c:v>
                </c:pt>
                <c:pt idx="7">
                  <c:v>-4.2462178149210862E-2</c:v>
                </c:pt>
                <c:pt idx="8">
                  <c:v>-3.192554522045375E-3</c:v>
                </c:pt>
                <c:pt idx="9">
                  <c:v>4.6613700086454773E-3</c:v>
                </c:pt>
                <c:pt idx="10">
                  <c:v>-3.192554522045375E-3</c:v>
                </c:pt>
                <c:pt idx="11">
                  <c:v>1.2515294539336331E-2</c:v>
                </c:pt>
                <c:pt idx="12">
                  <c:v>2.822314457442926E-2</c:v>
                </c:pt>
                <c:pt idx="13">
                  <c:v>4.6613700086454773E-3</c:v>
                </c:pt>
                <c:pt idx="14">
                  <c:v>4.6613700086454773E-3</c:v>
                </c:pt>
                <c:pt idx="15">
                  <c:v>-3.192554522045375E-3</c:v>
                </c:pt>
                <c:pt idx="16">
                  <c:v>2.0369219070027179E-2</c:v>
                </c:pt>
                <c:pt idx="17">
                  <c:v>1.2515294539336331E-2</c:v>
                </c:pt>
                <c:pt idx="18">
                  <c:v>4.6613700086454773E-3</c:v>
                </c:pt>
                <c:pt idx="19">
                  <c:v>1.2515294539336331E-2</c:v>
                </c:pt>
                <c:pt idx="20">
                  <c:v>4.6613700086454773E-3</c:v>
                </c:pt>
                <c:pt idx="21">
                  <c:v>4.6613700086454773E-3</c:v>
                </c:pt>
                <c:pt idx="22">
                  <c:v>-3.192554522045375E-3</c:v>
                </c:pt>
                <c:pt idx="23">
                  <c:v>-1.8900403583427081E-2</c:v>
                </c:pt>
                <c:pt idx="24">
                  <c:v>-1.104647905273623E-2</c:v>
                </c:pt>
                <c:pt idx="25">
                  <c:v>-3.192554522045375E-3</c:v>
                </c:pt>
                <c:pt idx="26">
                  <c:v>-1.104647905273623E-2</c:v>
                </c:pt>
                <c:pt idx="27">
                  <c:v>4.6613700086454773E-3</c:v>
                </c:pt>
                <c:pt idx="28">
                  <c:v>-1.104647905273623E-2</c:v>
                </c:pt>
                <c:pt idx="29">
                  <c:v>-3.192554522045375E-3</c:v>
                </c:pt>
                <c:pt idx="30">
                  <c:v>-1.104647905273623E-2</c:v>
                </c:pt>
                <c:pt idx="31">
                  <c:v>-1.8900403583427081E-2</c:v>
                </c:pt>
                <c:pt idx="32">
                  <c:v>-3.192554522045375E-3</c:v>
                </c:pt>
                <c:pt idx="33">
                  <c:v>-3.192554522045375E-3</c:v>
                </c:pt>
                <c:pt idx="34">
                  <c:v>-3.192554522045375E-3</c:v>
                </c:pt>
                <c:pt idx="35">
                  <c:v>-1.104647905273623E-2</c:v>
                </c:pt>
                <c:pt idx="36">
                  <c:v>-1.104647905273623E-2</c:v>
                </c:pt>
                <c:pt idx="37">
                  <c:v>-2.528171744718425E-2</c:v>
                </c:pt>
                <c:pt idx="38">
                  <c:v>-1.104647905273623E-2</c:v>
                </c:pt>
                <c:pt idx="39">
                  <c:v>-1.104647905273623E-2</c:v>
                </c:pt>
                <c:pt idx="40">
                  <c:v>-1.74277929164934E-2</c:v>
                </c:pt>
                <c:pt idx="41">
                  <c:v>-1.1700972682484529E-2</c:v>
                </c:pt>
                <c:pt idx="42">
                  <c:v>-1.1700972682484529E-2</c:v>
                </c:pt>
                <c:pt idx="43">
                  <c:v>-3.192554522045375E-3</c:v>
                </c:pt>
                <c:pt idx="44">
                  <c:v>5.3158636383937793E-3</c:v>
                </c:pt>
                <c:pt idx="45">
                  <c:v>4.7857956388011998E-2</c:v>
                </c:pt>
                <c:pt idx="46">
                  <c:v>3.5946170184428201E-2</c:v>
                </c:pt>
                <c:pt idx="47">
                  <c:v>5.4664691013734452E-2</c:v>
                </c:pt>
                <c:pt idx="48">
                  <c:v>4.445458737115613E-2</c:v>
                </c:pt>
                <c:pt idx="49">
                  <c:v>-4.8942380567620842E-3</c:v>
                </c:pt>
                <c:pt idx="50">
                  <c:v>-3.192554522045375E-3</c:v>
                </c:pt>
                <c:pt idx="51">
                  <c:v>-1.490870987328667E-3</c:v>
                </c:pt>
                <c:pt idx="52">
                  <c:v>-9.9992891477678203E-3</c:v>
                </c:pt>
                <c:pt idx="53">
                  <c:v>-9.9992891477678203E-3</c:v>
                </c:pt>
                <c:pt idx="54">
                  <c:v>1.382428179883294E-2</c:v>
                </c:pt>
                <c:pt idx="55">
                  <c:v>3.9349539201284062E-2</c:v>
                </c:pt>
                <c:pt idx="56">
                  <c:v>1.97028257154362E-2</c:v>
                </c:pt>
                <c:pt idx="57">
                  <c:v>1.7227649841977579E-2</c:v>
                </c:pt>
                <c:pt idx="58">
                  <c:v>5.3692301604831377E-2</c:v>
                </c:pt>
                <c:pt idx="59">
                  <c:v>2.88963383281939E-2</c:v>
                </c:pt>
                <c:pt idx="60">
                  <c:v>1.1393305737971021E-2</c:v>
                </c:pt>
                <c:pt idx="61">
                  <c:v>-1.8027745726677431E-2</c:v>
                </c:pt>
                <c:pt idx="62">
                  <c:v>-3.7226228462083621E-2</c:v>
                </c:pt>
                <c:pt idx="63">
                  <c:v>-1.8027745726677431E-2</c:v>
                </c:pt>
                <c:pt idx="64">
                  <c:v>-7.4467637645501579E-3</c:v>
                </c:pt>
                <c:pt idx="65">
                  <c:v>-2.02093914920645E-2</c:v>
                </c:pt>
                <c:pt idx="66">
                  <c:v>1.382428244797375E-2</c:v>
                </c:pt>
                <c:pt idx="67">
                  <c:v>-3.192554522045375E-3</c:v>
                </c:pt>
                <c:pt idx="68">
                  <c:v>-8.496503707505881E-3</c:v>
                </c:pt>
                <c:pt idx="69">
                  <c:v>2.82231444995284E-2</c:v>
                </c:pt>
                <c:pt idx="70">
                  <c:v>4.0985772227042742E-2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12-472A-8E58-45A43DCAF497}"/>
            </c:ext>
          </c:extLst>
        </c:ser>
        <c:ser>
          <c:idx val="5"/>
          <c:order val="5"/>
          <c:tx>
            <c:strRef>
              <c:f>Donnees_auto!$S$1</c:f>
              <c:strCache>
                <c:ptCount val="1"/>
                <c:pt idx="0">
                  <c:v>Part SNF avec contraintes de crédit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Donnees_auto!$S$2:$S$72</c:f>
              <c:numCache>
                <c:formatCode>General</c:formatCode>
                <c:ptCount val="71"/>
                <c:pt idx="0">
                  <c:v>1.8655584767741151E-2</c:v>
                </c:pt>
                <c:pt idx="1">
                  <c:v>1.8655584767741151E-2</c:v>
                </c:pt>
                <c:pt idx="2">
                  <c:v>1.419926025316426E-2</c:v>
                </c:pt>
                <c:pt idx="3">
                  <c:v>1.419926025316426E-2</c:v>
                </c:pt>
                <c:pt idx="4">
                  <c:v>9.7905741219824036E-4</c:v>
                </c:pt>
                <c:pt idx="5">
                  <c:v>9.7905741219824036E-4</c:v>
                </c:pt>
                <c:pt idx="6">
                  <c:v>4.697941902006981E-3</c:v>
                </c:pt>
                <c:pt idx="7">
                  <c:v>4.697941902006981E-3</c:v>
                </c:pt>
                <c:pt idx="8">
                  <c:v>2.440560517669732E-2</c:v>
                </c:pt>
                <c:pt idx="9">
                  <c:v>2.440560517669732E-2</c:v>
                </c:pt>
                <c:pt idx="10">
                  <c:v>3.1028552111386141E-2</c:v>
                </c:pt>
                <c:pt idx="11">
                  <c:v>3.1028552111386141E-2</c:v>
                </c:pt>
                <c:pt idx="12">
                  <c:v>2.7871237171908581E-2</c:v>
                </c:pt>
                <c:pt idx="13">
                  <c:v>2.7871237171908581E-2</c:v>
                </c:pt>
                <c:pt idx="14">
                  <c:v>2.4912629176567232E-2</c:v>
                </c:pt>
                <c:pt idx="15">
                  <c:v>2.4912629176567232E-2</c:v>
                </c:pt>
                <c:pt idx="16">
                  <c:v>2.2632689425750759E-2</c:v>
                </c:pt>
                <c:pt idx="17">
                  <c:v>2.2632689425750759E-2</c:v>
                </c:pt>
                <c:pt idx="18">
                  <c:v>1.8693892698513671E-2</c:v>
                </c:pt>
                <c:pt idx="19">
                  <c:v>1.8693892698513671E-2</c:v>
                </c:pt>
                <c:pt idx="20">
                  <c:v>8.2269179143601798E-3</c:v>
                </c:pt>
                <c:pt idx="21">
                  <c:v>8.2269179143601798E-3</c:v>
                </c:pt>
                <c:pt idx="22">
                  <c:v>-1.104994302104024E-2</c:v>
                </c:pt>
                <c:pt idx="23">
                  <c:v>-1.104994302104024E-2</c:v>
                </c:pt>
                <c:pt idx="24">
                  <c:v>-1.0003388888430361E-2</c:v>
                </c:pt>
                <c:pt idx="25">
                  <c:v>-1.0003388888430361E-2</c:v>
                </c:pt>
                <c:pt idx="26">
                  <c:v>-9.1788205644693591E-3</c:v>
                </c:pt>
                <c:pt idx="27">
                  <c:v>-9.1788205644693591E-3</c:v>
                </c:pt>
                <c:pt idx="28">
                  <c:v>-1.686108187993442E-2</c:v>
                </c:pt>
                <c:pt idx="29">
                  <c:v>-1.686108187993442E-2</c:v>
                </c:pt>
                <c:pt idx="30">
                  <c:v>-1.9620463920464591E-2</c:v>
                </c:pt>
                <c:pt idx="31">
                  <c:v>-1.9620463920464591E-2</c:v>
                </c:pt>
                <c:pt idx="32">
                  <c:v>-2.0354703379403691E-2</c:v>
                </c:pt>
                <c:pt idx="33">
                  <c:v>-2.0354703379403691E-2</c:v>
                </c:pt>
                <c:pt idx="34">
                  <c:v>-2.176968712556759E-2</c:v>
                </c:pt>
                <c:pt idx="35">
                  <c:v>-2.176968712556759E-2</c:v>
                </c:pt>
                <c:pt idx="36">
                  <c:v>-1.542757439563245E-2</c:v>
                </c:pt>
                <c:pt idx="37">
                  <c:v>-1.542757439563245E-2</c:v>
                </c:pt>
                <c:pt idx="38">
                  <c:v>-1.6913316597152311E-2</c:v>
                </c:pt>
                <c:pt idx="39">
                  <c:v>-1.6913316597152311E-2</c:v>
                </c:pt>
                <c:pt idx="40">
                  <c:v>-2.0851569598920379E-2</c:v>
                </c:pt>
                <c:pt idx="41">
                  <c:v>-2.0851569598920379E-2</c:v>
                </c:pt>
                <c:pt idx="42">
                  <c:v>-2.0006335999917139E-2</c:v>
                </c:pt>
                <c:pt idx="43">
                  <c:v>-2.0006335999917139E-2</c:v>
                </c:pt>
                <c:pt idx="44">
                  <c:v>-1.2053883905754639E-2</c:v>
                </c:pt>
                <c:pt idx="45">
                  <c:v>-1.2053883905754639E-2</c:v>
                </c:pt>
                <c:pt idx="46">
                  <c:v>-1.230988839266922E-2</c:v>
                </c:pt>
                <c:pt idx="47">
                  <c:v>-1.230988839266922E-2</c:v>
                </c:pt>
                <c:pt idx="48">
                  <c:v>-1.212651079954054E-2</c:v>
                </c:pt>
                <c:pt idx="49">
                  <c:v>-1.212651079954054E-2</c:v>
                </c:pt>
                <c:pt idx="50">
                  <c:v>-1.4087871912135071E-2</c:v>
                </c:pt>
                <c:pt idx="51">
                  <c:v>-1.4087871912135071E-2</c:v>
                </c:pt>
                <c:pt idx="52">
                  <c:v>-2.3105304871478879E-4</c:v>
                </c:pt>
                <c:pt idx="53">
                  <c:v>-2.3105304871478879E-4</c:v>
                </c:pt>
                <c:pt idx="54">
                  <c:v>7.3996649458958413E-4</c:v>
                </c:pt>
                <c:pt idx="55">
                  <c:v>7.3996649458958413E-4</c:v>
                </c:pt>
                <c:pt idx="56">
                  <c:v>1.080443614289704E-2</c:v>
                </c:pt>
                <c:pt idx="57">
                  <c:v>1.080443614289704E-2</c:v>
                </c:pt>
                <c:pt idx="58">
                  <c:v>7.6084301933392329E-3</c:v>
                </c:pt>
                <c:pt idx="59">
                  <c:v>7.6084301933392329E-3</c:v>
                </c:pt>
                <c:pt idx="60">
                  <c:v>8.3270875925016744E-4</c:v>
                </c:pt>
                <c:pt idx="61">
                  <c:v>8.3270875925016744E-4</c:v>
                </c:pt>
                <c:pt idx="62">
                  <c:v>1.016505082776983E-2</c:v>
                </c:pt>
                <c:pt idx="63">
                  <c:v>1.016505082776983E-2</c:v>
                </c:pt>
                <c:pt idx="64">
                  <c:v>8.1146515802724833E-4</c:v>
                </c:pt>
                <c:pt idx="65">
                  <c:v>8.1146515802724833E-4</c:v>
                </c:pt>
                <c:pt idx="66">
                  <c:v>5.5806678435791927E-3</c:v>
                </c:pt>
                <c:pt idx="67">
                  <c:v>5.5806678435791927E-3</c:v>
                </c:pt>
                <c:pt idx="68">
                  <c:v>5.5806678435791927E-3</c:v>
                </c:pt>
                <c:pt idx="69">
                  <c:v>5.5806678435791927E-3</c:v>
                </c:pt>
                <c:pt idx="70">
                  <c:v>5.5806678435791927E-3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12-472A-8E58-45A43DCA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17106943"/>
        <c:axId val="417105695"/>
      </c:barChart>
      <c:lineChart>
        <c:grouping val="standard"/>
        <c:varyColors val="0"/>
        <c:ser>
          <c:idx val="0"/>
          <c:order val="0"/>
          <c:tx>
            <c:strRef>
              <c:f>Donnees_auto!$E$1</c:f>
              <c:strCache>
                <c:ptCount val="1"/>
                <c:pt idx="0">
                  <c:v>Financement du crédit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Donnees_auto!$E$2:$E$72</c:f>
              <c:numCache>
                <c:formatCode>General</c:formatCode>
                <c:ptCount val="71"/>
                <c:pt idx="0">
                  <c:v>0.15807628525333131</c:v>
                </c:pt>
                <c:pt idx="1">
                  <c:v>8.0827066875595557E-2</c:v>
                </c:pt>
                <c:pt idx="2">
                  <c:v>7.5368742469298144E-2</c:v>
                </c:pt>
                <c:pt idx="3">
                  <c:v>2.8387072133174561E-2</c:v>
                </c:pt>
                <c:pt idx="4">
                  <c:v>-6.8805561126647416E-3</c:v>
                </c:pt>
                <c:pt idx="5">
                  <c:v>7.1557986033513789E-3</c:v>
                </c:pt>
                <c:pt idx="6">
                  <c:v>2.3916249525448539E-2</c:v>
                </c:pt>
                <c:pt idx="7">
                  <c:v>-6.8162534016352028E-2</c:v>
                </c:pt>
                <c:pt idx="8">
                  <c:v>-6.6836647302081446E-4</c:v>
                </c:pt>
                <c:pt idx="9">
                  <c:v>2.9632419282957349E-2</c:v>
                </c:pt>
                <c:pt idx="10">
                  <c:v>1.48563031548208E-2</c:v>
                </c:pt>
                <c:pt idx="11">
                  <c:v>7.6993710284746636E-2</c:v>
                </c:pt>
                <c:pt idx="12">
                  <c:v>0.14547381931494471</c:v>
                </c:pt>
                <c:pt idx="13">
                  <c:v>2.2967340471773501E-2</c:v>
                </c:pt>
                <c:pt idx="14">
                  <c:v>2.890743078500083E-2</c:v>
                </c:pt>
                <c:pt idx="15">
                  <c:v>6.6442896790399816E-4</c:v>
                </c:pt>
                <c:pt idx="16">
                  <c:v>2.7185229692434799E-2</c:v>
                </c:pt>
                <c:pt idx="17">
                  <c:v>2.1814733048122698E-3</c:v>
                </c:pt>
                <c:pt idx="18">
                  <c:v>-1.3414201150184549E-2</c:v>
                </c:pt>
                <c:pt idx="19">
                  <c:v>-6.3019319069576411E-4</c:v>
                </c:pt>
                <c:pt idx="20">
                  <c:v>-1.6322955091750468E-2</c:v>
                </c:pt>
                <c:pt idx="21">
                  <c:v>-2.1530262146002319E-2</c:v>
                </c:pt>
                <c:pt idx="22">
                  <c:v>-6.745430784391826E-2</c:v>
                </c:pt>
                <c:pt idx="23">
                  <c:v>-9.226168545691632E-2</c:v>
                </c:pt>
                <c:pt idx="24">
                  <c:v>-9.3315704841681932E-2</c:v>
                </c:pt>
                <c:pt idx="25">
                  <c:v>-9.3818681743563989E-2</c:v>
                </c:pt>
                <c:pt idx="26">
                  <c:v>-0.10516317278893959</c:v>
                </c:pt>
                <c:pt idx="27">
                  <c:v>-6.1955434042970277E-2</c:v>
                </c:pt>
                <c:pt idx="28">
                  <c:v>-8.7637271796090807E-2</c:v>
                </c:pt>
                <c:pt idx="29">
                  <c:v>-8.8109998574052245E-2</c:v>
                </c:pt>
                <c:pt idx="30">
                  <c:v>-0.12890786689234629</c:v>
                </c:pt>
                <c:pt idx="31">
                  <c:v>-0.13253212534790559</c:v>
                </c:pt>
                <c:pt idx="32">
                  <c:v>-0.1173579832724404</c:v>
                </c:pt>
                <c:pt idx="33">
                  <c:v>-0.1146689978112557</c:v>
                </c:pt>
                <c:pt idx="34">
                  <c:v>-0.1159950596229344</c:v>
                </c:pt>
                <c:pt idx="35">
                  <c:v>-0.12514489437971379</c:v>
                </c:pt>
                <c:pt idx="36">
                  <c:v>-0.1189219893596014</c:v>
                </c:pt>
                <c:pt idx="37">
                  <c:v>-0.14579909052782131</c:v>
                </c:pt>
                <c:pt idx="38">
                  <c:v>-0.12348017533120489</c:v>
                </c:pt>
                <c:pt idx="39">
                  <c:v>-0.1233037110121</c:v>
                </c:pt>
                <c:pt idx="40">
                  <c:v>-0.13222252049544109</c:v>
                </c:pt>
                <c:pt idx="41">
                  <c:v>-0.14073388682220589</c:v>
                </c:pt>
                <c:pt idx="42">
                  <c:v>-0.10870180920893539</c:v>
                </c:pt>
                <c:pt idx="43">
                  <c:v>-0.1158977283228967</c:v>
                </c:pt>
                <c:pt idx="44">
                  <c:v>-0.10055836131805029</c:v>
                </c:pt>
                <c:pt idx="45">
                  <c:v>-8.4001191782704321E-2</c:v>
                </c:pt>
                <c:pt idx="46">
                  <c:v>-0.1205583684502857</c:v>
                </c:pt>
                <c:pt idx="47">
                  <c:v>-5.3600292597632132E-2</c:v>
                </c:pt>
                <c:pt idx="48">
                  <c:v>-6.3152397241172054E-2</c:v>
                </c:pt>
                <c:pt idx="49">
                  <c:v>-0.12747811608564871</c:v>
                </c:pt>
                <c:pt idx="50">
                  <c:v>-0.12621947539471429</c:v>
                </c:pt>
                <c:pt idx="51">
                  <c:v>-0.124516015998105</c:v>
                </c:pt>
                <c:pt idx="52">
                  <c:v>-0.12000484158304529</c:v>
                </c:pt>
                <c:pt idx="53">
                  <c:v>-0.11254364508035911</c:v>
                </c:pt>
                <c:pt idx="54">
                  <c:v>-3.075790418546849E-2</c:v>
                </c:pt>
                <c:pt idx="55">
                  <c:v>9.5219168291139668E-3</c:v>
                </c:pt>
                <c:pt idx="56">
                  <c:v>8.9759336681875967E-2</c:v>
                </c:pt>
                <c:pt idx="57">
                  <c:v>0.1208513105376466</c:v>
                </c:pt>
                <c:pt idx="58">
                  <c:v>0.14060099466843129</c:v>
                </c:pt>
                <c:pt idx="59">
                  <c:v>0.1212205078223363</c:v>
                </c:pt>
                <c:pt idx="60">
                  <c:v>7.6666621474097071E-2</c:v>
                </c:pt>
                <c:pt idx="61">
                  <c:v>3.680090000107851E-2</c:v>
                </c:pt>
                <c:pt idx="62">
                  <c:v>3.2294330310950921E-2</c:v>
                </c:pt>
                <c:pt idx="63">
                  <c:v>2.7464468183422099E-2</c:v>
                </c:pt>
                <c:pt idx="64">
                  <c:v>3.0099336994425251E-2</c:v>
                </c:pt>
                <c:pt idx="65">
                  <c:v>-1.00669849421165E-2</c:v>
                </c:pt>
                <c:pt idx="66">
                  <c:v>2.272014369216576E-2</c:v>
                </c:pt>
                <c:pt idx="67">
                  <c:v>6.3115894370038544E-3</c:v>
                </c:pt>
                <c:pt idx="68">
                  <c:v>2.1087579584774072E-2</c:v>
                </c:pt>
                <c:pt idx="69">
                  <c:v>5.8424826415418032E-2</c:v>
                </c:pt>
                <c:pt idx="70">
                  <c:v>8.4262463222082168E-2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2-472A-8E58-45A43DCA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106943"/>
        <c:axId val="417105695"/>
      </c:lineChart>
      <c:catAx>
        <c:axId val="41710694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5695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41710569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0;&quot;-&quot;0.0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6943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327461503634158E-2"/>
          <c:y val="2.720124558738694E-2"/>
          <c:w val="0.87683959222477881"/>
          <c:h val="0.8495890650443382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Donnees_auto!$T$1</c:f>
              <c:strCache>
                <c:ptCount val="1"/>
                <c:pt idx="0">
                  <c:v>Surrévaluation prix immo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Donnees_auto!$T$2:$T$72</c:f>
              <c:numCache>
                <c:formatCode>General</c:formatCode>
                <c:ptCount val="71"/>
                <c:pt idx="0">
                  <c:v>-5.0959178172129617E-2</c:v>
                </c:pt>
                <c:pt idx="1">
                  <c:v>-2.9744253465561209E-2</c:v>
                </c:pt>
                <c:pt idx="2">
                  <c:v>4.4642237716859668E-4</c:v>
                </c:pt>
                <c:pt idx="3">
                  <c:v>4.226909724776874E-3</c:v>
                </c:pt>
                <c:pt idx="4">
                  <c:v>-5.3845398125828059E-2</c:v>
                </c:pt>
                <c:pt idx="5">
                  <c:v>-4.6750375792063578E-2</c:v>
                </c:pt>
                <c:pt idx="6">
                  <c:v>-2.9672461030233081E-2</c:v>
                </c:pt>
                <c:pt idx="7">
                  <c:v>-1.6770608777635809E-2</c:v>
                </c:pt>
                <c:pt idx="8">
                  <c:v>-7.3954136768343724E-3</c:v>
                </c:pt>
                <c:pt idx="9">
                  <c:v>1.6117007966270479E-2</c:v>
                </c:pt>
                <c:pt idx="10">
                  <c:v>2.8520144911152141E-2</c:v>
                </c:pt>
                <c:pt idx="11">
                  <c:v>2.9884489834868081E-2</c:v>
                </c:pt>
                <c:pt idx="12">
                  <c:v>1.6116170711911959E-2</c:v>
                </c:pt>
                <c:pt idx="13">
                  <c:v>1.21397132867801E-2</c:v>
                </c:pt>
                <c:pt idx="14">
                  <c:v>2.6477944519021648E-2</c:v>
                </c:pt>
                <c:pt idx="15">
                  <c:v>3.0222313716036859E-2</c:v>
                </c:pt>
                <c:pt idx="16">
                  <c:v>1.6188408851967109E-2</c:v>
                </c:pt>
                <c:pt idx="17">
                  <c:v>1.443573527129444E-2</c:v>
                </c:pt>
                <c:pt idx="18">
                  <c:v>5.5693649346476488E-4</c:v>
                </c:pt>
                <c:pt idx="19">
                  <c:v>1.014215052465991E-2</c:v>
                </c:pt>
                <c:pt idx="20">
                  <c:v>-7.6214105524778633E-3</c:v>
                </c:pt>
                <c:pt idx="21">
                  <c:v>7.3236996507279268E-3</c:v>
                </c:pt>
                <c:pt idx="22">
                  <c:v>1.04768251646329E-2</c:v>
                </c:pt>
                <c:pt idx="23">
                  <c:v>3.8684018486682102E-4</c:v>
                </c:pt>
                <c:pt idx="24">
                  <c:v>2.049270137129871E-3</c:v>
                </c:pt>
                <c:pt idx="25">
                  <c:v>2.5891869050438799E-3</c:v>
                </c:pt>
                <c:pt idx="26">
                  <c:v>3.7783304993061662E-3</c:v>
                </c:pt>
                <c:pt idx="27">
                  <c:v>-8.4665913358153083E-5</c:v>
                </c:pt>
                <c:pt idx="28">
                  <c:v>-2.9402176205418289E-2</c:v>
                </c:pt>
                <c:pt idx="29">
                  <c:v>-2.0467543772845601E-2</c:v>
                </c:pt>
                <c:pt idx="30">
                  <c:v>-1.8208496395115601E-2</c:v>
                </c:pt>
                <c:pt idx="31">
                  <c:v>-2.5540343835337782E-2</c:v>
                </c:pt>
                <c:pt idx="32">
                  <c:v>-4.0314577333834943E-2</c:v>
                </c:pt>
                <c:pt idx="33">
                  <c:v>-4.1156165547373579E-2</c:v>
                </c:pt>
                <c:pt idx="34">
                  <c:v>-4.9521735176157058E-2</c:v>
                </c:pt>
                <c:pt idx="35">
                  <c:v>-4.8852302801916429E-2</c:v>
                </c:pt>
                <c:pt idx="36">
                  <c:v>-5.4104764929775603E-2</c:v>
                </c:pt>
                <c:pt idx="37">
                  <c:v>-5.0175967044077542E-2</c:v>
                </c:pt>
                <c:pt idx="38">
                  <c:v>-3.7576359242634742E-2</c:v>
                </c:pt>
                <c:pt idx="39">
                  <c:v>-2.63111129956057E-2</c:v>
                </c:pt>
                <c:pt idx="40">
                  <c:v>-3.6125940475012212E-2</c:v>
                </c:pt>
                <c:pt idx="41">
                  <c:v>-2.3797800838109579E-2</c:v>
                </c:pt>
                <c:pt idx="42">
                  <c:v>-1.085667751576508E-2</c:v>
                </c:pt>
                <c:pt idx="43">
                  <c:v>-1.942448586706981E-2</c:v>
                </c:pt>
                <c:pt idx="44">
                  <c:v>-2.8112300026514311E-2</c:v>
                </c:pt>
                <c:pt idx="45">
                  <c:v>2.9762362659431319E-2</c:v>
                </c:pt>
                <c:pt idx="46">
                  <c:v>0.13843373331509479</c:v>
                </c:pt>
                <c:pt idx="47">
                  <c:v>5.4225075511101707E-2</c:v>
                </c:pt>
                <c:pt idx="48">
                  <c:v>8.3736365450387974E-3</c:v>
                </c:pt>
                <c:pt idx="49">
                  <c:v>3.2370792266517387E-2</c:v>
                </c:pt>
                <c:pt idx="50">
                  <c:v>8.0072477728396587E-4</c:v>
                </c:pt>
                <c:pt idx="51">
                  <c:v>-2.3775657003096681E-2</c:v>
                </c:pt>
                <c:pt idx="52">
                  <c:v>-1.473654102408912E-2</c:v>
                </c:pt>
                <c:pt idx="53">
                  <c:v>-3.8995576901327517E-2</c:v>
                </c:pt>
                <c:pt idx="54">
                  <c:v>-4.2288930952631337E-2</c:v>
                </c:pt>
                <c:pt idx="55">
                  <c:v>-4.0908880865256757E-2</c:v>
                </c:pt>
                <c:pt idx="56">
                  <c:v>-4.714485714946922E-2</c:v>
                </c:pt>
                <c:pt idx="57">
                  <c:v>-3.0914713675056289E-2</c:v>
                </c:pt>
                <c:pt idx="58">
                  <c:v>-4.3048518006052458E-2</c:v>
                </c:pt>
                <c:pt idx="59">
                  <c:v>-3.6848798954924752E-2</c:v>
                </c:pt>
                <c:pt idx="60">
                  <c:v>-4.2148524552452583E-2</c:v>
                </c:pt>
                <c:pt idx="61">
                  <c:v>-1.4041900236423351E-3</c:v>
                </c:pt>
                <c:pt idx="62">
                  <c:v>1.3409208808237771E-2</c:v>
                </c:pt>
                <c:pt idx="63">
                  <c:v>1.194380081417875E-2</c:v>
                </c:pt>
                <c:pt idx="64">
                  <c:v>-8.132734643205684E-3</c:v>
                </c:pt>
                <c:pt idx="65">
                  <c:v>-2.462931165214537E-2</c:v>
                </c:pt>
                <c:pt idx="66">
                  <c:v>-4.6510396464489089E-2</c:v>
                </c:pt>
                <c:pt idx="67">
                  <c:v>-5.2040572783776128E-2</c:v>
                </c:pt>
                <c:pt idx="68">
                  <c:v>-6.6309864651984726E-2</c:v>
                </c:pt>
                <c:pt idx="69">
                  <c:v>-6.6309864651984726E-2</c:v>
                </c:pt>
                <c:pt idx="70">
                  <c:v>-6.6309864651984726E-2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4-43D4-9DCC-8AFD631816FA}"/>
            </c:ext>
          </c:extLst>
        </c:ser>
        <c:ser>
          <c:idx val="2"/>
          <c:order val="2"/>
          <c:tx>
            <c:strRef>
              <c:f>Donnees_auto!$U$1</c:f>
              <c:strCache>
                <c:ptCount val="1"/>
                <c:pt idx="0">
                  <c:v>Prix immo / revenus ménages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Donnees_auto!$U$2:$U$72</c:f>
              <c:numCache>
                <c:formatCode>General</c:formatCode>
                <c:ptCount val="71"/>
                <c:pt idx="0">
                  <c:v>3.0348938014448362E-2</c:v>
                </c:pt>
                <c:pt idx="1">
                  <c:v>1.665163240340739E-2</c:v>
                </c:pt>
                <c:pt idx="2">
                  <c:v>1.6144906935464051E-2</c:v>
                </c:pt>
                <c:pt idx="3">
                  <c:v>2.076946092428452E-2</c:v>
                </c:pt>
                <c:pt idx="4">
                  <c:v>2.7102419709034788E-2</c:v>
                </c:pt>
                <c:pt idx="5">
                  <c:v>3.3179374374734089E-2</c:v>
                </c:pt>
                <c:pt idx="6">
                  <c:v>3.7254910422374117E-2</c:v>
                </c:pt>
                <c:pt idx="7">
                  <c:v>4.7885722905395257E-2</c:v>
                </c:pt>
                <c:pt idx="8">
                  <c:v>5.3386277797994368E-2</c:v>
                </c:pt>
                <c:pt idx="9">
                  <c:v>6.1766914750191179E-2</c:v>
                </c:pt>
                <c:pt idx="10">
                  <c:v>6.4496859197143486E-2</c:v>
                </c:pt>
                <c:pt idx="11">
                  <c:v>6.1974738873661707E-2</c:v>
                </c:pt>
                <c:pt idx="12">
                  <c:v>5.7868876687948829E-2</c:v>
                </c:pt>
                <c:pt idx="13">
                  <c:v>5.2970705246624797E-2</c:v>
                </c:pt>
                <c:pt idx="14">
                  <c:v>5.0488040667571198E-2</c:v>
                </c:pt>
                <c:pt idx="15">
                  <c:v>5.2956416782947997E-2</c:v>
                </c:pt>
                <c:pt idx="16">
                  <c:v>5.0851223743766397E-2</c:v>
                </c:pt>
                <c:pt idx="17">
                  <c:v>4.6424380636726187E-2</c:v>
                </c:pt>
                <c:pt idx="18">
                  <c:v>4.3716436817624903E-2</c:v>
                </c:pt>
                <c:pt idx="19">
                  <c:v>4.3443578255606498E-2</c:v>
                </c:pt>
                <c:pt idx="20">
                  <c:v>3.6619591185258073E-2</c:v>
                </c:pt>
                <c:pt idx="21">
                  <c:v>3.5201963796353951E-2</c:v>
                </c:pt>
                <c:pt idx="22">
                  <c:v>2.8533995456368009E-2</c:v>
                </c:pt>
                <c:pt idx="23">
                  <c:v>2.2426807754527781E-2</c:v>
                </c:pt>
                <c:pt idx="24">
                  <c:v>1.9314937786554211E-2</c:v>
                </c:pt>
                <c:pt idx="25">
                  <c:v>1.5768011253514361E-2</c:v>
                </c:pt>
                <c:pt idx="26">
                  <c:v>1.4690091072968521E-2</c:v>
                </c:pt>
                <c:pt idx="27">
                  <c:v>1.396360534001265E-2</c:v>
                </c:pt>
                <c:pt idx="28">
                  <c:v>1.341849418628282E-2</c:v>
                </c:pt>
                <c:pt idx="29">
                  <c:v>1.395793421266924E-2</c:v>
                </c:pt>
                <c:pt idx="30">
                  <c:v>1.333795488598731E-2</c:v>
                </c:pt>
                <c:pt idx="31">
                  <c:v>1.438127797724878E-2</c:v>
                </c:pt>
                <c:pt idx="32">
                  <c:v>1.667075713833881E-2</c:v>
                </c:pt>
                <c:pt idx="33">
                  <c:v>1.7713027415627441E-2</c:v>
                </c:pt>
                <c:pt idx="34">
                  <c:v>2.1237488897658838E-2</c:v>
                </c:pt>
                <c:pt idx="35">
                  <c:v>2.0204340544347971E-2</c:v>
                </c:pt>
                <c:pt idx="36">
                  <c:v>2.3811082010208501E-2</c:v>
                </c:pt>
                <c:pt idx="37">
                  <c:v>2.3102728732536919E-2</c:v>
                </c:pt>
                <c:pt idx="38">
                  <c:v>2.5056537363724651E-2</c:v>
                </c:pt>
                <c:pt idx="39">
                  <c:v>2.0997486779094712E-2</c:v>
                </c:pt>
                <c:pt idx="40">
                  <c:v>2.0413879855630271E-2</c:v>
                </c:pt>
                <c:pt idx="41">
                  <c:v>2.3714507850015231E-2</c:v>
                </c:pt>
                <c:pt idx="42">
                  <c:v>2.9290145152354501E-2</c:v>
                </c:pt>
                <c:pt idx="43">
                  <c:v>2.9564284072976749E-2</c:v>
                </c:pt>
                <c:pt idx="44">
                  <c:v>4.7049957740472277E-2</c:v>
                </c:pt>
                <c:pt idx="45">
                  <c:v>6.7028556694868277E-2</c:v>
                </c:pt>
                <c:pt idx="46">
                  <c:v>5.3356515874220363E-2</c:v>
                </c:pt>
                <c:pt idx="47">
                  <c:v>5.1645647417411789E-2</c:v>
                </c:pt>
                <c:pt idx="48">
                  <c:v>6.3177394340411447E-2</c:v>
                </c:pt>
                <c:pt idx="49">
                  <c:v>6.8744033118547904E-2</c:v>
                </c:pt>
                <c:pt idx="50">
                  <c:v>7.0943762068234079E-2</c:v>
                </c:pt>
                <c:pt idx="51">
                  <c:v>6.7978672059143902E-2</c:v>
                </c:pt>
                <c:pt idx="52">
                  <c:v>8.2211298799071825E-2</c:v>
                </c:pt>
                <c:pt idx="53">
                  <c:v>8.841187537409502E-2</c:v>
                </c:pt>
                <c:pt idx="54">
                  <c:v>7.8298318937731246E-2</c:v>
                </c:pt>
                <c:pt idx="55">
                  <c:v>5.9658832427912208E-2</c:v>
                </c:pt>
                <c:pt idx="56">
                  <c:v>5.0746125252293592E-2</c:v>
                </c:pt>
                <c:pt idx="57">
                  <c:v>3.7168659807650183E-2</c:v>
                </c:pt>
                <c:pt idx="58">
                  <c:v>2.140659165788858E-2</c:v>
                </c:pt>
                <c:pt idx="59">
                  <c:v>2.530801986325723E-3</c:v>
                </c:pt>
                <c:pt idx="60">
                  <c:v>-1.2701406958655201E-2</c:v>
                </c:pt>
                <c:pt idx="61">
                  <c:v>-1.6953895130173209E-2</c:v>
                </c:pt>
                <c:pt idx="62">
                  <c:v>-2.393055035876045E-2</c:v>
                </c:pt>
                <c:pt idx="63">
                  <c:v>-2.2561393248907269E-2</c:v>
                </c:pt>
                <c:pt idx="64">
                  <c:v>-1.434763199319317E-2</c:v>
                </c:pt>
                <c:pt idx="65">
                  <c:v>-1.6641610507588851E-2</c:v>
                </c:pt>
                <c:pt idx="66">
                  <c:v>-1.6950875566190449E-2</c:v>
                </c:pt>
                <c:pt idx="67">
                  <c:v>-1.7796048129703469E-2</c:v>
                </c:pt>
                <c:pt idx="68">
                  <c:v>-1.8831966386072221E-2</c:v>
                </c:pt>
                <c:pt idx="69">
                  <c:v>-1.8831966386072221E-2</c:v>
                </c:pt>
                <c:pt idx="70">
                  <c:v>-1.8831966386072221E-2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4-43D4-9DCC-8AFD6318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17104031"/>
        <c:axId val="417104863"/>
      </c:barChart>
      <c:lineChart>
        <c:grouping val="standard"/>
        <c:varyColors val="0"/>
        <c:ser>
          <c:idx val="0"/>
          <c:order val="0"/>
          <c:tx>
            <c:strRef>
              <c:f>Donnees_auto!$G$1</c:f>
              <c:strCache>
                <c:ptCount val="1"/>
                <c:pt idx="0">
                  <c:v>Marché immobilier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Donnees_auto!$G$2:$G$72</c:f>
              <c:numCache>
                <c:formatCode>General</c:formatCode>
                <c:ptCount val="71"/>
                <c:pt idx="0">
                  <c:v>-2.0610240157681269E-2</c:v>
                </c:pt>
                <c:pt idx="1">
                  <c:v>-1.3092621062153821E-2</c:v>
                </c:pt>
                <c:pt idx="2">
                  <c:v>1.659132931263264E-2</c:v>
                </c:pt>
                <c:pt idx="3">
                  <c:v>2.4996370649061399E-2</c:v>
                </c:pt>
                <c:pt idx="4">
                  <c:v>-2.6742978416793271E-2</c:v>
                </c:pt>
                <c:pt idx="5">
                  <c:v>-1.357100141732949E-2</c:v>
                </c:pt>
                <c:pt idx="6">
                  <c:v>7.5824493921410399E-3</c:v>
                </c:pt>
                <c:pt idx="7">
                  <c:v>3.1115114127759441E-2</c:v>
                </c:pt>
                <c:pt idx="8">
                  <c:v>4.5990864121159998E-2</c:v>
                </c:pt>
                <c:pt idx="9">
                  <c:v>7.7883922716461662E-2</c:v>
                </c:pt>
                <c:pt idx="10">
                  <c:v>9.3017004108295637E-2</c:v>
                </c:pt>
                <c:pt idx="11">
                  <c:v>9.1859228708529778E-2</c:v>
                </c:pt>
                <c:pt idx="12">
                  <c:v>7.3985047399860782E-2</c:v>
                </c:pt>
                <c:pt idx="13">
                  <c:v>6.5110418533404907E-2</c:v>
                </c:pt>
                <c:pt idx="14">
                  <c:v>7.6965985186592853E-2</c:v>
                </c:pt>
                <c:pt idx="15">
                  <c:v>8.317873049898486E-2</c:v>
                </c:pt>
                <c:pt idx="16">
                  <c:v>6.703963259573352E-2</c:v>
                </c:pt>
                <c:pt idx="17">
                  <c:v>6.086011590802063E-2</c:v>
                </c:pt>
                <c:pt idx="18">
                  <c:v>4.4273373311089673E-2</c:v>
                </c:pt>
                <c:pt idx="19">
                  <c:v>5.3585728780266413E-2</c:v>
                </c:pt>
                <c:pt idx="20">
                  <c:v>2.8998180632780202E-2</c:v>
                </c:pt>
                <c:pt idx="21">
                  <c:v>4.2525663447081877E-2</c:v>
                </c:pt>
                <c:pt idx="22">
                  <c:v>3.9010820621000912E-2</c:v>
                </c:pt>
                <c:pt idx="23">
                  <c:v>2.281364793939461E-2</c:v>
                </c:pt>
                <c:pt idx="24">
                  <c:v>2.136420792368408E-2</c:v>
                </c:pt>
                <c:pt idx="25">
                  <c:v>1.8357198158558241E-2</c:v>
                </c:pt>
                <c:pt idx="26">
                  <c:v>1.8468421572274681E-2</c:v>
                </c:pt>
                <c:pt idx="27">
                  <c:v>1.3878939426654489E-2</c:v>
                </c:pt>
                <c:pt idx="28">
                  <c:v>-1.598368201913547E-2</c:v>
                </c:pt>
                <c:pt idx="29">
                  <c:v>-6.5096095601763536E-3</c:v>
                </c:pt>
                <c:pt idx="30">
                  <c:v>-4.8705415091282907E-3</c:v>
                </c:pt>
                <c:pt idx="31">
                  <c:v>-1.1159065858089E-2</c:v>
                </c:pt>
                <c:pt idx="32">
                  <c:v>-2.3643820195496119E-2</c:v>
                </c:pt>
                <c:pt idx="33">
                  <c:v>-2.3443138131746141E-2</c:v>
                </c:pt>
                <c:pt idx="34">
                  <c:v>-2.828424627849822E-2</c:v>
                </c:pt>
                <c:pt idx="35">
                  <c:v>-2.8647962257568459E-2</c:v>
                </c:pt>
                <c:pt idx="36">
                  <c:v>-3.0293682919567098E-2</c:v>
                </c:pt>
                <c:pt idx="37">
                  <c:v>-2.7073238311540609E-2</c:v>
                </c:pt>
                <c:pt idx="38">
                  <c:v>-1.2519821878910089E-2</c:v>
                </c:pt>
                <c:pt idx="39">
                  <c:v>-5.3136262165109881E-3</c:v>
                </c:pt>
                <c:pt idx="40">
                  <c:v>-1.5712060619381941E-2</c:v>
                </c:pt>
                <c:pt idx="41">
                  <c:v>-8.3292988094355036E-5</c:v>
                </c:pt>
                <c:pt idx="42">
                  <c:v>1.8433467636589419E-2</c:v>
                </c:pt>
                <c:pt idx="43">
                  <c:v>1.0139798205906939E-2</c:v>
                </c:pt>
                <c:pt idx="44">
                  <c:v>1.8937657713957969E-2</c:v>
                </c:pt>
                <c:pt idx="45">
                  <c:v>9.6790919354299593E-2</c:v>
                </c:pt>
                <c:pt idx="46">
                  <c:v>0.1917902491893152</c:v>
                </c:pt>
                <c:pt idx="47">
                  <c:v>0.1058707229285135</c:v>
                </c:pt>
                <c:pt idx="48">
                  <c:v>7.1551030885450242E-2</c:v>
                </c:pt>
                <c:pt idx="49">
                  <c:v>0.1011148253850653</c:v>
                </c:pt>
                <c:pt idx="50">
                  <c:v>7.1744486845518041E-2</c:v>
                </c:pt>
                <c:pt idx="51">
                  <c:v>4.4203015056047221E-2</c:v>
                </c:pt>
                <c:pt idx="52">
                  <c:v>6.7474757774982699E-2</c:v>
                </c:pt>
                <c:pt idx="53">
                  <c:v>4.9416298472767503E-2</c:v>
                </c:pt>
                <c:pt idx="54">
                  <c:v>3.6009387985099901E-2</c:v>
                </c:pt>
                <c:pt idx="55">
                  <c:v>1.874995156265544E-2</c:v>
                </c:pt>
                <c:pt idx="56">
                  <c:v>3.6012681028243722E-3</c:v>
                </c:pt>
                <c:pt idx="57">
                  <c:v>6.2539461325938914E-3</c:v>
                </c:pt>
                <c:pt idx="58">
                  <c:v>-2.1641926348163879E-2</c:v>
                </c:pt>
                <c:pt idx="59">
                  <c:v>-3.4317996968599017E-2</c:v>
                </c:pt>
                <c:pt idx="60">
                  <c:v>-5.4849931511107772E-2</c:v>
                </c:pt>
                <c:pt idx="61">
                  <c:v>-1.835808515381554E-2</c:v>
                </c:pt>
                <c:pt idx="62">
                  <c:v>-1.052134155052268E-2</c:v>
                </c:pt>
                <c:pt idx="63">
                  <c:v>-1.0617592434728519E-2</c:v>
                </c:pt>
                <c:pt idx="64">
                  <c:v>-2.2480366636398848E-2</c:v>
                </c:pt>
                <c:pt idx="65">
                  <c:v>-4.1270922159734227E-2</c:v>
                </c:pt>
                <c:pt idx="66">
                  <c:v>-6.3461272030679527E-2</c:v>
                </c:pt>
                <c:pt idx="67">
                  <c:v>-6.9836620913479613E-2</c:v>
                </c:pt>
                <c:pt idx="68">
                  <c:v>-8.5141831038056948E-2</c:v>
                </c:pt>
                <c:pt idx="69">
                  <c:v>-8.5141831038056948E-2</c:v>
                </c:pt>
                <c:pt idx="70">
                  <c:v>-8.5141831038056948E-2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4-43D4-9DCC-8AFD6318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104031"/>
        <c:axId val="417104863"/>
      </c:lineChart>
      <c:catAx>
        <c:axId val="41710403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4863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417104863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0;&quot;-&quot;0.0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17104031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Donnees_auto!$V$1</c:f>
              <c:strCache>
                <c:ptCount val="1"/>
                <c:pt idx="0">
                  <c:v>Spread HY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Donnees_auto!$V$2:$V$72</c:f>
              <c:numCache>
                <c:formatCode>General</c:formatCode>
                <c:ptCount val="71"/>
                <c:pt idx="0">
                  <c:v>0.68051441284998182</c:v>
                </c:pt>
                <c:pt idx="1">
                  <c:v>0.5166178719411082</c:v>
                </c:pt>
                <c:pt idx="2">
                  <c:v>0.28959976439179552</c:v>
                </c:pt>
                <c:pt idx="3">
                  <c:v>0.14961110679654011</c:v>
                </c:pt>
                <c:pt idx="4">
                  <c:v>9.7633713855178272E-2</c:v>
                </c:pt>
                <c:pt idx="5">
                  <c:v>0.1063169180369761</c:v>
                </c:pt>
                <c:pt idx="6">
                  <c:v>8.829157015487854E-2</c:v>
                </c:pt>
                <c:pt idx="7">
                  <c:v>4.5092989727353178E-2</c:v>
                </c:pt>
                <c:pt idx="8">
                  <c:v>1.2121747726183831E-2</c:v>
                </c:pt>
                <c:pt idx="9">
                  <c:v>1.7653306327294629E-2</c:v>
                </c:pt>
                <c:pt idx="10">
                  <c:v>0.17152808002636741</c:v>
                </c:pt>
                <c:pt idx="11">
                  <c:v>0.20639557366648059</c:v>
                </c:pt>
                <c:pt idx="12">
                  <c:v>0.1248043377236244</c:v>
                </c:pt>
                <c:pt idx="13">
                  <c:v>0.1224678470709033</c:v>
                </c:pt>
                <c:pt idx="14">
                  <c:v>8.3583444386513009E-2</c:v>
                </c:pt>
                <c:pt idx="15">
                  <c:v>2.3094914787394009E-2</c:v>
                </c:pt>
                <c:pt idx="16">
                  <c:v>-1.7105794325729031E-2</c:v>
                </c:pt>
                <c:pt idx="17">
                  <c:v>-2.7139623267657349E-2</c:v>
                </c:pt>
                <c:pt idx="18">
                  <c:v>-2.878535776353593E-2</c:v>
                </c:pt>
                <c:pt idx="19">
                  <c:v>-5.9218433057746628E-2</c:v>
                </c:pt>
                <c:pt idx="20">
                  <c:v>-9.4446354900495813E-2</c:v>
                </c:pt>
                <c:pt idx="21">
                  <c:v>-0.1128358593094109</c:v>
                </c:pt>
                <c:pt idx="22">
                  <c:v>-8.802343198150453E-2</c:v>
                </c:pt>
                <c:pt idx="23">
                  <c:v>-6.7605978773035175E-2</c:v>
                </c:pt>
                <c:pt idx="24">
                  <c:v>-7.630490652884489E-2</c:v>
                </c:pt>
                <c:pt idx="25">
                  <c:v>-7.2446148704349331E-2</c:v>
                </c:pt>
                <c:pt idx="26">
                  <c:v>-4.3498531172834698E-2</c:v>
                </c:pt>
                <c:pt idx="27">
                  <c:v>-2.6307544862369539E-2</c:v>
                </c:pt>
                <c:pt idx="28">
                  <c:v>1.3160906032424549E-2</c:v>
                </c:pt>
                <c:pt idx="29">
                  <c:v>-3.1643118506534167E-2</c:v>
                </c:pt>
                <c:pt idx="30">
                  <c:v>-4.7174143456772538E-2</c:v>
                </c:pt>
                <c:pt idx="31">
                  <c:v>-5.218039024658E-2</c:v>
                </c:pt>
                <c:pt idx="32">
                  <c:v>-7.6372246132365901E-2</c:v>
                </c:pt>
                <c:pt idx="33">
                  <c:v>-9.833102270929038E-2</c:v>
                </c:pt>
                <c:pt idx="34">
                  <c:v>-0.1225469542053037</c:v>
                </c:pt>
                <c:pt idx="35">
                  <c:v>-0.1231112962511777</c:v>
                </c:pt>
                <c:pt idx="36">
                  <c:v>-0.1155983585650832</c:v>
                </c:pt>
                <c:pt idx="37">
                  <c:v>-9.0084404427086817E-2</c:v>
                </c:pt>
                <c:pt idx="38">
                  <c:v>-7.5175156767686657E-2</c:v>
                </c:pt>
                <c:pt idx="39">
                  <c:v>-3.601312227077013E-2</c:v>
                </c:pt>
                <c:pt idx="40">
                  <c:v>-3.4531939436074993E-2</c:v>
                </c:pt>
                <c:pt idx="41">
                  <c:v>-6.8220477842569099E-2</c:v>
                </c:pt>
                <c:pt idx="42">
                  <c:v>-7.7308541187358124E-2</c:v>
                </c:pt>
                <c:pt idx="43">
                  <c:v>-7.8565218088489319E-2</c:v>
                </c:pt>
                <c:pt idx="44">
                  <c:v>-2.7931142137935142E-2</c:v>
                </c:pt>
                <c:pt idx="45">
                  <c:v>6.4784236350900332E-2</c:v>
                </c:pt>
                <c:pt idx="46">
                  <c:v>-1.3848598044605181E-2</c:v>
                </c:pt>
                <c:pt idx="47">
                  <c:v>-5.0468546916440787E-2</c:v>
                </c:pt>
                <c:pt idx="48">
                  <c:v>-9.0393391313707452E-2</c:v>
                </c:pt>
                <c:pt idx="49">
                  <c:v>-0.1060722540740863</c:v>
                </c:pt>
                <c:pt idx="50">
                  <c:v>-0.10781440283384271</c:v>
                </c:pt>
                <c:pt idx="51">
                  <c:v>-9.1125876640068215E-2</c:v>
                </c:pt>
                <c:pt idx="52">
                  <c:v>-5.6766737579704442E-2</c:v>
                </c:pt>
                <c:pt idx="53">
                  <c:v>-5.261820185754283E-3</c:v>
                </c:pt>
                <c:pt idx="54">
                  <c:v>4.8781027278393528E-2</c:v>
                </c:pt>
                <c:pt idx="55">
                  <c:v>3.5721360916090773E-2</c:v>
                </c:pt>
                <c:pt idx="56">
                  <c:v>-1.96437507810849E-2</c:v>
                </c:pt>
                <c:pt idx="57">
                  <c:v>-7.7842639705022103E-3</c:v>
                </c:pt>
                <c:pt idx="58">
                  <c:v>-2.9311269431769069E-2</c:v>
                </c:pt>
                <c:pt idx="59">
                  <c:v>-2.6912124028827238E-2</c:v>
                </c:pt>
                <c:pt idx="60">
                  <c:v>-7.2505858239003712E-2</c:v>
                </c:pt>
                <c:pt idx="61">
                  <c:v>-7.2190982177015944E-2</c:v>
                </c:pt>
                <c:pt idx="62">
                  <c:v>-6.8044301961281417E-2</c:v>
                </c:pt>
                <c:pt idx="63">
                  <c:v>-8.8306901654707254E-2</c:v>
                </c:pt>
                <c:pt idx="64">
                  <c:v>-0.10232817127703869</c:v>
                </c:pt>
                <c:pt idx="65">
                  <c:v>-7.7883889228394093E-2</c:v>
                </c:pt>
                <c:pt idx="66">
                  <c:v>-0.112364742133269</c:v>
                </c:pt>
                <c:pt idx="67">
                  <c:v>-0.11442318231686879</c:v>
                </c:pt>
                <c:pt idx="68">
                  <c:v>-0.114458375841836</c:v>
                </c:pt>
                <c:pt idx="69">
                  <c:v>-0.1154855144291566</c:v>
                </c:pt>
                <c:pt idx="70">
                  <c:v>-0.1193093042799984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B-4A89-BD7A-CD4381269FD2}"/>
            </c:ext>
          </c:extLst>
        </c:ser>
        <c:ser>
          <c:idx val="3"/>
          <c:order val="2"/>
          <c:tx>
            <c:strRef>
              <c:f>Donnees_auto!$W$1</c:f>
              <c:strCache>
                <c:ptCount val="1"/>
                <c:pt idx="0">
                  <c:v>Spread OAT-Bund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Donnees_auto!$W$2:$W$72</c:f>
              <c:numCache>
                <c:formatCode>General</c:formatCode>
                <c:ptCount val="71"/>
                <c:pt idx="0">
                  <c:v>1.1099140455839019E-3</c:v>
                </c:pt>
                <c:pt idx="1">
                  <c:v>5.1883407906886097E-3</c:v>
                </c:pt>
                <c:pt idx="2">
                  <c:v>-4.0128792811805914E-3</c:v>
                </c:pt>
                <c:pt idx="3">
                  <c:v>-2.9966377044376622E-3</c:v>
                </c:pt>
                <c:pt idx="4">
                  <c:v>-9.9792077324769284E-3</c:v>
                </c:pt>
                <c:pt idx="5">
                  <c:v>-5.4091524610582588E-3</c:v>
                </c:pt>
                <c:pt idx="6">
                  <c:v>-2.9040156619313928E-4</c:v>
                </c:pt>
                <c:pt idx="7">
                  <c:v>-3.050264433996217E-3</c:v>
                </c:pt>
                <c:pt idx="8">
                  <c:v>-1.7236586974905201E-3</c:v>
                </c:pt>
                <c:pt idx="9">
                  <c:v>-3.784180846703893E-3</c:v>
                </c:pt>
                <c:pt idx="10">
                  <c:v>-2.7806256253898121E-3</c:v>
                </c:pt>
                <c:pt idx="11">
                  <c:v>1.169252770757353E-2</c:v>
                </c:pt>
                <c:pt idx="12">
                  <c:v>3.7552136586174192E-2</c:v>
                </c:pt>
                <c:pt idx="13">
                  <c:v>2.7887412992907899E-2</c:v>
                </c:pt>
                <c:pt idx="14">
                  <c:v>2.834562694916009E-2</c:v>
                </c:pt>
                <c:pt idx="15">
                  <c:v>1.2933597305272489E-2</c:v>
                </c:pt>
                <c:pt idx="16">
                  <c:v>1.01445773222804E-2</c:v>
                </c:pt>
                <c:pt idx="17">
                  <c:v>1.2683353568864089E-2</c:v>
                </c:pt>
                <c:pt idx="18">
                  <c:v>6.934499352834511E-3</c:v>
                </c:pt>
                <c:pt idx="19">
                  <c:v>3.5503817887426641E-3</c:v>
                </c:pt>
                <c:pt idx="20">
                  <c:v>8.1248235288180724E-3</c:v>
                </c:pt>
                <c:pt idx="21">
                  <c:v>3.7918525878375599E-3</c:v>
                </c:pt>
                <c:pt idx="22">
                  <c:v>8.3730791994497331E-4</c:v>
                </c:pt>
                <c:pt idx="23">
                  <c:v>-4.2449062712850471E-3</c:v>
                </c:pt>
                <c:pt idx="24">
                  <c:v>-6.6757495861557506E-3</c:v>
                </c:pt>
                <c:pt idx="25">
                  <c:v>-6.6295497500973959E-3</c:v>
                </c:pt>
                <c:pt idx="26">
                  <c:v>-3.7913724684362072E-4</c:v>
                </c:pt>
                <c:pt idx="27">
                  <c:v>-1.9650004828013989E-3</c:v>
                </c:pt>
                <c:pt idx="28">
                  <c:v>-3.4552215002040519E-3</c:v>
                </c:pt>
                <c:pt idx="29">
                  <c:v>-4.8663140634064147E-3</c:v>
                </c:pt>
                <c:pt idx="30">
                  <c:v>-6.7071558416462226E-3</c:v>
                </c:pt>
                <c:pt idx="31">
                  <c:v>-5.7473706967914083E-3</c:v>
                </c:pt>
                <c:pt idx="32">
                  <c:v>1.6767189038475959E-3</c:v>
                </c:pt>
                <c:pt idx="33">
                  <c:v>8.6967201310911776E-3</c:v>
                </c:pt>
                <c:pt idx="34">
                  <c:v>-3.9092683112323407E-3</c:v>
                </c:pt>
                <c:pt idx="35">
                  <c:v>-6.8375758759142737E-3</c:v>
                </c:pt>
                <c:pt idx="36">
                  <c:v>-3.546068706453024E-3</c:v>
                </c:pt>
                <c:pt idx="37">
                  <c:v>-9.2623770452332603E-3</c:v>
                </c:pt>
                <c:pt idx="38">
                  <c:v>-3.2798831667989392E-3</c:v>
                </c:pt>
                <c:pt idx="39">
                  <c:v>-3.6583752054443548E-3</c:v>
                </c:pt>
                <c:pt idx="40">
                  <c:v>1.188479139593958E-3</c:v>
                </c:pt>
                <c:pt idx="41">
                  <c:v>-1.71331609247141E-3</c:v>
                </c:pt>
                <c:pt idx="42">
                  <c:v>-5.6339697308656223E-3</c:v>
                </c:pt>
                <c:pt idx="43">
                  <c:v>-5.9846614492839881E-3</c:v>
                </c:pt>
                <c:pt idx="44">
                  <c:v>-5.8301459406200594E-3</c:v>
                </c:pt>
                <c:pt idx="45">
                  <c:v>1.085787822902827E-3</c:v>
                </c:pt>
                <c:pt idx="46">
                  <c:v>-4.5343706280821568E-3</c:v>
                </c:pt>
                <c:pt idx="47">
                  <c:v>-6.9329729682797592E-3</c:v>
                </c:pt>
                <c:pt idx="48">
                  <c:v>-9.0205794112188393E-3</c:v>
                </c:pt>
                <c:pt idx="49">
                  <c:v>-8.2226945240253899E-3</c:v>
                </c:pt>
                <c:pt idx="50">
                  <c:v>-4.9063814442642474E-3</c:v>
                </c:pt>
                <c:pt idx="51">
                  <c:v>-3.9306501957042904E-3</c:v>
                </c:pt>
                <c:pt idx="52">
                  <c:v>-2.692513511362096E-3</c:v>
                </c:pt>
                <c:pt idx="53">
                  <c:v>1.22416865271396E-3</c:v>
                </c:pt>
                <c:pt idx="54">
                  <c:v>5.4223287903102111E-3</c:v>
                </c:pt>
                <c:pt idx="55">
                  <c:v>7.4054426691102489E-3</c:v>
                </c:pt>
                <c:pt idx="56">
                  <c:v>4.3914656513780997E-3</c:v>
                </c:pt>
                <c:pt idx="57">
                  <c:v>2.6899028539091869E-3</c:v>
                </c:pt>
                <c:pt idx="58">
                  <c:v>4.2744501492699488E-3</c:v>
                </c:pt>
                <c:pt idx="59">
                  <c:v>5.1911360893424144E-3</c:v>
                </c:pt>
                <c:pt idx="60">
                  <c:v>4.169819970427942E-3</c:v>
                </c:pt>
                <c:pt idx="61">
                  <c:v>3.0813306746325809E-3</c:v>
                </c:pt>
                <c:pt idx="62">
                  <c:v>1.3022272779490409E-2</c:v>
                </c:pt>
                <c:pt idx="63">
                  <c:v>1.475200358647084E-2</c:v>
                </c:pt>
                <c:pt idx="64">
                  <c:v>1.6784701762930079E-2</c:v>
                </c:pt>
                <c:pt idx="65">
                  <c:v>1.187241592709517E-2</c:v>
                </c:pt>
                <c:pt idx="66">
                  <c:v>1.0280428836855799E-2</c:v>
                </c:pt>
                <c:pt idx="67">
                  <c:v>1.6272646054145919E-2</c:v>
                </c:pt>
                <c:pt idx="68">
                  <c:v>1.15982186314533E-2</c:v>
                </c:pt>
                <c:pt idx="69">
                  <c:v>1.063396960967132E-2</c:v>
                </c:pt>
                <c:pt idx="70">
                  <c:v>1.709672434372729E-2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B-4A89-BD7A-CD438126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21878223"/>
        <c:axId val="621876559"/>
      </c:barChart>
      <c:lineChart>
        <c:grouping val="standard"/>
        <c:varyColors val="0"/>
        <c:ser>
          <c:idx val="0"/>
          <c:order val="0"/>
          <c:tx>
            <c:strRef>
              <c:f>Donnees_auto!$F$1</c:f>
              <c:strCache>
                <c:ptCount val="1"/>
                <c:pt idx="0">
                  <c:v>Financement sur les marchés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Donnees_auto!$F$2:$F$72</c:f>
              <c:numCache>
                <c:formatCode>General</c:formatCode>
                <c:ptCount val="71"/>
                <c:pt idx="0">
                  <c:v>0.68162432689556574</c:v>
                </c:pt>
                <c:pt idx="1">
                  <c:v>0.52180621273179684</c:v>
                </c:pt>
                <c:pt idx="2">
                  <c:v>0.28558688511061492</c:v>
                </c:pt>
                <c:pt idx="3">
                  <c:v>0.14661446909210241</c:v>
                </c:pt>
                <c:pt idx="4">
                  <c:v>8.7654506122701342E-2</c:v>
                </c:pt>
                <c:pt idx="5">
                  <c:v>0.1009077655759178</c:v>
                </c:pt>
                <c:pt idx="6">
                  <c:v>8.8001168588685397E-2</c:v>
                </c:pt>
                <c:pt idx="7">
                  <c:v>4.2042725293356967E-2</c:v>
                </c:pt>
                <c:pt idx="8">
                  <c:v>1.0398089028693311E-2</c:v>
                </c:pt>
                <c:pt idx="9">
                  <c:v>1.386912548059074E-2</c:v>
                </c:pt>
                <c:pt idx="10">
                  <c:v>0.1687474544009776</c:v>
                </c:pt>
                <c:pt idx="11">
                  <c:v>0.2180881013740541</c:v>
                </c:pt>
                <c:pt idx="12">
                  <c:v>0.1623564743097986</c:v>
                </c:pt>
                <c:pt idx="13">
                  <c:v>0.1503552600638112</c:v>
                </c:pt>
                <c:pt idx="14">
                  <c:v>0.11192907133567311</c:v>
                </c:pt>
                <c:pt idx="15">
                  <c:v>3.6028512092666498E-2</c:v>
                </c:pt>
                <c:pt idx="16">
                  <c:v>-6.961217003448629E-3</c:v>
                </c:pt>
                <c:pt idx="17">
                  <c:v>-1.445626969879326E-2</c:v>
                </c:pt>
                <c:pt idx="18">
                  <c:v>-2.1850858410701422E-2</c:v>
                </c:pt>
                <c:pt idx="19">
                  <c:v>-5.5668051269003968E-2</c:v>
                </c:pt>
                <c:pt idx="20">
                  <c:v>-8.6321531371677737E-2</c:v>
                </c:pt>
                <c:pt idx="21">
                  <c:v>-0.1090440067215733</c:v>
                </c:pt>
                <c:pt idx="22">
                  <c:v>-8.7186124061559553E-2</c:v>
                </c:pt>
                <c:pt idx="23">
                  <c:v>-7.1850885044320217E-2</c:v>
                </c:pt>
                <c:pt idx="24">
                  <c:v>-8.2980656115000648E-2</c:v>
                </c:pt>
                <c:pt idx="25">
                  <c:v>-7.907569845444673E-2</c:v>
                </c:pt>
                <c:pt idx="26">
                  <c:v>-4.3877668419678321E-2</c:v>
                </c:pt>
                <c:pt idx="27">
                  <c:v>-2.827254534517094E-2</c:v>
                </c:pt>
                <c:pt idx="28">
                  <c:v>9.7056845322205029E-3</c:v>
                </c:pt>
                <c:pt idx="29">
                  <c:v>-3.6509432569940582E-2</c:v>
                </c:pt>
                <c:pt idx="30">
                  <c:v>-5.3881299298418762E-2</c:v>
                </c:pt>
                <c:pt idx="31">
                  <c:v>-5.7927760943371411E-2</c:v>
                </c:pt>
                <c:pt idx="32">
                  <c:v>-7.4695527228518299E-2</c:v>
                </c:pt>
                <c:pt idx="33">
                  <c:v>-8.963430257819921E-2</c:v>
                </c:pt>
                <c:pt idx="34">
                  <c:v>-0.12645622251653599</c:v>
                </c:pt>
                <c:pt idx="35">
                  <c:v>-0.129948872127092</c:v>
                </c:pt>
                <c:pt idx="36">
                  <c:v>-0.11914442727153619</c:v>
                </c:pt>
                <c:pt idx="37">
                  <c:v>-9.9346781472320081E-2</c:v>
                </c:pt>
                <c:pt idx="38">
                  <c:v>-7.845503993448559E-2</c:v>
                </c:pt>
                <c:pt idx="39">
                  <c:v>-3.9671497476214478E-2</c:v>
                </c:pt>
                <c:pt idx="40">
                  <c:v>-3.3343460296481033E-2</c:v>
                </c:pt>
                <c:pt idx="41">
                  <c:v>-6.9933793935040511E-2</c:v>
                </c:pt>
                <c:pt idx="42">
                  <c:v>-8.2942510918223744E-2</c:v>
                </c:pt>
                <c:pt idx="43">
                  <c:v>-8.4549879537773306E-2</c:v>
                </c:pt>
                <c:pt idx="44">
                  <c:v>-3.3761288078555197E-2</c:v>
                </c:pt>
                <c:pt idx="45">
                  <c:v>6.5870024173803166E-2</c:v>
                </c:pt>
                <c:pt idx="46">
                  <c:v>-1.8382968672687339E-2</c:v>
                </c:pt>
                <c:pt idx="47">
                  <c:v>-5.7401519884720538E-2</c:v>
                </c:pt>
                <c:pt idx="48">
                  <c:v>-9.941397072492629E-2</c:v>
                </c:pt>
                <c:pt idx="49">
                  <c:v>-0.11429494859811171</c:v>
                </c:pt>
                <c:pt idx="50">
                  <c:v>-0.1127207842781069</c:v>
                </c:pt>
                <c:pt idx="51">
                  <c:v>-9.5056526835772509E-2</c:v>
                </c:pt>
                <c:pt idx="52">
                  <c:v>-5.9459251091066541E-2</c:v>
                </c:pt>
                <c:pt idx="53">
                  <c:v>-4.0376515330403234E-3</c:v>
                </c:pt>
                <c:pt idx="54">
                  <c:v>5.4203356068703738E-2</c:v>
                </c:pt>
                <c:pt idx="55">
                  <c:v>4.3126803585201018E-2</c:v>
                </c:pt>
                <c:pt idx="56">
                  <c:v>-1.52522851297068E-2</c:v>
                </c:pt>
                <c:pt idx="57">
                  <c:v>-5.0943611165930238E-3</c:v>
                </c:pt>
                <c:pt idx="58">
                  <c:v>-2.503681928249912E-2</c:v>
                </c:pt>
                <c:pt idx="59">
                  <c:v>-2.172098793948482E-2</c:v>
                </c:pt>
                <c:pt idx="60">
                  <c:v>-6.8336038268575774E-2</c:v>
                </c:pt>
                <c:pt idx="61">
                  <c:v>-6.9109651502383365E-2</c:v>
                </c:pt>
                <c:pt idx="62">
                  <c:v>-5.5022029181791013E-2</c:v>
                </c:pt>
                <c:pt idx="63">
                  <c:v>-7.355489806823641E-2</c:v>
                </c:pt>
                <c:pt idx="64">
                  <c:v>-8.55434695141086E-2</c:v>
                </c:pt>
                <c:pt idx="65">
                  <c:v>-6.6011473301298931E-2</c:v>
                </c:pt>
                <c:pt idx="66">
                  <c:v>-0.1020843132964132</c:v>
                </c:pt>
                <c:pt idx="67">
                  <c:v>-9.8150536262722937E-2</c:v>
                </c:pt>
                <c:pt idx="68">
                  <c:v>-0.1028601572103827</c:v>
                </c:pt>
                <c:pt idx="69">
                  <c:v>-0.1048515448194853</c:v>
                </c:pt>
                <c:pt idx="70">
                  <c:v>-0.1022125799362711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B-4A89-BD7A-CD438126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878223"/>
        <c:axId val="621876559"/>
      </c:lineChart>
      <c:catAx>
        <c:axId val="62187822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1876559"/>
        <c:crosses val="autoZero"/>
        <c:auto val="1"/>
        <c:lblAlgn val="ctr"/>
        <c:lblOffset val="0"/>
        <c:tickLblSkip val="8"/>
        <c:tickMarkSkip val="4"/>
        <c:noMultiLvlLbl val="0"/>
      </c:catAx>
      <c:valAx>
        <c:axId val="621876559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;&quot;-&quot;0.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1878223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Donnees_auto!$X$1</c:f>
              <c:strCache>
                <c:ptCount val="1"/>
                <c:pt idx="0">
                  <c:v>Prime de CDS moyen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Donnees_auto!$X$2:$X$72</c:f>
              <c:numCache>
                <c:formatCode>General</c:formatCode>
                <c:ptCount val="71"/>
                <c:pt idx="0">
                  <c:v>4.8509472169823312E-4</c:v>
                </c:pt>
                <c:pt idx="1">
                  <c:v>3.2686504899476039E-3</c:v>
                </c:pt>
                <c:pt idx="2">
                  <c:v>5.9611234379289377E-4</c:v>
                </c:pt>
                <c:pt idx="3">
                  <c:v>-7.5713405467484009E-4</c:v>
                </c:pt>
                <c:pt idx="4">
                  <c:v>-9.0003441379020162E-4</c:v>
                </c:pt>
                <c:pt idx="5">
                  <c:v>-2.2198161462533519E-4</c:v>
                </c:pt>
                <c:pt idx="6">
                  <c:v>5.4409549785449703E-3</c:v>
                </c:pt>
                <c:pt idx="7">
                  <c:v>2.8569938629449958E-3</c:v>
                </c:pt>
                <c:pt idx="8">
                  <c:v>5.5720939295770206E-3</c:v>
                </c:pt>
                <c:pt idx="9">
                  <c:v>2.7126664008881351E-3</c:v>
                </c:pt>
                <c:pt idx="10">
                  <c:v>3.8533191131203829E-3</c:v>
                </c:pt>
                <c:pt idx="11">
                  <c:v>1.7583791427704418E-2</c:v>
                </c:pt>
                <c:pt idx="12">
                  <c:v>1.8037826373015049E-2</c:v>
                </c:pt>
                <c:pt idx="13">
                  <c:v>1.5173112570667819E-2</c:v>
                </c:pt>
                <c:pt idx="14">
                  <c:v>1.7891047454793758E-2</c:v>
                </c:pt>
                <c:pt idx="15">
                  <c:v>1.181962923021404E-2</c:v>
                </c:pt>
                <c:pt idx="16">
                  <c:v>6.3140640784977286E-3</c:v>
                </c:pt>
                <c:pt idx="17">
                  <c:v>1.0576304716094611E-2</c:v>
                </c:pt>
                <c:pt idx="18">
                  <c:v>7.7263672163322538E-3</c:v>
                </c:pt>
                <c:pt idx="19">
                  <c:v>5.1399590510199126E-3</c:v>
                </c:pt>
                <c:pt idx="20">
                  <c:v>2.5075416508995728E-3</c:v>
                </c:pt>
                <c:pt idx="21">
                  <c:v>1.899078039704411E-3</c:v>
                </c:pt>
                <c:pt idx="22">
                  <c:v>9.7577871634446406E-4</c:v>
                </c:pt>
                <c:pt idx="23">
                  <c:v>6.4948512720264489E-4</c:v>
                </c:pt>
                <c:pt idx="24">
                  <c:v>1.4523435572901631E-3</c:v>
                </c:pt>
                <c:pt idx="25">
                  <c:v>6.7688863226035437E-4</c:v>
                </c:pt>
                <c:pt idx="26">
                  <c:v>2.1127726779878631E-3</c:v>
                </c:pt>
                <c:pt idx="27">
                  <c:v>2.318510806103609E-3</c:v>
                </c:pt>
                <c:pt idx="28">
                  <c:v>9.1676420547661069E-4</c:v>
                </c:pt>
                <c:pt idx="29">
                  <c:v>1.729780829505154E-3</c:v>
                </c:pt>
                <c:pt idx="30">
                  <c:v>2.2376858997817189E-3</c:v>
                </c:pt>
                <c:pt idx="31">
                  <c:v>-4.5070680777769688E-4</c:v>
                </c:pt>
                <c:pt idx="32">
                  <c:v>-5.4847458302976338E-5</c:v>
                </c:pt>
                <c:pt idx="33">
                  <c:v>2.3751336543666009E-4</c:v>
                </c:pt>
                <c:pt idx="34">
                  <c:v>-3.5740258078353149E-3</c:v>
                </c:pt>
                <c:pt idx="35">
                  <c:v>-3.9314811649994444E-3</c:v>
                </c:pt>
                <c:pt idx="36">
                  <c:v>-4.9390803227782288E-3</c:v>
                </c:pt>
                <c:pt idx="37">
                  <c:v>-4.3665856984835983E-3</c:v>
                </c:pt>
                <c:pt idx="38">
                  <c:v>-2.9837877230182702E-3</c:v>
                </c:pt>
                <c:pt idx="39">
                  <c:v>-3.1234777174185512E-3</c:v>
                </c:pt>
                <c:pt idx="40">
                  <c:v>-1.0987944256661559E-3</c:v>
                </c:pt>
                <c:pt idx="41">
                  <c:v>-2.633323378310304E-3</c:v>
                </c:pt>
                <c:pt idx="42">
                  <c:v>-3.6647026596798452E-3</c:v>
                </c:pt>
                <c:pt idx="43">
                  <c:v>-3.3042425428539001E-3</c:v>
                </c:pt>
                <c:pt idx="44">
                  <c:v>-3.9495924761400857E-3</c:v>
                </c:pt>
                <c:pt idx="45">
                  <c:v>3.8186318289365213E-4</c:v>
                </c:pt>
                <c:pt idx="46">
                  <c:v>-2.2484093913731568E-3</c:v>
                </c:pt>
                <c:pt idx="47">
                  <c:v>-2.645855504235795E-3</c:v>
                </c:pt>
                <c:pt idx="48">
                  <c:v>-3.7991525012867088E-3</c:v>
                </c:pt>
                <c:pt idx="49">
                  <c:v>-3.7643469939889129E-3</c:v>
                </c:pt>
                <c:pt idx="50">
                  <c:v>-3.9509597100862194E-3</c:v>
                </c:pt>
                <c:pt idx="51">
                  <c:v>-3.793104733959168E-3</c:v>
                </c:pt>
                <c:pt idx="52">
                  <c:v>-3.808842641889592E-3</c:v>
                </c:pt>
                <c:pt idx="53">
                  <c:v>-2.3998924615589081E-3</c:v>
                </c:pt>
                <c:pt idx="54">
                  <c:v>1.388535206475258E-4</c:v>
                </c:pt>
                <c:pt idx="55">
                  <c:v>1.372884298591664E-3</c:v>
                </c:pt>
                <c:pt idx="56">
                  <c:v>-9.8222208885346608E-4</c:v>
                </c:pt>
                <c:pt idx="57">
                  <c:v>-5.688850760447755E-4</c:v>
                </c:pt>
                <c:pt idx="58">
                  <c:v>-1.0834227820312159E-3</c:v>
                </c:pt>
                <c:pt idx="59">
                  <c:v>-1.4524016282435939E-3</c:v>
                </c:pt>
                <c:pt idx="60">
                  <c:v>-2.3651736732377151E-3</c:v>
                </c:pt>
                <c:pt idx="61">
                  <c:v>-2.9494050588604482E-3</c:v>
                </c:pt>
                <c:pt idx="62">
                  <c:v>-2.752612909723172E-3</c:v>
                </c:pt>
                <c:pt idx="63">
                  <c:v>-2.5217326236839708E-3</c:v>
                </c:pt>
                <c:pt idx="64">
                  <c:v>-2.7689929258482289E-3</c:v>
                </c:pt>
                <c:pt idx="65">
                  <c:v>-2.648120244338136E-3</c:v>
                </c:pt>
                <c:pt idx="66">
                  <c:v>-3.2643214972270301E-3</c:v>
                </c:pt>
                <c:pt idx="67">
                  <c:v>-3.0527730214209032E-3</c:v>
                </c:pt>
                <c:pt idx="68">
                  <c:v>-3.4504100217869118E-3</c:v>
                </c:pt>
                <c:pt idx="69">
                  <c:v>-2.885277433212157E-3</c:v>
                </c:pt>
                <c:pt idx="70">
                  <c:v>-3.6804506612040729E-3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5-4CED-9A91-CE92940F4036}"/>
            </c:ext>
          </c:extLst>
        </c:ser>
        <c:ser>
          <c:idx val="2"/>
          <c:order val="2"/>
          <c:tx>
            <c:strRef>
              <c:f>Donnees_auto!$Y$1</c:f>
              <c:strCache>
                <c:ptCount val="1"/>
                <c:pt idx="0">
                  <c:v>Price Earning Ratio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Donnees_auto!$Y$2:$Y$72</c:f>
              <c:numCache>
                <c:formatCode>General</c:formatCode>
                <c:ptCount val="71"/>
                <c:pt idx="0">
                  <c:v>-2.65869533794009E-2</c:v>
                </c:pt>
                <c:pt idx="1">
                  <c:v>-1.4570161842080201E-2</c:v>
                </c:pt>
                <c:pt idx="2">
                  <c:v>1.6691284397312569E-2</c:v>
                </c:pt>
                <c:pt idx="3">
                  <c:v>9.413391800926707E-3</c:v>
                </c:pt>
                <c:pt idx="4">
                  <c:v>1.2306297361644019E-2</c:v>
                </c:pt>
                <c:pt idx="5">
                  <c:v>-9.7316672733544461E-3</c:v>
                </c:pt>
                <c:pt idx="6">
                  <c:v>-1.149335179655828E-2</c:v>
                </c:pt>
                <c:pt idx="7">
                  <c:v>-1.226093298376542E-2</c:v>
                </c:pt>
                <c:pt idx="8">
                  <c:v>-1.1972337280910839E-2</c:v>
                </c:pt>
                <c:pt idx="9">
                  <c:v>-1.155264593775473E-2</c:v>
                </c:pt>
                <c:pt idx="10">
                  <c:v>-2.8488998252468201E-2</c:v>
                </c:pt>
                <c:pt idx="11">
                  <c:v>-2.432960689463301E-2</c:v>
                </c:pt>
                <c:pt idx="12">
                  <c:v>-1.869156789071142E-2</c:v>
                </c:pt>
                <c:pt idx="13">
                  <c:v>-1.912422982725424E-2</c:v>
                </c:pt>
                <c:pt idx="14">
                  <c:v>-1.224935209681299E-2</c:v>
                </c:pt>
                <c:pt idx="15">
                  <c:v>-1.2362381553468719E-2</c:v>
                </c:pt>
                <c:pt idx="16">
                  <c:v>-9.3082700463735599E-3</c:v>
                </c:pt>
                <c:pt idx="17">
                  <c:v>-1.190794754945531E-2</c:v>
                </c:pt>
                <c:pt idx="18">
                  <c:v>-1.198869766803139E-3</c:v>
                </c:pt>
                <c:pt idx="19">
                  <c:v>-3.7986944152720441E-4</c:v>
                </c:pt>
                <c:pt idx="20">
                  <c:v>8.210369264308159E-3</c:v>
                </c:pt>
                <c:pt idx="21">
                  <c:v>4.8755370574860681E-3</c:v>
                </c:pt>
                <c:pt idx="22">
                  <c:v>6.7345010310903277E-3</c:v>
                </c:pt>
                <c:pt idx="23">
                  <c:v>-6.2538424491874955E-4</c:v>
                </c:pt>
                <c:pt idx="24">
                  <c:v>2.0404579989740108E-2</c:v>
                </c:pt>
                <c:pt idx="25">
                  <c:v>1.311279032901133E-2</c:v>
                </c:pt>
                <c:pt idx="26">
                  <c:v>6.8642069649575508E-3</c:v>
                </c:pt>
                <c:pt idx="27">
                  <c:v>7.3418027428758196E-3</c:v>
                </c:pt>
                <c:pt idx="28">
                  <c:v>9.8899139625015708E-4</c:v>
                </c:pt>
                <c:pt idx="29">
                  <c:v>-6.4020778021785989E-4</c:v>
                </c:pt>
                <c:pt idx="30">
                  <c:v>3.8693895990588451E-3</c:v>
                </c:pt>
                <c:pt idx="31">
                  <c:v>5.6042064645330436E-3</c:v>
                </c:pt>
                <c:pt idx="32">
                  <c:v>8.6300606074642596E-3</c:v>
                </c:pt>
                <c:pt idx="33">
                  <c:v>3.4140291240892509E-3</c:v>
                </c:pt>
                <c:pt idx="34">
                  <c:v>6.4204273769403854E-3</c:v>
                </c:pt>
                <c:pt idx="35">
                  <c:v>2.3833301853228741E-3</c:v>
                </c:pt>
                <c:pt idx="36">
                  <c:v>-2.9239586872372931E-3</c:v>
                </c:pt>
                <c:pt idx="37">
                  <c:v>-1.3007815719845339E-3</c:v>
                </c:pt>
                <c:pt idx="38">
                  <c:v>-5.3042097190881285E-4</c:v>
                </c:pt>
                <c:pt idx="39">
                  <c:v>-1.091523391989291E-2</c:v>
                </c:pt>
                <c:pt idx="40">
                  <c:v>2.8095068251723439E-3</c:v>
                </c:pt>
                <c:pt idx="41">
                  <c:v>3.4019850016587258E-3</c:v>
                </c:pt>
                <c:pt idx="42">
                  <c:v>6.1596258027716332E-3</c:v>
                </c:pt>
                <c:pt idx="43">
                  <c:v>6.2990596816789096E-3</c:v>
                </c:pt>
                <c:pt idx="44">
                  <c:v>-9.0275493466466326E-3</c:v>
                </c:pt>
                <c:pt idx="45">
                  <c:v>5.5273093751688988E-3</c:v>
                </c:pt>
                <c:pt idx="46">
                  <c:v>3.1299878434587383E-2</c:v>
                </c:pt>
                <c:pt idx="47">
                  <c:v>5.7713102160214337E-2</c:v>
                </c:pt>
                <c:pt idx="48">
                  <c:v>6.8695952110421982E-2</c:v>
                </c:pt>
                <c:pt idx="49">
                  <c:v>4.1213117665868472E-2</c:v>
                </c:pt>
                <c:pt idx="50">
                  <c:v>1.2568025406768969E-2</c:v>
                </c:pt>
                <c:pt idx="51">
                  <c:v>7.5187586955089676E-3</c:v>
                </c:pt>
                <c:pt idx="52">
                  <c:v>-5.27117285475605E-3</c:v>
                </c:pt>
                <c:pt idx="53">
                  <c:v>-1.880876646667002E-2</c:v>
                </c:pt>
                <c:pt idx="54">
                  <c:v>-2.4394459861566631E-2</c:v>
                </c:pt>
                <c:pt idx="55">
                  <c:v>-2.1114752676638121E-2</c:v>
                </c:pt>
                <c:pt idx="56">
                  <c:v>-1.33064554578309E-2</c:v>
                </c:pt>
                <c:pt idx="57">
                  <c:v>-1.1189932558404579E-2</c:v>
                </c:pt>
                <c:pt idx="58">
                  <c:v>-1.1007881015512359E-2</c:v>
                </c:pt>
                <c:pt idx="59">
                  <c:v>-1.087632213973274E-2</c:v>
                </c:pt>
                <c:pt idx="60">
                  <c:v>-6.642960250789182E-4</c:v>
                </c:pt>
                <c:pt idx="61">
                  <c:v>-7.8286959293309508E-3</c:v>
                </c:pt>
                <c:pt idx="62">
                  <c:v>-4.5513049217929249E-3</c:v>
                </c:pt>
                <c:pt idx="63">
                  <c:v>-3.4881794995597431E-3</c:v>
                </c:pt>
                <c:pt idx="64">
                  <c:v>3.7072571817248082E-3</c:v>
                </c:pt>
                <c:pt idx="65">
                  <c:v>6.9058981579863043E-3</c:v>
                </c:pt>
                <c:pt idx="66">
                  <c:v>1.321423889871462E-2</c:v>
                </c:pt>
                <c:pt idx="67">
                  <c:v>1.3964680373232169E-2</c:v>
                </c:pt>
                <c:pt idx="68">
                  <c:v>1.798000549737911E-2</c:v>
                </c:pt>
                <c:pt idx="69">
                  <c:v>2.0795550733254179E-2</c:v>
                </c:pt>
                <c:pt idx="70">
                  <c:v>2.0795550733254179E-2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15-4CED-9A91-CE92940F4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21882383"/>
        <c:axId val="621882799"/>
      </c:barChart>
      <c:lineChart>
        <c:grouping val="standard"/>
        <c:varyColors val="0"/>
        <c:ser>
          <c:idx val="0"/>
          <c:order val="0"/>
          <c:tx>
            <c:strRef>
              <c:f>Donnees_auto!$H$1</c:f>
              <c:strCache>
                <c:ptCount val="1"/>
                <c:pt idx="0">
                  <c:v>Valorisation sur les marchés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noFill/>
              <a:ln w="25400">
                <a:noFill/>
              </a:ln>
              <a:effectLst/>
            </c:spPr>
          </c:marker>
          <c:cat>
            <c:strRef>
              <c:f>Donnees_auto!$A$2:$A$72</c:f>
              <c:strCache>
                <c:ptCount val="71"/>
                <c:pt idx="0">
                  <c:v>2009-Q1</c:v>
                </c:pt>
                <c:pt idx="1">
                  <c:v>2009-Q2</c:v>
                </c:pt>
                <c:pt idx="2">
                  <c:v>2009-Q3</c:v>
                </c:pt>
                <c:pt idx="3">
                  <c:v>2009-Q4</c:v>
                </c:pt>
                <c:pt idx="4">
                  <c:v>2010-Q1</c:v>
                </c:pt>
                <c:pt idx="5">
                  <c:v>2010-Q2</c:v>
                </c:pt>
                <c:pt idx="6">
                  <c:v>2010-Q3</c:v>
                </c:pt>
                <c:pt idx="7">
                  <c:v>2010-Q4</c:v>
                </c:pt>
                <c:pt idx="8">
                  <c:v>2011-Q1</c:v>
                </c:pt>
                <c:pt idx="9">
                  <c:v>2011-Q2</c:v>
                </c:pt>
                <c:pt idx="10">
                  <c:v>2011-Q3</c:v>
                </c:pt>
                <c:pt idx="11">
                  <c:v>2011-Q4</c:v>
                </c:pt>
                <c:pt idx="12">
                  <c:v>2012-Q1</c:v>
                </c:pt>
                <c:pt idx="13">
                  <c:v>2012-Q2</c:v>
                </c:pt>
                <c:pt idx="14">
                  <c:v>2012-Q3</c:v>
                </c:pt>
                <c:pt idx="15">
                  <c:v>2012-Q4</c:v>
                </c:pt>
                <c:pt idx="16">
                  <c:v>2013-Q1</c:v>
                </c:pt>
                <c:pt idx="17">
                  <c:v>2013-Q2</c:v>
                </c:pt>
                <c:pt idx="18">
                  <c:v>2013-Q3</c:v>
                </c:pt>
                <c:pt idx="19">
                  <c:v>2013-Q4</c:v>
                </c:pt>
                <c:pt idx="20">
                  <c:v>2014-Q1</c:v>
                </c:pt>
                <c:pt idx="21">
                  <c:v>2014-Q2</c:v>
                </c:pt>
                <c:pt idx="22">
                  <c:v>2014-Q3</c:v>
                </c:pt>
                <c:pt idx="23">
                  <c:v>2014-Q4</c:v>
                </c:pt>
                <c:pt idx="24">
                  <c:v>2015-Q1</c:v>
                </c:pt>
                <c:pt idx="25">
                  <c:v>2015-Q2</c:v>
                </c:pt>
                <c:pt idx="26">
                  <c:v>2015-Q3</c:v>
                </c:pt>
                <c:pt idx="27">
                  <c:v>2015-Q4</c:v>
                </c:pt>
                <c:pt idx="28">
                  <c:v>2016-Q1</c:v>
                </c:pt>
                <c:pt idx="29">
                  <c:v>2016-Q2</c:v>
                </c:pt>
                <c:pt idx="30">
                  <c:v>2016-Q3</c:v>
                </c:pt>
                <c:pt idx="31">
                  <c:v>2016-Q4</c:v>
                </c:pt>
                <c:pt idx="32">
                  <c:v>2017-Q1</c:v>
                </c:pt>
                <c:pt idx="33">
                  <c:v>2017-Q2</c:v>
                </c:pt>
                <c:pt idx="34">
                  <c:v>2017-Q3</c:v>
                </c:pt>
                <c:pt idx="35">
                  <c:v>2017-Q4</c:v>
                </c:pt>
                <c:pt idx="36">
                  <c:v>2018-Q1</c:v>
                </c:pt>
                <c:pt idx="37">
                  <c:v>2018-Q2</c:v>
                </c:pt>
                <c:pt idx="38">
                  <c:v>2018-Q3</c:v>
                </c:pt>
                <c:pt idx="39">
                  <c:v>2018-Q4</c:v>
                </c:pt>
                <c:pt idx="40">
                  <c:v>2019-Q1</c:v>
                </c:pt>
                <c:pt idx="41">
                  <c:v>2019-Q2</c:v>
                </c:pt>
                <c:pt idx="42">
                  <c:v>2019-Q3</c:v>
                </c:pt>
                <c:pt idx="43">
                  <c:v>2019-Q4</c:v>
                </c:pt>
                <c:pt idx="44">
                  <c:v>2020-Q1</c:v>
                </c:pt>
                <c:pt idx="45">
                  <c:v>2020-Q2</c:v>
                </c:pt>
                <c:pt idx="46">
                  <c:v>2020-Q3</c:v>
                </c:pt>
                <c:pt idx="47">
                  <c:v>2020-Q4</c:v>
                </c:pt>
                <c:pt idx="48">
                  <c:v>2021-Q1</c:v>
                </c:pt>
                <c:pt idx="49">
                  <c:v>2021-Q2</c:v>
                </c:pt>
                <c:pt idx="50">
                  <c:v>2021-Q3</c:v>
                </c:pt>
                <c:pt idx="51">
                  <c:v>2021-Q4</c:v>
                </c:pt>
                <c:pt idx="52">
                  <c:v>2022-Q1</c:v>
                </c:pt>
                <c:pt idx="53">
                  <c:v>2022-Q2</c:v>
                </c:pt>
                <c:pt idx="54">
                  <c:v>2022-Q3</c:v>
                </c:pt>
                <c:pt idx="55">
                  <c:v>2022-Q4</c:v>
                </c:pt>
                <c:pt idx="56">
                  <c:v>2023-Q1</c:v>
                </c:pt>
                <c:pt idx="57">
                  <c:v>2023-Q2</c:v>
                </c:pt>
                <c:pt idx="58">
                  <c:v>2023-Q3</c:v>
                </c:pt>
                <c:pt idx="59">
                  <c:v>2023-Q4</c:v>
                </c:pt>
                <c:pt idx="60">
                  <c:v>2024-Q1</c:v>
                </c:pt>
                <c:pt idx="61">
                  <c:v>2024-Q2</c:v>
                </c:pt>
                <c:pt idx="62">
                  <c:v>2024-Q3</c:v>
                </c:pt>
                <c:pt idx="63">
                  <c:v>2024-Q4</c:v>
                </c:pt>
                <c:pt idx="64">
                  <c:v>2025-Q1</c:v>
                </c:pt>
                <c:pt idx="65">
                  <c:v>2025-Q2</c:v>
                </c:pt>
                <c:pt idx="66">
                  <c:v>2025-Q3</c:v>
                </c:pt>
                <c:pt idx="67">
                  <c:v>2025-Q4</c:v>
                </c:pt>
                <c:pt idx="68">
                  <c:v>2026-Q1</c:v>
                </c:pt>
                <c:pt idx="69">
                  <c:v>2026-Q2</c:v>
                </c:pt>
                <c:pt idx="70">
                  <c:v>2026-Q3</c:v>
                </c:pt>
              </c:strCache>
            </c:strRef>
          </c:cat>
          <c:val>
            <c:numRef>
              <c:f>Donnees_auto!$H$2:$H$72</c:f>
              <c:numCache>
                <c:formatCode>General</c:formatCode>
                <c:ptCount val="71"/>
                <c:pt idx="0">
                  <c:v>-2.6101858657702669E-2</c:v>
                </c:pt>
                <c:pt idx="1">
                  <c:v>-1.1301511352132591E-2</c:v>
                </c:pt>
                <c:pt idx="2">
                  <c:v>1.7287396741105469E-2</c:v>
                </c:pt>
                <c:pt idx="3">
                  <c:v>8.6562577462518664E-3</c:v>
                </c:pt>
                <c:pt idx="4">
                  <c:v>1.140626294785382E-2</c:v>
                </c:pt>
                <c:pt idx="5">
                  <c:v>-9.9536488879797807E-3</c:v>
                </c:pt>
                <c:pt idx="6">
                  <c:v>-6.0523968180133097E-3</c:v>
                </c:pt>
                <c:pt idx="7">
                  <c:v>-9.4039391208204197E-3</c:v>
                </c:pt>
                <c:pt idx="8">
                  <c:v>-6.4002433513338144E-3</c:v>
                </c:pt>
                <c:pt idx="9">
                  <c:v>-8.8399795368665924E-3</c:v>
                </c:pt>
                <c:pt idx="10">
                  <c:v>-2.4635679139347819E-2</c:v>
                </c:pt>
                <c:pt idx="11">
                  <c:v>-6.7458154669285883E-3</c:v>
                </c:pt>
                <c:pt idx="12">
                  <c:v>-6.5374151769636776E-4</c:v>
                </c:pt>
                <c:pt idx="13">
                  <c:v>-3.9511172565864158E-3</c:v>
                </c:pt>
                <c:pt idx="14">
                  <c:v>5.6416953579807739E-3</c:v>
                </c:pt>
                <c:pt idx="15">
                  <c:v>-5.4275232325467875E-4</c:v>
                </c:pt>
                <c:pt idx="16">
                  <c:v>-2.99420596787583E-3</c:v>
                </c:pt>
                <c:pt idx="17">
                  <c:v>-1.331642833360706E-3</c:v>
                </c:pt>
                <c:pt idx="18">
                  <c:v>6.5274974495291146E-3</c:v>
                </c:pt>
                <c:pt idx="19">
                  <c:v>4.7600896094927092E-3</c:v>
                </c:pt>
                <c:pt idx="20">
                  <c:v>1.071791091520773E-2</c:v>
                </c:pt>
                <c:pt idx="21">
                  <c:v>6.7746150971904791E-3</c:v>
                </c:pt>
                <c:pt idx="22">
                  <c:v>7.7102797474347916E-3</c:v>
                </c:pt>
                <c:pt idx="23">
                  <c:v>2.410088228389535E-5</c:v>
                </c:pt>
                <c:pt idx="24">
                  <c:v>2.1856923547030279E-2</c:v>
                </c:pt>
                <c:pt idx="25">
                  <c:v>1.378967896127168E-2</c:v>
                </c:pt>
                <c:pt idx="26">
                  <c:v>8.9769796429454134E-3</c:v>
                </c:pt>
                <c:pt idx="27">
                  <c:v>9.6603135489794281E-3</c:v>
                </c:pt>
                <c:pt idx="28">
                  <c:v>1.9057556017267681E-3</c:v>
                </c:pt>
                <c:pt idx="29">
                  <c:v>1.089573049287294E-3</c:v>
                </c:pt>
                <c:pt idx="30">
                  <c:v>6.1070754988405643E-3</c:v>
                </c:pt>
                <c:pt idx="31">
                  <c:v>5.1534996567553478E-3</c:v>
                </c:pt>
                <c:pt idx="32">
                  <c:v>8.575213149161284E-3</c:v>
                </c:pt>
                <c:pt idx="33">
                  <c:v>3.6515424895259109E-3</c:v>
                </c:pt>
                <c:pt idx="34">
                  <c:v>2.8464015691050701E-3</c:v>
                </c:pt>
                <c:pt idx="35">
                  <c:v>-1.5481509796765711E-3</c:v>
                </c:pt>
                <c:pt idx="36">
                  <c:v>-7.8630390100155219E-3</c:v>
                </c:pt>
                <c:pt idx="37">
                  <c:v>-5.6673672704681327E-3</c:v>
                </c:pt>
                <c:pt idx="38">
                  <c:v>-3.5142086949270829E-3</c:v>
                </c:pt>
                <c:pt idx="39">
                  <c:v>-1.4038711637311459E-2</c:v>
                </c:pt>
                <c:pt idx="40">
                  <c:v>1.7107123995061891E-3</c:v>
                </c:pt>
                <c:pt idx="41">
                  <c:v>7.686616233484214E-4</c:v>
                </c:pt>
                <c:pt idx="42">
                  <c:v>2.494923143091788E-3</c:v>
                </c:pt>
                <c:pt idx="43">
                  <c:v>2.99481713882501E-3</c:v>
                </c:pt>
                <c:pt idx="44">
                  <c:v>-1.297714182278672E-2</c:v>
                </c:pt>
                <c:pt idx="45">
                  <c:v>5.9091725580625509E-3</c:v>
                </c:pt>
                <c:pt idx="46">
                  <c:v>2.9051469043214231E-2</c:v>
                </c:pt>
                <c:pt idx="47">
                  <c:v>5.506724665597855E-2</c:v>
                </c:pt>
                <c:pt idx="48">
                  <c:v>6.4896799609135275E-2</c:v>
                </c:pt>
                <c:pt idx="49">
                  <c:v>3.7448770671879558E-2</c:v>
                </c:pt>
                <c:pt idx="50">
                  <c:v>8.6170656966827481E-3</c:v>
                </c:pt>
                <c:pt idx="51">
                  <c:v>3.7256539615498001E-3</c:v>
                </c:pt>
                <c:pt idx="52">
                  <c:v>-9.0800154966456416E-3</c:v>
                </c:pt>
                <c:pt idx="53">
                  <c:v>-2.120865892822893E-2</c:v>
                </c:pt>
                <c:pt idx="54">
                  <c:v>-2.4255606340919101E-2</c:v>
                </c:pt>
                <c:pt idx="55">
                  <c:v>-1.9741868378046451E-2</c:v>
                </c:pt>
                <c:pt idx="56">
                  <c:v>-1.4288677546684369E-2</c:v>
                </c:pt>
                <c:pt idx="57">
                  <c:v>-1.1758817634449361E-2</c:v>
                </c:pt>
                <c:pt idx="58">
                  <c:v>-1.2091303797543579E-2</c:v>
                </c:pt>
                <c:pt idx="59">
                  <c:v>-1.232872376797634E-2</c:v>
                </c:pt>
                <c:pt idx="60">
                  <c:v>-3.0294696983166332E-3</c:v>
                </c:pt>
                <c:pt idx="61">
                  <c:v>-1.0778100988191401E-2</c:v>
                </c:pt>
                <c:pt idx="62">
                  <c:v>-7.3039178315160973E-3</c:v>
                </c:pt>
                <c:pt idx="63">
                  <c:v>-6.0099121232437139E-3</c:v>
                </c:pt>
                <c:pt idx="64">
                  <c:v>9.3826425587657932E-4</c:v>
                </c:pt>
                <c:pt idx="65">
                  <c:v>4.2577779136481683E-3</c:v>
                </c:pt>
                <c:pt idx="66">
                  <c:v>9.9499174014875888E-3</c:v>
                </c:pt>
                <c:pt idx="67">
                  <c:v>1.091190735181127E-2</c:v>
                </c:pt>
                <c:pt idx="68">
                  <c:v>1.45295954755922E-2</c:v>
                </c:pt>
                <c:pt idx="69">
                  <c:v>1.791027330004203E-2</c:v>
                </c:pt>
                <c:pt idx="70">
                  <c:v>1.711510007205011E-2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5-4CED-9A91-CE92940F4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882383"/>
        <c:axId val="621882799"/>
      </c:lineChart>
      <c:catAx>
        <c:axId val="621882383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1882799"/>
        <c:crosses val="autoZero"/>
        <c:auto val="1"/>
        <c:lblAlgn val="ctr"/>
        <c:lblOffset val="0"/>
        <c:tickLblSkip val="12"/>
        <c:tickMarkSkip val="6"/>
        <c:noMultiLvlLbl val="0"/>
      </c:catAx>
      <c:valAx>
        <c:axId val="621882799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C0C0C0"/>
              </a:solidFill>
              <a:prstDash val="solid"/>
              <a:round/>
            </a:ln>
            <a:effectLst/>
          </c:spPr>
        </c:majorGridlines>
        <c:numFmt formatCode="0.00;&quot;-&quot;0.00" sourceLinked="0"/>
        <c:majorTickMark val="none"/>
        <c:minorTickMark val="none"/>
        <c:tickLblPos val="nextTo"/>
        <c:spPr>
          <a:noFill/>
          <a:ln w="127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1882383"/>
        <c:crossesAt val="1"/>
        <c:crossBetween val="between"/>
      </c:valAx>
      <c:spPr>
        <a:noFill/>
        <a:ln w="12700">
          <a:solidFill>
            <a:srgbClr val="000000"/>
          </a:solidFill>
          <a:prstDash val="solid"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 b="0" i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337752-28FE-44BF-A9C5-18BF9056BC29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1EB3-688D-4F55-BDDF-32F298DB13F1}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E2D616-4565-4D61-B84B-9CB6DC47CF36}">
  <sheetPr/>
  <sheetViews>
    <sheetView zoomScale="8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939034-1DC5-4B00-8E17-179116AF7E63}">
  <sheetPr/>
  <sheetViews>
    <sheetView zoomScale="11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56BF48-2C23-40F0-9499-A976ABA01876}">
  <sheetPr/>
  <sheetViews>
    <sheetView zoomScale="8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16D69A-427D-4C35-B4CF-120632FCE726}">
  <sheetPr/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A9302E-A92B-44C9-A394-0A79A3AA7904}">
  <sheetPr/>
  <sheetViews>
    <sheetView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9DE605-4586-4B67-B908-15ECBE3027C1}">
  <sheetPr/>
  <sheetViews>
    <sheetView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BB51AD-204A-4F09-BB6E-ACBCCA40A080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565" cy="604630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9647894-AB8E-4442-A47A-AD6B4B48F1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0071" cy="604157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F2B9380-07A4-4ACA-8780-A67835FCC2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0.20464</cdr:x>
      <cdr:y>0.10765</cdr:y>
    </cdr:from>
    <cdr:to>
      <cdr:x>0.20639</cdr:x>
      <cdr:y>0.79105</cdr:y>
    </cdr:to>
    <cdr:cxnSp macro="">
      <cdr:nvCxnSpPr>
        <cdr:cNvPr id="27" name="Connecteur droit 26">
          <a:extLst xmlns:a="http://schemas.openxmlformats.org/drawingml/2006/main">
            <a:ext uri="{FF2B5EF4-FFF2-40B4-BE49-F238E27FC236}">
              <a16:creationId xmlns:a16="http://schemas.microsoft.com/office/drawing/2014/main" id="{FB95A4E8-141F-4943-B56D-D52B9512CB33}"/>
            </a:ext>
          </a:extLst>
        </cdr:cNvPr>
        <cdr:cNvCxnSpPr/>
      </cdr:nvCxnSpPr>
      <cdr:spPr>
        <a:xfrm xmlns:a="http://schemas.openxmlformats.org/drawingml/2006/main" flipH="1">
          <a:off x="1900582" y="650875"/>
          <a:ext cx="16324" cy="413205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0.82342</cdr:x>
      <cdr:y>0.10685</cdr:y>
    </cdr:from>
    <cdr:to>
      <cdr:x>0.82461</cdr:x>
      <cdr:y>0.78995</cdr:y>
    </cdr:to>
    <cdr:cxnSp macro="">
      <cdr:nvCxnSpPr>
        <cdr:cNvPr id="30" name="Connecteur droit 29">
          <a:extLst xmlns:a="http://schemas.openxmlformats.org/drawingml/2006/main">
            <a:ext uri="{FF2B5EF4-FFF2-40B4-BE49-F238E27FC236}">
              <a16:creationId xmlns:a16="http://schemas.microsoft.com/office/drawing/2014/main" id="{2430F357-C997-4F70-8634-14E7F14CBAD3}"/>
            </a:ext>
          </a:extLst>
        </cdr:cNvPr>
        <cdr:cNvCxnSpPr/>
      </cdr:nvCxnSpPr>
      <cdr:spPr>
        <a:xfrm xmlns:a="http://schemas.openxmlformats.org/drawingml/2006/main">
          <a:off x="7647609" y="646043"/>
          <a:ext cx="11043" cy="413026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5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0.91193</cdr:x>
      <cdr:y>0.02853</cdr:y>
    </cdr:from>
    <cdr:to>
      <cdr:x>0.94858</cdr:x>
      <cdr:y>0.79009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0F269A3-48AD-4D26-A2ED-5B787BA27F84}"/>
            </a:ext>
          </a:extLst>
        </cdr:cNvPr>
        <cdr:cNvSpPr/>
      </cdr:nvSpPr>
      <cdr:spPr>
        <a:xfrm xmlns:a="http://schemas.openxmlformats.org/drawingml/2006/main">
          <a:off x="8469586" y="172501"/>
          <a:ext cx="340373" cy="46046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2225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0.09037</cdr:x>
      <cdr:y>0.16804</cdr:y>
    </cdr:from>
    <cdr:to>
      <cdr:x>0.24138</cdr:x>
      <cdr:y>0.2484</cdr:y>
    </cdr:to>
    <cdr:sp macro="" textlink="">
      <cdr:nvSpPr>
        <cdr:cNvPr id="15" name="ZoneTexte 14">
          <a:extLst xmlns:a="http://schemas.openxmlformats.org/drawingml/2006/main">
            <a:ext uri="{FF2B5EF4-FFF2-40B4-BE49-F238E27FC236}">
              <a16:creationId xmlns:a16="http://schemas.microsoft.com/office/drawing/2014/main" id="{9BCD24C4-F9F1-4849-A222-14DD8EDB19B9}"/>
            </a:ext>
          </a:extLst>
        </cdr:cNvPr>
        <cdr:cNvSpPr txBox="1"/>
      </cdr:nvSpPr>
      <cdr:spPr>
        <a:xfrm xmlns:a="http://schemas.openxmlformats.org/drawingml/2006/main">
          <a:off x="839304" y="1016000"/>
          <a:ext cx="1402522" cy="485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/>
        </a:p>
      </cdr:txBody>
    </cdr:sp>
  </cdr:relSizeAnchor>
  <cdr:relSizeAnchor xmlns:cdr="http://schemas.openxmlformats.org/drawingml/2006/chartDrawing">
    <cdr:from>
      <cdr:x>0.10345</cdr:x>
      <cdr:y>0.10868</cdr:y>
    </cdr:from>
    <cdr:to>
      <cdr:x>0.10583</cdr:x>
      <cdr:y>0.78995</cdr:y>
    </cdr:to>
    <cdr:cxnSp macro="">
      <cdr:nvCxnSpPr>
        <cdr:cNvPr id="25" name="Connecteur droit 24">
          <a:extLst xmlns:a="http://schemas.openxmlformats.org/drawingml/2006/main">
            <a:ext uri="{FF2B5EF4-FFF2-40B4-BE49-F238E27FC236}">
              <a16:creationId xmlns:a16="http://schemas.microsoft.com/office/drawing/2014/main" id="{31EA81CD-B6C0-4117-A1CF-6548C929F1ED}"/>
            </a:ext>
          </a:extLst>
        </cdr:cNvPr>
        <cdr:cNvCxnSpPr/>
      </cdr:nvCxnSpPr>
      <cdr:spPr>
        <a:xfrm xmlns:a="http://schemas.openxmlformats.org/drawingml/2006/main" flipH="1">
          <a:off x="960784" y="657087"/>
          <a:ext cx="22086" cy="4119217"/>
        </a:xfrm>
        <a:prstGeom xmlns:a="http://schemas.openxmlformats.org/drawingml/2006/main" prst="line">
          <a:avLst/>
        </a:prstGeom>
        <a:ln xmlns:a="http://schemas.openxmlformats.org/drawingml/2006/main" w="19050">
          <a:prstDash val="sys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0.62188</cdr:x>
      <cdr:y>0.09954</cdr:y>
    </cdr:from>
    <cdr:to>
      <cdr:x>0.622</cdr:x>
      <cdr:y>0.79196</cdr:y>
    </cdr:to>
    <cdr:cxnSp macro="">
      <cdr:nvCxnSpPr>
        <cdr:cNvPr id="28" name="Connecteur droit 27">
          <a:extLst xmlns:a="http://schemas.openxmlformats.org/drawingml/2006/main">
            <a:ext uri="{FF2B5EF4-FFF2-40B4-BE49-F238E27FC236}">
              <a16:creationId xmlns:a16="http://schemas.microsoft.com/office/drawing/2014/main" id="{3BA79A34-AA72-4AC1-9EFC-07F8B93FE2D1}"/>
            </a:ext>
          </a:extLst>
        </cdr:cNvPr>
        <cdr:cNvCxnSpPr/>
      </cdr:nvCxnSpPr>
      <cdr:spPr>
        <a:xfrm xmlns:a="http://schemas.openxmlformats.org/drawingml/2006/main">
          <a:off x="5775739" y="601870"/>
          <a:ext cx="1105" cy="418658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4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0.7843</cdr:x>
      <cdr:y>0.10247</cdr:y>
    </cdr:from>
    <cdr:to>
      <cdr:x>0.7868</cdr:x>
      <cdr:y>0.7958</cdr:y>
    </cdr:to>
    <cdr:cxnSp macro="">
      <cdr:nvCxnSpPr>
        <cdr:cNvPr id="48" name="Connecteur droit 47">
          <a:extLst xmlns:a="http://schemas.openxmlformats.org/drawingml/2006/main">
            <a:ext uri="{FF2B5EF4-FFF2-40B4-BE49-F238E27FC236}">
              <a16:creationId xmlns:a16="http://schemas.microsoft.com/office/drawing/2014/main" id="{1F91B0E3-CBC8-4A3C-BCDA-FA5F06A43D5B}"/>
            </a:ext>
          </a:extLst>
        </cdr:cNvPr>
        <cdr:cNvCxnSpPr/>
      </cdr:nvCxnSpPr>
      <cdr:spPr>
        <a:xfrm xmlns:a="http://schemas.openxmlformats.org/drawingml/2006/main">
          <a:off x="7284279" y="619539"/>
          <a:ext cx="23190" cy="419210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3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0.72246</cdr:x>
      <cdr:y>0.09863</cdr:y>
    </cdr:from>
    <cdr:to>
      <cdr:x>0.72495</cdr:x>
      <cdr:y>0.79196</cdr:y>
    </cdr:to>
    <cdr:cxnSp macro="">
      <cdr:nvCxnSpPr>
        <cdr:cNvPr id="29" name="Connecteur droit 28">
          <a:extLst xmlns:a="http://schemas.openxmlformats.org/drawingml/2006/main">
            <a:ext uri="{FF2B5EF4-FFF2-40B4-BE49-F238E27FC236}">
              <a16:creationId xmlns:a16="http://schemas.microsoft.com/office/drawing/2014/main" id="{02FC0220-E486-4C1F-A0AD-7960C94B4527}"/>
            </a:ext>
          </a:extLst>
        </cdr:cNvPr>
        <cdr:cNvCxnSpPr/>
      </cdr:nvCxnSpPr>
      <cdr:spPr>
        <a:xfrm xmlns:a="http://schemas.openxmlformats.org/drawingml/2006/main">
          <a:off x="6709865" y="596348"/>
          <a:ext cx="23190" cy="419210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3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0.06651</cdr:x>
      <cdr:y>0.03312</cdr:y>
    </cdr:from>
    <cdr:to>
      <cdr:x>0.19674</cdr:x>
      <cdr:y>0.12565</cdr:y>
    </cdr:to>
    <cdr:sp macro="" textlink="">
      <cdr:nvSpPr>
        <cdr:cNvPr id="16" name="ZoneTexte 15">
          <a:extLst xmlns:a="http://schemas.openxmlformats.org/drawingml/2006/main">
            <a:ext uri="{FF2B5EF4-FFF2-40B4-BE49-F238E27FC236}">
              <a16:creationId xmlns:a16="http://schemas.microsoft.com/office/drawing/2014/main" id="{A1735BDF-1B11-4768-BB45-B75F59A5F96F}"/>
            </a:ext>
          </a:extLst>
        </cdr:cNvPr>
        <cdr:cNvSpPr txBox="1"/>
      </cdr:nvSpPr>
      <cdr:spPr>
        <a:xfrm xmlns:a="http://schemas.openxmlformats.org/drawingml/2006/main">
          <a:off x="617590" y="200270"/>
          <a:ext cx="1209256" cy="559578"/>
        </a:xfrm>
        <a:prstGeom xmlns:a="http://schemas.openxmlformats.org/drawingml/2006/main" prst="rect">
          <a:avLst/>
        </a:prstGeom>
        <a:solidFill xmlns:a="http://schemas.openxmlformats.org/drawingml/2006/main">
          <a:srgbClr val="FFE7E9"/>
        </a:solidFill>
        <a:ln xmlns:a="http://schemas.openxmlformats.org/drawingml/2006/main" w="0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2"/>
        </a:fontRef>
      </cdr:style>
      <cdr:txBody>
        <a:bodyPr xmlns:a="http://schemas.openxmlformats.org/drawingml/2006/main" vertOverflow="clip" horzOverflow="clip" wrap="square" lIns="36000" tIns="0" rIns="0" bIns="0" rtlCol="0"/>
        <a:lstStyle xmlns:a="http://schemas.openxmlformats.org/drawingml/2006/main"/>
        <a:p xmlns:a="http://schemas.openxmlformats.org/drawingml/2006/main">
          <a:r>
            <a:rPr lang="fr-FR" sz="9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Fin de la crise des</a:t>
          </a:r>
          <a:r>
            <a:rPr lang="fr-FR" sz="900" b="1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subprimes - </a:t>
          </a:r>
          <a:r>
            <a:rPr lang="fr-FR" sz="900" b="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Baisse du coût du financement</a:t>
          </a:r>
          <a:endParaRPr lang="fr-FR" sz="900" b="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0.51902</cdr:x>
      <cdr:y>0.08858</cdr:y>
    </cdr:from>
    <cdr:to>
      <cdr:x>0.52045</cdr:x>
      <cdr:y>0.79306</cdr:y>
    </cdr:to>
    <cdr:cxnSp macro="">
      <cdr:nvCxnSpPr>
        <cdr:cNvPr id="38" name="Connecteur droit 37">
          <a:extLst xmlns:a="http://schemas.openxmlformats.org/drawingml/2006/main">
            <a:ext uri="{FF2B5EF4-FFF2-40B4-BE49-F238E27FC236}">
              <a16:creationId xmlns:a16="http://schemas.microsoft.com/office/drawing/2014/main" id="{1D1A47F4-24F1-417C-A6E4-A7D7384C60D3}"/>
            </a:ext>
          </a:extLst>
        </cdr:cNvPr>
        <cdr:cNvCxnSpPr/>
      </cdr:nvCxnSpPr>
      <cdr:spPr>
        <a:xfrm xmlns:a="http://schemas.openxmlformats.org/drawingml/2006/main">
          <a:off x="4820478" y="535609"/>
          <a:ext cx="13252" cy="425947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6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0.72122</cdr:x>
      <cdr:y>0.03393</cdr:y>
    </cdr:from>
    <cdr:to>
      <cdr:x>0.7859</cdr:x>
      <cdr:y>0.12719</cdr:y>
    </cdr:to>
    <cdr:sp macro="" textlink="">
      <cdr:nvSpPr>
        <cdr:cNvPr id="20" name="ZoneTexte 1">
          <a:extLst xmlns:a="http://schemas.openxmlformats.org/drawingml/2006/main">
            <a:ext uri="{FF2B5EF4-FFF2-40B4-BE49-F238E27FC236}">
              <a16:creationId xmlns:a16="http://schemas.microsoft.com/office/drawing/2014/main" id="{CBE1E41E-69F7-42D1-B331-DA59FCB03E89}"/>
            </a:ext>
          </a:extLst>
        </cdr:cNvPr>
        <cdr:cNvSpPr txBox="1"/>
      </cdr:nvSpPr>
      <cdr:spPr>
        <a:xfrm xmlns:a="http://schemas.openxmlformats.org/drawingml/2006/main">
          <a:off x="6697013" y="205155"/>
          <a:ext cx="600601" cy="564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20000"/>
            <a:lumOff val="80000"/>
          </a:schemeClr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3"/>
        </a:fontRef>
      </cdr:style>
      <cdr:txBody>
        <a:bodyPr xmlns:a="http://schemas.openxmlformats.org/drawingml/2006/main" vertOverflow="clip" horzOverflow="clip" wrap="square" lIns="3600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accent3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Inflation</a:t>
          </a:r>
          <a:r>
            <a:rPr lang="fr-FR" sz="900" baseline="0">
              <a:solidFill>
                <a:schemeClr val="accent3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- Hausse des taux</a:t>
          </a:r>
          <a:endParaRPr lang="fr-FR" sz="900">
            <a:solidFill>
              <a:schemeClr val="accent3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0.82255</cdr:x>
      <cdr:y>0.03473</cdr:y>
    </cdr:from>
    <cdr:to>
      <cdr:x>0.90719</cdr:x>
      <cdr:y>0.12542</cdr:y>
    </cdr:to>
    <cdr:sp macro="" textlink="">
      <cdr:nvSpPr>
        <cdr:cNvPr id="21" name="ZoneTexte 1">
          <a:extLst xmlns:a="http://schemas.openxmlformats.org/drawingml/2006/main">
            <a:ext uri="{FF2B5EF4-FFF2-40B4-BE49-F238E27FC236}">
              <a16:creationId xmlns:a16="http://schemas.microsoft.com/office/drawing/2014/main" id="{CBE1E41E-69F7-42D1-B331-DA59FCB03E89}"/>
            </a:ext>
          </a:extLst>
        </cdr:cNvPr>
        <cdr:cNvSpPr txBox="1"/>
      </cdr:nvSpPr>
      <cdr:spPr>
        <a:xfrm xmlns:a="http://schemas.openxmlformats.org/drawingml/2006/main">
          <a:off x="7637887" y="210039"/>
          <a:ext cx="785964" cy="54838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20000"/>
            <a:lumOff val="80000"/>
          </a:schemeClr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5"/>
        </a:fontRef>
      </cdr:style>
      <cdr:txBody>
        <a:bodyPr xmlns:a="http://schemas.openxmlformats.org/drawingml/2006/main" wrap="square" lIns="3600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Stabilisation</a:t>
          </a:r>
          <a:r>
            <a:rPr lang="fr-FR" sz="90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</a:t>
          </a:r>
          <a:r>
            <a:rPr lang="fr-FR" sz="90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Période</a:t>
          </a:r>
          <a:r>
            <a:rPr lang="fr-FR" sz="90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de taux hauts</a:t>
          </a:r>
          <a:endParaRPr lang="fr-FR" sz="90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0.42522</cdr:x>
      <cdr:y>0.32391</cdr:y>
    </cdr:from>
    <cdr:to>
      <cdr:x>0.56643</cdr:x>
      <cdr:y>0.39342</cdr:y>
    </cdr:to>
    <cdr:sp macro="" textlink="">
      <cdr:nvSpPr>
        <cdr:cNvPr id="7" name="ZoneTexte 6">
          <a:extLst xmlns:a="http://schemas.openxmlformats.org/drawingml/2006/main">
            <a:ext uri="{FF2B5EF4-FFF2-40B4-BE49-F238E27FC236}">
              <a16:creationId xmlns:a16="http://schemas.microsoft.com/office/drawing/2014/main" id="{4E47C3E5-0A3D-4723-A94F-3E7707AF5CEA}"/>
            </a:ext>
          </a:extLst>
        </cdr:cNvPr>
        <cdr:cNvSpPr txBox="1"/>
      </cdr:nvSpPr>
      <cdr:spPr>
        <a:xfrm xmlns:a="http://schemas.openxmlformats.org/drawingml/2006/main">
          <a:off x="3949296" y="1958457"/>
          <a:ext cx="1311434" cy="42030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squar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 i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</a:t>
          </a:r>
          <a:r>
            <a:rPr lang="fr-FR" sz="1450" b="1" i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 des </a:t>
          </a:r>
          <a:r>
            <a:rPr lang="fr-FR" sz="1400" b="1" i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vulnérabilités</a:t>
          </a:r>
          <a:endParaRPr lang="fr-FR" sz="1450" b="1" i="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0.38072</cdr:x>
      <cdr:y>0.10191</cdr:y>
    </cdr:from>
    <cdr:to>
      <cdr:x>0.38334</cdr:x>
      <cdr:y>0.79268</cdr:y>
    </cdr:to>
    <cdr:cxnSp macro="">
      <cdr:nvCxnSpPr>
        <cdr:cNvPr id="37" name="Connecteur droit 36">
          <a:extLst xmlns:a="http://schemas.openxmlformats.org/drawingml/2006/main">
            <a:ext uri="{FF2B5EF4-FFF2-40B4-BE49-F238E27FC236}">
              <a16:creationId xmlns:a16="http://schemas.microsoft.com/office/drawing/2014/main" id="{81273143-D8EF-42EF-BB5B-E15B2C86DCE5}"/>
            </a:ext>
          </a:extLst>
        </cdr:cNvPr>
        <cdr:cNvCxnSpPr/>
      </cdr:nvCxnSpPr>
      <cdr:spPr>
        <a:xfrm xmlns:a="http://schemas.openxmlformats.org/drawingml/2006/main">
          <a:off x="3536007" y="616150"/>
          <a:ext cx="24295" cy="417664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6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0.72889</cdr:x>
      <cdr:y>0.20767</cdr:y>
    </cdr:from>
    <cdr:to>
      <cdr:x>0.90369</cdr:x>
      <cdr:y>0.27597</cdr:y>
    </cdr:to>
    <cdr:sp macro="" textlink="">
      <cdr:nvSpPr>
        <cdr:cNvPr id="9" name="ZoneTexte 8">
          <a:extLst xmlns:a="http://schemas.openxmlformats.org/drawingml/2006/main">
            <a:ext uri="{FF2B5EF4-FFF2-40B4-BE49-F238E27FC236}">
              <a16:creationId xmlns:a16="http://schemas.microsoft.com/office/drawing/2014/main" id="{2ED45FDA-72A7-4664-989B-9CDB7761D54A}"/>
            </a:ext>
          </a:extLst>
        </cdr:cNvPr>
        <cdr:cNvSpPr txBox="1"/>
      </cdr:nvSpPr>
      <cdr:spPr>
        <a:xfrm xmlns:a="http://schemas.openxmlformats.org/drawingml/2006/main">
          <a:off x="6769652" y="1255659"/>
          <a:ext cx="1623403" cy="41293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vertOverflow="clip" wrap="square" lIns="36000" tIns="0" rIns="0" bIns="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 à partir du T1 2026</a:t>
          </a:r>
        </a:p>
      </cdr:txBody>
    </cdr:sp>
  </cdr:relSizeAnchor>
  <cdr:relSizeAnchor xmlns:cdr="http://schemas.openxmlformats.org/drawingml/2006/chartDrawing">
    <cdr:from>
      <cdr:x>0.41617</cdr:x>
      <cdr:y>0.2332</cdr:y>
    </cdr:from>
    <cdr:to>
      <cdr:x>0.41617</cdr:x>
      <cdr:y>0.44163</cdr:y>
    </cdr:to>
    <cdr:cxnSp macro="">
      <cdr:nvCxnSpPr>
        <cdr:cNvPr id="5" name="Connecteur droit avec flèche 4">
          <a:extLst xmlns:a="http://schemas.openxmlformats.org/drawingml/2006/main">
            <a:ext uri="{FF2B5EF4-FFF2-40B4-BE49-F238E27FC236}">
              <a16:creationId xmlns:a16="http://schemas.microsoft.com/office/drawing/2014/main" id="{C869B38C-F87D-435C-A582-6B8332BFDAE1}"/>
            </a:ext>
          </a:extLst>
        </cdr:cNvPr>
        <cdr:cNvCxnSpPr/>
      </cdr:nvCxnSpPr>
      <cdr:spPr>
        <a:xfrm xmlns:a="http://schemas.openxmlformats.org/drawingml/2006/main" flipH="1">
          <a:off x="3865174" y="1410021"/>
          <a:ext cx="0" cy="1260231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0.3793</cdr:x>
      <cdr:y>0.03399</cdr:y>
    </cdr:from>
    <cdr:to>
      <cdr:x>0.5205</cdr:x>
      <cdr:y>0.12631</cdr:y>
    </cdr:to>
    <cdr:sp macro="" textlink="">
      <cdr:nvSpPr>
        <cdr:cNvPr id="18" name="ZoneTexte 1">
          <a:extLst xmlns:a="http://schemas.openxmlformats.org/drawingml/2006/main">
            <a:ext uri="{FF2B5EF4-FFF2-40B4-BE49-F238E27FC236}">
              <a16:creationId xmlns:a16="http://schemas.microsoft.com/office/drawing/2014/main" id="{CBE1E41E-69F7-42D1-B331-DA59FCB03E89}"/>
            </a:ext>
          </a:extLst>
        </cdr:cNvPr>
        <cdr:cNvSpPr txBox="1"/>
      </cdr:nvSpPr>
      <cdr:spPr>
        <a:xfrm xmlns:a="http://schemas.openxmlformats.org/drawingml/2006/main">
          <a:off x="3522014" y="205557"/>
          <a:ext cx="1311141" cy="55823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</a:schemeClr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6"/>
        </a:fontRef>
      </cdr:style>
      <cdr:txBody>
        <a:bodyPr xmlns:a="http://schemas.openxmlformats.org/drawingml/2006/main" vertOverflow="clip" horzOverflow="clip" wrap="square" lIns="3600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accent6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Quantitative Easing </a:t>
          </a:r>
          <a:r>
            <a:rPr lang="fr-FR" sz="900">
              <a:solidFill>
                <a:schemeClr val="accent6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- Vulnérabilités</a:t>
          </a:r>
          <a:r>
            <a:rPr lang="fr-FR" sz="900" baseline="0">
              <a:solidFill>
                <a:schemeClr val="accent6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diminuées par les taux, hausse de l'encours</a:t>
          </a:r>
          <a:endParaRPr lang="fr-FR" sz="900">
            <a:solidFill>
              <a:schemeClr val="accent6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0.25446</cdr:x>
      <cdr:y>0.11142</cdr:y>
    </cdr:from>
    <cdr:to>
      <cdr:x>0.25529</cdr:x>
      <cdr:y>0.78849</cdr:y>
    </cdr:to>
    <cdr:cxnSp macro="">
      <cdr:nvCxnSpPr>
        <cdr:cNvPr id="35" name="Connecteur droit 34">
          <a:extLst xmlns:a="http://schemas.openxmlformats.org/drawingml/2006/main">
            <a:ext uri="{FF2B5EF4-FFF2-40B4-BE49-F238E27FC236}">
              <a16:creationId xmlns:a16="http://schemas.microsoft.com/office/drawing/2014/main" id="{E5D1B51C-C9FC-490F-9218-6757C4C0472D}"/>
            </a:ext>
          </a:extLst>
        </cdr:cNvPr>
        <cdr:cNvCxnSpPr/>
      </cdr:nvCxnSpPr>
      <cdr:spPr>
        <a:xfrm xmlns:a="http://schemas.openxmlformats.org/drawingml/2006/main">
          <a:off x="2363304" y="673652"/>
          <a:ext cx="7730" cy="409381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0.26086</cdr:x>
      <cdr:y>0.32289</cdr:y>
    </cdr:from>
    <cdr:to>
      <cdr:x>0.39655</cdr:x>
      <cdr:y>0.39119</cdr:y>
    </cdr:to>
    <cdr:sp macro="" textlink="">
      <cdr:nvSpPr>
        <cdr:cNvPr id="8" name="ZoneTexte 1">
          <a:extLst xmlns:a="http://schemas.openxmlformats.org/drawingml/2006/main">
            <a:ext uri="{FF2B5EF4-FFF2-40B4-BE49-F238E27FC236}">
              <a16:creationId xmlns:a16="http://schemas.microsoft.com/office/drawing/2014/main" id="{9457C76A-2670-4248-AE18-0CF53256CFEE}"/>
            </a:ext>
          </a:extLst>
        </cdr:cNvPr>
        <cdr:cNvSpPr txBox="1"/>
      </cdr:nvSpPr>
      <cdr:spPr>
        <a:xfrm xmlns:a="http://schemas.openxmlformats.org/drawingml/2006/main">
          <a:off x="2422769" y="1952300"/>
          <a:ext cx="1260231" cy="41293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square" lIns="0" tIns="0" rIns="0" bIns="0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0.3977</cdr:x>
      <cdr:y>0.23215</cdr:y>
    </cdr:from>
    <cdr:to>
      <cdr:x>0.3977</cdr:x>
      <cdr:y>0.44058</cdr:y>
    </cdr:to>
    <cdr:cxnSp macro="">
      <cdr:nvCxnSpPr>
        <cdr:cNvPr id="4" name="Connecteur droit avec flèche 3">
          <a:extLst xmlns:a="http://schemas.openxmlformats.org/drawingml/2006/main">
            <a:ext uri="{FF2B5EF4-FFF2-40B4-BE49-F238E27FC236}">
              <a16:creationId xmlns:a16="http://schemas.microsoft.com/office/drawing/2014/main" id="{793F7841-19E7-4F50-80E4-60B4D28CD8C8}"/>
            </a:ext>
          </a:extLst>
        </cdr:cNvPr>
        <cdr:cNvCxnSpPr/>
      </cdr:nvCxnSpPr>
      <cdr:spPr>
        <a:xfrm xmlns:a="http://schemas.openxmlformats.org/drawingml/2006/main" flipV="1">
          <a:off x="3693632" y="1403672"/>
          <a:ext cx="0" cy="1260231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0.20508</cdr:x>
      <cdr:y>0.03393</cdr:y>
    </cdr:from>
    <cdr:to>
      <cdr:x>0.33088</cdr:x>
      <cdr:y>0.1253</cdr:y>
    </cdr:to>
    <cdr:sp macro="" textlink="">
      <cdr:nvSpPr>
        <cdr:cNvPr id="17" name="ZoneTexte 1">
          <a:extLst xmlns:a="http://schemas.openxmlformats.org/drawingml/2006/main">
            <a:ext uri="{FF2B5EF4-FFF2-40B4-BE49-F238E27FC236}">
              <a16:creationId xmlns:a16="http://schemas.microsoft.com/office/drawing/2014/main" id="{CBE1E41E-69F7-42D1-B331-DA59FCB03E89}"/>
            </a:ext>
          </a:extLst>
        </cdr:cNvPr>
        <cdr:cNvSpPr txBox="1"/>
      </cdr:nvSpPr>
      <cdr:spPr>
        <a:xfrm xmlns:a="http://schemas.openxmlformats.org/drawingml/2006/main">
          <a:off x="1904302" y="205153"/>
          <a:ext cx="1168121" cy="552541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>
            <a:lumMod val="20000"/>
            <a:lumOff val="80000"/>
          </a:schemeClr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1"/>
        </a:fontRef>
      </cdr:style>
      <cdr:txBody>
        <a:bodyPr xmlns:a="http://schemas.openxmlformats.org/drawingml/2006/main" vertOverflow="clip" horzOverflow="clip" wrap="square" lIns="3600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Crise de la zone euro </a:t>
          </a:r>
          <a:r>
            <a:rPr lang="fr-FR" sz="90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- Coût</a:t>
          </a:r>
          <a:r>
            <a:rPr lang="fr-FR" sz="9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du financement de marché élevé</a:t>
          </a:r>
          <a:endParaRPr lang="fr-FR" sz="900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0.69759</cdr:x>
      <cdr:y>0.1005</cdr:y>
    </cdr:from>
    <cdr:to>
      <cdr:x>0.69771</cdr:x>
      <cdr:y>0.79292</cdr:y>
    </cdr:to>
    <cdr:cxnSp macro="">
      <cdr:nvCxnSpPr>
        <cdr:cNvPr id="54" name="Connecteur droit 53">
          <a:extLst xmlns:a="http://schemas.openxmlformats.org/drawingml/2006/main">
            <a:ext uri="{FF2B5EF4-FFF2-40B4-BE49-F238E27FC236}">
              <a16:creationId xmlns:a16="http://schemas.microsoft.com/office/drawing/2014/main" id="{BF9E448D-6A49-47F3-B30C-2D7E7B836C81}"/>
            </a:ext>
          </a:extLst>
        </cdr:cNvPr>
        <cdr:cNvCxnSpPr/>
      </cdr:nvCxnSpPr>
      <cdr:spPr>
        <a:xfrm xmlns:a="http://schemas.openxmlformats.org/drawingml/2006/main">
          <a:off x="6478954" y="607646"/>
          <a:ext cx="1105" cy="418658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4">
              <a:lumMod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0.62067</cdr:x>
      <cdr:y>0.03223</cdr:y>
    </cdr:from>
    <cdr:to>
      <cdr:x>0.69914</cdr:x>
      <cdr:y>0.12542</cdr:y>
    </cdr:to>
    <cdr:sp macro="" textlink="">
      <cdr:nvSpPr>
        <cdr:cNvPr id="19" name="ZoneTexte 1">
          <a:extLst xmlns:a="http://schemas.openxmlformats.org/drawingml/2006/main">
            <a:ext uri="{FF2B5EF4-FFF2-40B4-BE49-F238E27FC236}">
              <a16:creationId xmlns:a16="http://schemas.microsoft.com/office/drawing/2014/main" id="{CBE1E41E-69F7-42D1-B331-DA59FCB03E89}"/>
            </a:ext>
          </a:extLst>
        </cdr:cNvPr>
        <cdr:cNvSpPr txBox="1"/>
      </cdr:nvSpPr>
      <cdr:spPr>
        <a:xfrm xmlns:a="http://schemas.openxmlformats.org/drawingml/2006/main">
          <a:off x="5763296" y="194902"/>
          <a:ext cx="728650" cy="56352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20000"/>
            <a:lumOff val="80000"/>
          </a:schemeClr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4"/>
        </a:fontRef>
      </cdr:style>
      <cdr:txBody>
        <a:bodyPr xmlns:a="http://schemas.openxmlformats.org/drawingml/2006/main" wrap="square" lIns="3600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accent4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COVID</a:t>
          </a:r>
          <a:r>
            <a:rPr lang="fr-FR" sz="900">
              <a:solidFill>
                <a:schemeClr val="accent4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- Forte hausse de l'encours</a:t>
          </a:r>
          <a:r>
            <a:rPr lang="fr-FR" sz="900" baseline="0">
              <a:solidFill>
                <a:schemeClr val="accent4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de dette</a:t>
          </a:r>
          <a:endParaRPr lang="fr-FR" sz="1050">
            <a:solidFill>
              <a:schemeClr val="accent4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78471" cy="604370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3C88BB3-9FC4-419E-AAF1-1450616719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0.91193</cdr:x>
      <cdr:y>0.02853</cdr:y>
    </cdr:from>
    <cdr:to>
      <cdr:x>0.94858</cdr:x>
      <cdr:y>0.79009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0F269A3-48AD-4D26-A2ED-5B787BA27F84}"/>
            </a:ext>
          </a:extLst>
        </cdr:cNvPr>
        <cdr:cNvSpPr/>
      </cdr:nvSpPr>
      <cdr:spPr>
        <a:xfrm xmlns:a="http://schemas.openxmlformats.org/drawingml/2006/main">
          <a:off x="8469586" y="172501"/>
          <a:ext cx="340373" cy="46046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2225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0.09037</cdr:x>
      <cdr:y>0.16804</cdr:y>
    </cdr:from>
    <cdr:to>
      <cdr:x>0.24138</cdr:x>
      <cdr:y>0.2484</cdr:y>
    </cdr:to>
    <cdr:sp macro="" textlink="">
      <cdr:nvSpPr>
        <cdr:cNvPr id="15" name="ZoneTexte 14">
          <a:extLst xmlns:a="http://schemas.openxmlformats.org/drawingml/2006/main">
            <a:ext uri="{FF2B5EF4-FFF2-40B4-BE49-F238E27FC236}">
              <a16:creationId xmlns:a16="http://schemas.microsoft.com/office/drawing/2014/main" id="{9BCD24C4-F9F1-4849-A222-14DD8EDB19B9}"/>
            </a:ext>
          </a:extLst>
        </cdr:cNvPr>
        <cdr:cNvSpPr txBox="1"/>
      </cdr:nvSpPr>
      <cdr:spPr>
        <a:xfrm xmlns:a="http://schemas.openxmlformats.org/drawingml/2006/main">
          <a:off x="839304" y="1016000"/>
          <a:ext cx="1402522" cy="485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/>
        </a:p>
      </cdr:txBody>
    </cdr:sp>
  </cdr:relSizeAnchor>
  <cdr:relSizeAnchor xmlns:cdr="http://schemas.openxmlformats.org/drawingml/2006/chartDrawing">
    <cdr:from>
      <cdr:x>0.39787</cdr:x>
      <cdr:y>0.22939</cdr:y>
    </cdr:from>
    <cdr:to>
      <cdr:x>0.55797</cdr:x>
      <cdr:y>0.30748</cdr:y>
    </cdr:to>
    <cdr:sp macro="" textlink="">
      <cdr:nvSpPr>
        <cdr:cNvPr id="7" name="ZoneTexte 6">
          <a:extLst xmlns:a="http://schemas.openxmlformats.org/drawingml/2006/main">
            <a:ext uri="{FF2B5EF4-FFF2-40B4-BE49-F238E27FC236}">
              <a16:creationId xmlns:a16="http://schemas.microsoft.com/office/drawing/2014/main" id="{4E47C3E5-0A3D-4723-A94F-3E7707AF5CEA}"/>
            </a:ext>
          </a:extLst>
        </cdr:cNvPr>
        <cdr:cNvSpPr txBox="1"/>
      </cdr:nvSpPr>
      <cdr:spPr>
        <a:xfrm xmlns:a="http://schemas.openxmlformats.org/drawingml/2006/main">
          <a:off x="3691624" y="1386366"/>
          <a:ext cx="1485493" cy="47192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squar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600" b="1" i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0.71176</cdr:x>
      <cdr:y>0.08891</cdr:y>
    </cdr:from>
    <cdr:to>
      <cdr:x>0.89475</cdr:x>
      <cdr:y>0.167</cdr:y>
    </cdr:to>
    <cdr:sp macro="" textlink="">
      <cdr:nvSpPr>
        <cdr:cNvPr id="9" name="ZoneTexte 8">
          <a:extLst xmlns:a="http://schemas.openxmlformats.org/drawingml/2006/main">
            <a:ext uri="{FF2B5EF4-FFF2-40B4-BE49-F238E27FC236}">
              <a16:creationId xmlns:a16="http://schemas.microsoft.com/office/drawing/2014/main" id="{2ED45FDA-72A7-4664-989B-9CDB7761D54A}"/>
            </a:ext>
          </a:extLst>
        </cdr:cNvPr>
        <cdr:cNvSpPr txBox="1"/>
      </cdr:nvSpPr>
      <cdr:spPr>
        <a:xfrm xmlns:a="http://schemas.openxmlformats.org/drawingml/2006/main">
          <a:off x="6604001" y="537346"/>
          <a:ext cx="1697912" cy="47192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vertOverflow="clip" wrap="square" lIns="36000" tIns="0" rIns="0" bIns="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60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 à partir du T1 2026</a:t>
          </a:r>
        </a:p>
      </cdr:txBody>
    </cdr:sp>
  </cdr:relSizeAnchor>
  <cdr:relSizeAnchor xmlns:cdr="http://schemas.openxmlformats.org/drawingml/2006/chartDrawing">
    <cdr:from>
      <cdr:x>0.38882</cdr:x>
      <cdr:y>0.13868</cdr:y>
    </cdr:from>
    <cdr:to>
      <cdr:x>0.38882</cdr:x>
      <cdr:y>0.34711</cdr:y>
    </cdr:to>
    <cdr:cxnSp macro="">
      <cdr:nvCxnSpPr>
        <cdr:cNvPr id="5" name="Connecteur droit avec flèche 4">
          <a:extLst xmlns:a="http://schemas.openxmlformats.org/drawingml/2006/main">
            <a:ext uri="{FF2B5EF4-FFF2-40B4-BE49-F238E27FC236}">
              <a16:creationId xmlns:a16="http://schemas.microsoft.com/office/drawing/2014/main" id="{C869B38C-F87D-435C-A582-6B8332BFDAE1}"/>
            </a:ext>
          </a:extLst>
        </cdr:cNvPr>
        <cdr:cNvCxnSpPr/>
      </cdr:nvCxnSpPr>
      <cdr:spPr>
        <a:xfrm xmlns:a="http://schemas.openxmlformats.org/drawingml/2006/main" flipH="1">
          <a:off x="3611206" y="838498"/>
          <a:ext cx="0" cy="1260231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0.22383</cdr:x>
      <cdr:y>0.22837</cdr:y>
    </cdr:from>
    <cdr:to>
      <cdr:x>0.3692</cdr:x>
      <cdr:y>0.30646</cdr:y>
    </cdr:to>
    <cdr:sp macro="" textlink="">
      <cdr:nvSpPr>
        <cdr:cNvPr id="8" name="ZoneTexte 1">
          <a:extLst xmlns:a="http://schemas.openxmlformats.org/drawingml/2006/main">
            <a:ext uri="{FF2B5EF4-FFF2-40B4-BE49-F238E27FC236}">
              <a16:creationId xmlns:a16="http://schemas.microsoft.com/office/drawing/2014/main" id="{9457C76A-2670-4248-AE18-0CF53256CFEE}"/>
            </a:ext>
          </a:extLst>
        </cdr:cNvPr>
        <cdr:cNvSpPr txBox="1"/>
      </cdr:nvSpPr>
      <cdr:spPr>
        <a:xfrm xmlns:a="http://schemas.openxmlformats.org/drawingml/2006/main">
          <a:off x="2076824" y="1380201"/>
          <a:ext cx="1348787" cy="47192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square" lIns="0" tIns="0" rIns="0" bIns="0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60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0.37035</cdr:x>
      <cdr:y>0.13763</cdr:y>
    </cdr:from>
    <cdr:to>
      <cdr:x>0.37035</cdr:x>
      <cdr:y>0.34606</cdr:y>
    </cdr:to>
    <cdr:cxnSp macro="">
      <cdr:nvCxnSpPr>
        <cdr:cNvPr id="4" name="Connecteur droit avec flèche 3">
          <a:extLst xmlns:a="http://schemas.openxmlformats.org/drawingml/2006/main">
            <a:ext uri="{FF2B5EF4-FFF2-40B4-BE49-F238E27FC236}">
              <a16:creationId xmlns:a16="http://schemas.microsoft.com/office/drawing/2014/main" id="{793F7841-19E7-4F50-80E4-60B4D28CD8C8}"/>
            </a:ext>
          </a:extLst>
        </cdr:cNvPr>
        <cdr:cNvCxnSpPr/>
      </cdr:nvCxnSpPr>
      <cdr:spPr>
        <a:xfrm xmlns:a="http://schemas.openxmlformats.org/drawingml/2006/main" flipV="1">
          <a:off x="3439665" y="832149"/>
          <a:ext cx="0" cy="1260232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7565" cy="604630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055AB5B-D045-4179-A3ED-A007EA3278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0.17715</cdr:x>
      <cdr:y>0.1229</cdr:y>
    </cdr:from>
    <cdr:to>
      <cdr:x>0.35089</cdr:x>
      <cdr:y>0.20892</cdr:y>
    </cdr:to>
    <cdr:sp macro="" textlink="">
      <cdr:nvSpPr>
        <cdr:cNvPr id="10" name="ZoneTexte 1">
          <a:extLst xmlns:a="http://schemas.openxmlformats.org/drawingml/2006/main">
            <a:ext uri="{FF2B5EF4-FFF2-40B4-BE49-F238E27FC236}">
              <a16:creationId xmlns:a16="http://schemas.microsoft.com/office/drawing/2014/main" id="{66DC33BA-24AB-4859-828F-B529FF43A9C7}"/>
            </a:ext>
          </a:extLst>
        </cdr:cNvPr>
        <cdr:cNvSpPr txBox="1"/>
      </cdr:nvSpPr>
      <cdr:spPr>
        <a:xfrm xmlns:a="http://schemas.openxmlformats.org/drawingml/2006/main">
          <a:off x="1644607" y="742955"/>
          <a:ext cx="1612950" cy="520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5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0.33447</cdr:x>
      <cdr:y>0.125</cdr:y>
    </cdr:from>
    <cdr:to>
      <cdr:x>0.55609</cdr:x>
      <cdr:y>0.20858</cdr:y>
    </cdr:to>
    <cdr:sp macro="" textlink="">
      <cdr:nvSpPr>
        <cdr:cNvPr id="11" name="ZoneTexte 1">
          <a:extLst xmlns:a="http://schemas.openxmlformats.org/drawingml/2006/main">
            <a:ext uri="{FF2B5EF4-FFF2-40B4-BE49-F238E27FC236}">
              <a16:creationId xmlns:a16="http://schemas.microsoft.com/office/drawing/2014/main" id="{94FE4661-4A68-430F-9386-5D8228BB8483}"/>
            </a:ext>
          </a:extLst>
        </cdr:cNvPr>
        <cdr:cNvSpPr txBox="1"/>
      </cdr:nvSpPr>
      <cdr:spPr>
        <a:xfrm xmlns:a="http://schemas.openxmlformats.org/drawingml/2006/main">
          <a:off x="3105150" y="755650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0.33242</cdr:x>
      <cdr:y>0.05882</cdr:y>
    </cdr:from>
    <cdr:to>
      <cdr:x>0.33242</cdr:x>
      <cdr:y>0.26725</cdr:y>
    </cdr:to>
    <cdr:cxnSp macro="">
      <cdr:nvCxnSpPr>
        <cdr:cNvPr id="12" name="Connecteur droit avec flèche 11">
          <a:extLst xmlns:a="http://schemas.openxmlformats.org/drawingml/2006/main">
            <a:ext uri="{FF2B5EF4-FFF2-40B4-BE49-F238E27FC236}">
              <a16:creationId xmlns:a16="http://schemas.microsoft.com/office/drawing/2014/main" id="{D4F398AF-0963-43B2-A6EE-646C6D460591}"/>
            </a:ext>
          </a:extLst>
        </cdr:cNvPr>
        <cdr:cNvCxnSpPr/>
      </cdr:nvCxnSpPr>
      <cdr:spPr>
        <a:xfrm xmlns:a="http://schemas.openxmlformats.org/drawingml/2006/main" flipV="1">
          <a:off x="3086100" y="35560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0.35089</cdr:x>
      <cdr:y>0.05987</cdr:y>
    </cdr:from>
    <cdr:to>
      <cdr:x>0.35089</cdr:x>
      <cdr:y>0.2683</cdr:y>
    </cdr:to>
    <cdr:cxnSp macro="">
      <cdr:nvCxnSpPr>
        <cdr:cNvPr id="13" name="Connecteur droit avec flèche 12">
          <a:extLst xmlns:a="http://schemas.openxmlformats.org/drawingml/2006/main">
            <a:ext uri="{FF2B5EF4-FFF2-40B4-BE49-F238E27FC236}">
              <a16:creationId xmlns:a16="http://schemas.microsoft.com/office/drawing/2014/main" id="{052F780A-C288-4E0E-8676-00B7CA5FD296}"/>
            </a:ext>
          </a:extLst>
        </cdr:cNvPr>
        <cdr:cNvCxnSpPr/>
      </cdr:nvCxnSpPr>
      <cdr:spPr>
        <a:xfrm xmlns:a="http://schemas.openxmlformats.org/drawingml/2006/main" flipH="1">
          <a:off x="3257550" y="36195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0.72414</cdr:x>
      <cdr:y>0.03289</cdr:y>
    </cdr:from>
    <cdr:to>
      <cdr:x>0.90904</cdr:x>
      <cdr:y>0.11142</cdr:y>
    </cdr:to>
    <cdr:sp macro="" textlink="">
      <cdr:nvSpPr>
        <cdr:cNvPr id="14" name="ZoneTexte 1">
          <a:extLst xmlns:a="http://schemas.openxmlformats.org/drawingml/2006/main">
            <a:ext uri="{FF2B5EF4-FFF2-40B4-BE49-F238E27FC236}">
              <a16:creationId xmlns:a16="http://schemas.microsoft.com/office/drawing/2014/main" id="{9CACF21B-34FC-4FE3-AC63-19C6E3F92888}"/>
            </a:ext>
          </a:extLst>
        </cdr:cNvPr>
        <cdr:cNvSpPr txBox="1"/>
      </cdr:nvSpPr>
      <cdr:spPr>
        <a:xfrm xmlns:a="http://schemas.openxmlformats.org/drawingml/2006/main">
          <a:off x="6725477" y="198847"/>
          <a:ext cx="1717261" cy="4748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 à partir du T4 2025</a:t>
          </a:r>
        </a:p>
      </cdr:txBody>
    </cdr:sp>
  </cdr:relSizeAnchor>
  <cdr:relSizeAnchor xmlns:cdr="http://schemas.openxmlformats.org/drawingml/2006/chartDrawing">
    <cdr:from>
      <cdr:x>0.91141</cdr:x>
      <cdr:y>0.02923</cdr:y>
    </cdr:from>
    <cdr:to>
      <cdr:x>0.94867</cdr:x>
      <cdr:y>0.77717</cdr:y>
    </cdr:to>
    <cdr:sp macro="" textlink="">
      <cdr:nvSpPr>
        <cdr:cNvPr id="15" name="Rectangle 14">
          <a:extLst xmlns:a="http://schemas.openxmlformats.org/drawingml/2006/main">
            <a:ext uri="{FF2B5EF4-FFF2-40B4-BE49-F238E27FC236}">
              <a16:creationId xmlns:a16="http://schemas.microsoft.com/office/drawing/2014/main" id="{9DA17C98-63D2-4002-9137-6EFF5FC632BC}"/>
            </a:ext>
          </a:extLst>
        </cdr:cNvPr>
        <cdr:cNvSpPr/>
      </cdr:nvSpPr>
      <cdr:spPr>
        <a:xfrm xmlns:a="http://schemas.openxmlformats.org/drawingml/2006/main">
          <a:off x="8464826" y="176732"/>
          <a:ext cx="346008" cy="45222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78471" cy="604370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5423172-2406-4B84-86C6-E0A9479F3F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0.91082</cdr:x>
      <cdr:y>0.02923</cdr:y>
    </cdr:from>
    <cdr:to>
      <cdr:x>0.94818</cdr:x>
      <cdr:y>0.76635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E2B3FFD-3C0C-458E-B8E7-73E76AAF19C9}"/>
            </a:ext>
          </a:extLst>
        </cdr:cNvPr>
        <cdr:cNvSpPr/>
      </cdr:nvSpPr>
      <cdr:spPr>
        <a:xfrm xmlns:a="http://schemas.openxmlformats.org/drawingml/2006/main">
          <a:off x="8459305" y="176733"/>
          <a:ext cx="346938" cy="44568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0.17168</cdr:x>
      <cdr:y>0.13655</cdr:y>
    </cdr:from>
    <cdr:to>
      <cdr:x>0.34542</cdr:x>
      <cdr:y>0.22256</cdr:y>
    </cdr:to>
    <cdr:sp macro="" textlink="">
      <cdr:nvSpPr>
        <cdr:cNvPr id="10" name="ZoneTexte 1">
          <a:extLst xmlns:a="http://schemas.openxmlformats.org/drawingml/2006/main">
            <a:ext uri="{FF2B5EF4-FFF2-40B4-BE49-F238E27FC236}">
              <a16:creationId xmlns:a16="http://schemas.microsoft.com/office/drawing/2014/main" id="{10AE7541-866A-4D9E-9FD9-1496809A015A}"/>
            </a:ext>
          </a:extLst>
        </cdr:cNvPr>
        <cdr:cNvSpPr txBox="1"/>
      </cdr:nvSpPr>
      <cdr:spPr>
        <a:xfrm xmlns:a="http://schemas.openxmlformats.org/drawingml/2006/main">
          <a:off x="1594489" y="825623"/>
          <a:ext cx="1613622" cy="520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5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0.33037</cdr:x>
      <cdr:y>0.13655</cdr:y>
    </cdr:from>
    <cdr:to>
      <cdr:x>0.55198</cdr:x>
      <cdr:y>0.22014</cdr:y>
    </cdr:to>
    <cdr:sp macro="" textlink="">
      <cdr:nvSpPr>
        <cdr:cNvPr id="11" name="ZoneTexte 1">
          <a:extLst xmlns:a="http://schemas.openxmlformats.org/drawingml/2006/main">
            <a:ext uri="{FF2B5EF4-FFF2-40B4-BE49-F238E27FC236}">
              <a16:creationId xmlns:a16="http://schemas.microsoft.com/office/drawing/2014/main" id="{506B18A0-7ECC-46ED-AB07-42194300AA89}"/>
            </a:ext>
          </a:extLst>
        </cdr:cNvPr>
        <cdr:cNvSpPr txBox="1"/>
      </cdr:nvSpPr>
      <cdr:spPr>
        <a:xfrm xmlns:a="http://schemas.openxmlformats.org/drawingml/2006/main">
          <a:off x="3067050" y="825500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0.35089</cdr:x>
      <cdr:y>0.05987</cdr:y>
    </cdr:from>
    <cdr:to>
      <cdr:x>0.35089</cdr:x>
      <cdr:y>0.2683</cdr:y>
    </cdr:to>
    <cdr:cxnSp macro="">
      <cdr:nvCxnSpPr>
        <cdr:cNvPr id="12" name="Connecteur droit avec flèche 11">
          <a:extLst xmlns:a="http://schemas.openxmlformats.org/drawingml/2006/main">
            <a:ext uri="{FF2B5EF4-FFF2-40B4-BE49-F238E27FC236}">
              <a16:creationId xmlns:a16="http://schemas.microsoft.com/office/drawing/2014/main" id="{20A34CFB-ACBC-4147-BF32-9AB7DD219D2B}"/>
            </a:ext>
          </a:extLst>
        </cdr:cNvPr>
        <cdr:cNvCxnSpPr/>
      </cdr:nvCxnSpPr>
      <cdr:spPr>
        <a:xfrm xmlns:a="http://schemas.openxmlformats.org/drawingml/2006/main" flipH="1">
          <a:off x="3257550" y="36195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0.33242</cdr:x>
      <cdr:y>0.05882</cdr:y>
    </cdr:from>
    <cdr:to>
      <cdr:x>0.33242</cdr:x>
      <cdr:y>0.26725</cdr:y>
    </cdr:to>
    <cdr:cxnSp macro="">
      <cdr:nvCxnSpPr>
        <cdr:cNvPr id="13" name="Connecteur droit avec flèche 12">
          <a:extLst xmlns:a="http://schemas.openxmlformats.org/drawingml/2006/main">
            <a:ext uri="{FF2B5EF4-FFF2-40B4-BE49-F238E27FC236}">
              <a16:creationId xmlns:a16="http://schemas.microsoft.com/office/drawing/2014/main" id="{6BA02075-4B3B-4BE2-97B7-B01F45B5FD31}"/>
            </a:ext>
          </a:extLst>
        </cdr:cNvPr>
        <cdr:cNvCxnSpPr/>
      </cdr:nvCxnSpPr>
      <cdr:spPr>
        <a:xfrm xmlns:a="http://schemas.openxmlformats.org/drawingml/2006/main" flipV="1">
          <a:off x="3086100" y="35560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0.78181</cdr:x>
      <cdr:y>0.05147</cdr:y>
    </cdr:from>
    <cdr:to>
      <cdr:x>0.89951</cdr:x>
      <cdr:y>0.1009</cdr:y>
    </cdr:to>
    <cdr:sp macro="" textlink="">
      <cdr:nvSpPr>
        <cdr:cNvPr id="14" name="ZoneTexte 1">
          <a:extLst xmlns:a="http://schemas.openxmlformats.org/drawingml/2006/main">
            <a:ext uri="{FF2B5EF4-FFF2-40B4-BE49-F238E27FC236}">
              <a16:creationId xmlns:a16="http://schemas.microsoft.com/office/drawing/2014/main" id="{B095F23C-4A0D-411D-84C1-8C7403827B77}"/>
            </a:ext>
          </a:extLst>
        </cdr:cNvPr>
        <cdr:cNvSpPr txBox="1"/>
      </cdr:nvSpPr>
      <cdr:spPr>
        <a:xfrm xmlns:a="http://schemas.openxmlformats.org/drawingml/2006/main">
          <a:off x="7258050" y="311150"/>
          <a:ext cx="1092735" cy="298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FB8758-DF02-491F-89F6-81D7B43500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0.91108</cdr:x>
      <cdr:y>0.02923</cdr:y>
    </cdr:from>
    <cdr:to>
      <cdr:x>0.94771</cdr:x>
      <cdr:y>0.79202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ABA53B1-902A-426D-8A38-D52854C4058C}"/>
            </a:ext>
          </a:extLst>
        </cdr:cNvPr>
        <cdr:cNvSpPr/>
      </cdr:nvSpPr>
      <cdr:spPr>
        <a:xfrm xmlns:a="http://schemas.openxmlformats.org/drawingml/2006/main">
          <a:off x="8458200" y="176701"/>
          <a:ext cx="340055" cy="46112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0.7843</cdr:x>
      <cdr:y>0.05589</cdr:y>
    </cdr:from>
    <cdr:to>
      <cdr:x>0.90551</cdr:x>
      <cdr:y>0.10654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1717C1A5-0398-42EE-9C85-368831782D52}"/>
            </a:ext>
          </a:extLst>
        </cdr:cNvPr>
        <cdr:cNvSpPr txBox="1"/>
      </cdr:nvSpPr>
      <cdr:spPr>
        <a:xfrm xmlns:a="http://schemas.openxmlformats.org/drawingml/2006/main">
          <a:off x="7281206" y="337866"/>
          <a:ext cx="1125244" cy="3061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Prévisions</a:t>
          </a:r>
        </a:p>
      </cdr:txBody>
    </cdr:sp>
  </cdr:relSizeAnchor>
  <cdr:relSizeAnchor xmlns:cdr="http://schemas.openxmlformats.org/drawingml/2006/chartDrawing">
    <cdr:from>
      <cdr:x>0.39429</cdr:x>
      <cdr:y>0.13991</cdr:y>
    </cdr:from>
    <cdr:to>
      <cdr:x>0.61581</cdr:x>
      <cdr:y>0.22348</cdr:y>
    </cdr:to>
    <cdr:sp macro="" textlink="">
      <cdr:nvSpPr>
        <cdr:cNvPr id="5" name="ZoneTexte 1">
          <a:extLst xmlns:a="http://schemas.openxmlformats.org/drawingml/2006/main">
            <a:ext uri="{FF2B5EF4-FFF2-40B4-BE49-F238E27FC236}">
              <a16:creationId xmlns:a16="http://schemas.microsoft.com/office/drawing/2014/main" id="{919CC388-8808-46ED-AC0D-B3D00EFD679F}"/>
            </a:ext>
          </a:extLst>
        </cdr:cNvPr>
        <cdr:cNvSpPr txBox="1"/>
      </cdr:nvSpPr>
      <cdr:spPr>
        <a:xfrm xmlns:a="http://schemas.openxmlformats.org/drawingml/2006/main">
          <a:off x="3662018" y="845931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0.22782</cdr:x>
      <cdr:y>0.13991</cdr:y>
    </cdr:from>
    <cdr:to>
      <cdr:x>0.40149</cdr:x>
      <cdr:y>0.22348</cdr:y>
    </cdr:to>
    <cdr:sp macro="" textlink="">
      <cdr:nvSpPr>
        <cdr:cNvPr id="6" name="ZoneTexte 1">
          <a:extLst xmlns:a="http://schemas.openxmlformats.org/drawingml/2006/main">
            <a:ext uri="{FF2B5EF4-FFF2-40B4-BE49-F238E27FC236}">
              <a16:creationId xmlns:a16="http://schemas.microsoft.com/office/drawing/2014/main" id="{5859ACC2-8E3E-4321-85FA-40790D0E3F99}"/>
            </a:ext>
          </a:extLst>
        </cdr:cNvPr>
        <cdr:cNvSpPr txBox="1"/>
      </cdr:nvSpPr>
      <cdr:spPr>
        <a:xfrm xmlns:a="http://schemas.openxmlformats.org/drawingml/2006/main">
          <a:off x="2115930" y="845931"/>
          <a:ext cx="16129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0.39483</cdr:x>
      <cdr:y>0.0663</cdr:y>
    </cdr:from>
    <cdr:to>
      <cdr:x>0.39483</cdr:x>
      <cdr:y>0.27469</cdr:y>
    </cdr:to>
    <cdr:cxnSp macro="">
      <cdr:nvCxnSpPr>
        <cdr:cNvPr id="7" name="Connecteur droit avec flèche 6">
          <a:extLst xmlns:a="http://schemas.openxmlformats.org/drawingml/2006/main">
            <a:ext uri="{FF2B5EF4-FFF2-40B4-BE49-F238E27FC236}">
              <a16:creationId xmlns:a16="http://schemas.microsoft.com/office/drawing/2014/main" id="{9842C4C5-C766-40D9-B651-74813FCC25DD}"/>
            </a:ext>
          </a:extLst>
        </cdr:cNvPr>
        <cdr:cNvCxnSpPr/>
      </cdr:nvCxnSpPr>
      <cdr:spPr>
        <a:xfrm xmlns:a="http://schemas.openxmlformats.org/drawingml/2006/main" flipV="1">
          <a:off x="3666987" y="400878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0.41329</cdr:x>
      <cdr:y>0.06826</cdr:y>
    </cdr:from>
    <cdr:to>
      <cdr:x>0.41329</cdr:x>
      <cdr:y>0.27666</cdr:y>
    </cdr:to>
    <cdr:cxnSp macro="">
      <cdr:nvCxnSpPr>
        <cdr:cNvPr id="8" name="Connecteur droit avec flèche 7">
          <a:extLst xmlns:a="http://schemas.openxmlformats.org/drawingml/2006/main">
            <a:ext uri="{FF2B5EF4-FFF2-40B4-BE49-F238E27FC236}">
              <a16:creationId xmlns:a16="http://schemas.microsoft.com/office/drawing/2014/main" id="{5F7577C8-01B5-4D76-ABA2-620E52BA89EA}"/>
            </a:ext>
          </a:extLst>
        </cdr:cNvPr>
        <cdr:cNvCxnSpPr/>
      </cdr:nvCxnSpPr>
      <cdr:spPr>
        <a:xfrm xmlns:a="http://schemas.openxmlformats.org/drawingml/2006/main" flipH="1">
          <a:off x="3838437" y="41275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C8AC708-D6F0-4114-A6A1-3067BD7CAB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0.91655</cdr:x>
      <cdr:y>0.02667</cdr:y>
    </cdr:from>
    <cdr:to>
      <cdr:x>0.94927</cdr:x>
      <cdr:y>0.87505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A4D39A5-AAE6-4BDA-871A-AF65FFCC52CD}"/>
            </a:ext>
          </a:extLst>
        </cdr:cNvPr>
        <cdr:cNvSpPr/>
      </cdr:nvSpPr>
      <cdr:spPr>
        <a:xfrm xmlns:a="http://schemas.openxmlformats.org/drawingml/2006/main">
          <a:off x="8509000" y="161238"/>
          <a:ext cx="303696" cy="51285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0.22485</cdr:x>
      <cdr:y>0.16913</cdr:y>
    </cdr:from>
    <cdr:to>
      <cdr:x>0.39851</cdr:x>
      <cdr:y>0.25517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280B94A1-BC37-4386-BE7C-2777FD04BFC8}"/>
            </a:ext>
          </a:extLst>
        </cdr:cNvPr>
        <cdr:cNvSpPr txBox="1"/>
      </cdr:nvSpPr>
      <cdr:spPr>
        <a:xfrm xmlns:a="http://schemas.openxmlformats.org/drawingml/2006/main">
          <a:off x="2086264" y="1022172"/>
          <a:ext cx="1611299" cy="520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5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0.40083</cdr:x>
      <cdr:y>0.17096</cdr:y>
    </cdr:from>
    <cdr:to>
      <cdr:x>0.62235</cdr:x>
      <cdr:y>0.25453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6CB2AC8A-BFFA-447F-9EC7-FC8937159645}"/>
            </a:ext>
          </a:extLst>
        </cdr:cNvPr>
        <cdr:cNvSpPr txBox="1"/>
      </cdr:nvSpPr>
      <cdr:spPr>
        <a:xfrm xmlns:a="http://schemas.openxmlformats.org/drawingml/2006/main">
          <a:off x="3722757" y="1033670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0.4003</cdr:x>
      <cdr:y>0.0747</cdr:y>
    </cdr:from>
    <cdr:to>
      <cdr:x>0.4003</cdr:x>
      <cdr:y>0.28309</cdr:y>
    </cdr:to>
    <cdr:cxnSp macro="">
      <cdr:nvCxnSpPr>
        <cdr:cNvPr id="5" name="Connecteur droit avec flèche 4">
          <a:extLst xmlns:a="http://schemas.openxmlformats.org/drawingml/2006/main">
            <a:ext uri="{FF2B5EF4-FFF2-40B4-BE49-F238E27FC236}">
              <a16:creationId xmlns:a16="http://schemas.microsoft.com/office/drawing/2014/main" id="{2522CB44-B3B1-4D5E-BB63-B3D260FABD19}"/>
            </a:ext>
          </a:extLst>
        </cdr:cNvPr>
        <cdr:cNvCxnSpPr/>
      </cdr:nvCxnSpPr>
      <cdr:spPr>
        <a:xfrm xmlns:a="http://schemas.openxmlformats.org/drawingml/2006/main" flipV="1">
          <a:off x="3717787" y="451678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0.41876</cdr:x>
      <cdr:y>0.07667</cdr:y>
    </cdr:from>
    <cdr:to>
      <cdr:x>0.41876</cdr:x>
      <cdr:y>0.28506</cdr:y>
    </cdr:to>
    <cdr:cxnSp macro="">
      <cdr:nvCxnSpPr>
        <cdr:cNvPr id="6" name="Connecteur droit avec flèche 5">
          <a:extLst xmlns:a="http://schemas.openxmlformats.org/drawingml/2006/main">
            <a:ext uri="{FF2B5EF4-FFF2-40B4-BE49-F238E27FC236}">
              <a16:creationId xmlns:a16="http://schemas.microsoft.com/office/drawing/2014/main" id="{3AACC3E6-748D-4075-9BBD-6A69DDAA9E70}"/>
            </a:ext>
          </a:extLst>
        </cdr:cNvPr>
        <cdr:cNvCxnSpPr/>
      </cdr:nvCxnSpPr>
      <cdr:spPr>
        <a:xfrm xmlns:a="http://schemas.openxmlformats.org/drawingml/2006/main" flipH="1">
          <a:off x="3889237" y="46355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0.7849</cdr:x>
      <cdr:y>0.05863</cdr:y>
    </cdr:from>
    <cdr:to>
      <cdr:x>0.90255</cdr:x>
      <cdr:y>0.10805</cdr:y>
    </cdr:to>
    <cdr:sp macro="" textlink="">
      <cdr:nvSpPr>
        <cdr:cNvPr id="7" name="ZoneTexte 1">
          <a:extLst xmlns:a="http://schemas.openxmlformats.org/drawingml/2006/main">
            <a:ext uri="{FF2B5EF4-FFF2-40B4-BE49-F238E27FC236}">
              <a16:creationId xmlns:a16="http://schemas.microsoft.com/office/drawing/2014/main" id="{57D05FCC-5ED7-450C-BAF0-06FC722DCFC1}"/>
            </a:ext>
          </a:extLst>
        </cdr:cNvPr>
        <cdr:cNvSpPr txBox="1"/>
      </cdr:nvSpPr>
      <cdr:spPr>
        <a:xfrm xmlns:a="http://schemas.openxmlformats.org/drawingml/2006/main">
          <a:off x="7289800" y="354495"/>
          <a:ext cx="1092735" cy="298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2C3228-9E91-42E2-A153-B8E10C4FB9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0.91176</cdr:x>
      <cdr:y>0.02832</cdr:y>
    </cdr:from>
    <cdr:to>
      <cdr:x>0.94763</cdr:x>
      <cdr:y>0.8792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6BC7D8B-C213-4453-BE04-D8A524A01C11}"/>
            </a:ext>
          </a:extLst>
        </cdr:cNvPr>
        <cdr:cNvSpPr/>
      </cdr:nvSpPr>
      <cdr:spPr>
        <a:xfrm xmlns:a="http://schemas.openxmlformats.org/drawingml/2006/main">
          <a:off x="8464550" y="171200"/>
          <a:ext cx="332944" cy="5143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0.42423</cdr:x>
      <cdr:y>0.08507</cdr:y>
    </cdr:from>
    <cdr:to>
      <cdr:x>0.42423</cdr:x>
      <cdr:y>0.29346</cdr:y>
    </cdr:to>
    <cdr:cxnSp macro="">
      <cdr:nvCxnSpPr>
        <cdr:cNvPr id="3" name="Connecteur droit avec flèche 2">
          <a:extLst xmlns:a="http://schemas.openxmlformats.org/drawingml/2006/main">
            <a:ext uri="{FF2B5EF4-FFF2-40B4-BE49-F238E27FC236}">
              <a16:creationId xmlns:a16="http://schemas.microsoft.com/office/drawing/2014/main" id="{84E5FB60-9351-4D2E-96A2-EED3A5C6282D}"/>
            </a:ext>
          </a:extLst>
        </cdr:cNvPr>
        <cdr:cNvCxnSpPr/>
      </cdr:nvCxnSpPr>
      <cdr:spPr>
        <a:xfrm xmlns:a="http://schemas.openxmlformats.org/drawingml/2006/main" flipH="1">
          <a:off x="3940037" y="514350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0.40577</cdr:x>
      <cdr:y>0.0831</cdr:y>
    </cdr:from>
    <cdr:to>
      <cdr:x>0.40577</cdr:x>
      <cdr:y>0.2915</cdr:y>
    </cdr:to>
    <cdr:cxnSp macro="">
      <cdr:nvCxnSpPr>
        <cdr:cNvPr id="4" name="Connecteur droit avec flèche 3">
          <a:extLst xmlns:a="http://schemas.openxmlformats.org/drawingml/2006/main">
            <a:ext uri="{FF2B5EF4-FFF2-40B4-BE49-F238E27FC236}">
              <a16:creationId xmlns:a16="http://schemas.microsoft.com/office/drawing/2014/main" id="{BA038764-5AA3-48BB-9B80-DFBC2789C130}"/>
            </a:ext>
          </a:extLst>
        </cdr:cNvPr>
        <cdr:cNvCxnSpPr/>
      </cdr:nvCxnSpPr>
      <cdr:spPr>
        <a:xfrm xmlns:a="http://schemas.openxmlformats.org/drawingml/2006/main" flipV="1">
          <a:off x="3768587" y="502478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0.23971</cdr:x>
      <cdr:y>0.14904</cdr:y>
    </cdr:from>
    <cdr:to>
      <cdr:x>0.41338</cdr:x>
      <cdr:y>0.23261</cdr:y>
    </cdr:to>
    <cdr:sp macro="" textlink="">
      <cdr:nvSpPr>
        <cdr:cNvPr id="5" name="ZoneTexte 1">
          <a:extLst xmlns:a="http://schemas.openxmlformats.org/drawingml/2006/main">
            <a:ext uri="{FF2B5EF4-FFF2-40B4-BE49-F238E27FC236}">
              <a16:creationId xmlns:a16="http://schemas.microsoft.com/office/drawing/2014/main" id="{81E4A4EE-B058-437C-9C16-243D85D565A8}"/>
            </a:ext>
          </a:extLst>
        </cdr:cNvPr>
        <cdr:cNvSpPr txBox="1"/>
      </cdr:nvSpPr>
      <cdr:spPr>
        <a:xfrm xmlns:a="http://schemas.openxmlformats.org/drawingml/2006/main">
          <a:off x="2226366" y="901148"/>
          <a:ext cx="16129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0.39608</cdr:x>
      <cdr:y>0.14995</cdr:y>
    </cdr:from>
    <cdr:to>
      <cdr:x>0.6176</cdr:x>
      <cdr:y>0.23352</cdr:y>
    </cdr:to>
    <cdr:sp macro="" textlink="">
      <cdr:nvSpPr>
        <cdr:cNvPr id="6" name="ZoneTexte 1">
          <a:extLst xmlns:a="http://schemas.openxmlformats.org/drawingml/2006/main">
            <a:ext uri="{FF2B5EF4-FFF2-40B4-BE49-F238E27FC236}">
              <a16:creationId xmlns:a16="http://schemas.microsoft.com/office/drawing/2014/main" id="{45588DDB-2B67-4DA8-8953-6575005EF83E}"/>
            </a:ext>
          </a:extLst>
        </cdr:cNvPr>
        <cdr:cNvSpPr txBox="1"/>
      </cdr:nvSpPr>
      <cdr:spPr>
        <a:xfrm xmlns:a="http://schemas.openxmlformats.org/drawingml/2006/main">
          <a:off x="3678583" y="906669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0.7777</cdr:x>
      <cdr:y>0.04402</cdr:y>
    </cdr:from>
    <cdr:to>
      <cdr:x>0.89606</cdr:x>
      <cdr:y>0.09345</cdr:y>
    </cdr:to>
    <cdr:sp macro="" textlink="">
      <cdr:nvSpPr>
        <cdr:cNvPr id="7" name="ZoneTexte 1">
          <a:extLst xmlns:a="http://schemas.openxmlformats.org/drawingml/2006/main">
            <a:ext uri="{FF2B5EF4-FFF2-40B4-BE49-F238E27FC236}">
              <a16:creationId xmlns:a16="http://schemas.microsoft.com/office/drawing/2014/main" id="{B62E617E-1C7F-4D67-95ED-F5B270432668}"/>
            </a:ext>
          </a:extLst>
        </cdr:cNvPr>
        <cdr:cNvSpPr txBox="1"/>
      </cdr:nvSpPr>
      <cdr:spPr>
        <a:xfrm xmlns:a="http://schemas.openxmlformats.org/drawingml/2006/main">
          <a:off x="7219950" y="266110"/>
          <a:ext cx="1098802" cy="298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vertOverflow="overflow" horzOverflow="overflow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83700" cy="60452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54D182A-67CF-4F65-8A03-311B9576D8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0.91129</cdr:x>
      <cdr:y>0.02801</cdr:y>
    </cdr:from>
    <cdr:to>
      <cdr:x>0.94938</cdr:x>
      <cdr:y>0.87831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A82317F-A5BE-41AA-8C8A-CF70317EF401}"/>
            </a:ext>
          </a:extLst>
        </cdr:cNvPr>
        <cdr:cNvSpPr/>
      </cdr:nvSpPr>
      <cdr:spPr>
        <a:xfrm xmlns:a="http://schemas.openxmlformats.org/drawingml/2006/main">
          <a:off x="8460154" y="169333"/>
          <a:ext cx="353645" cy="5140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0.40577</cdr:x>
      <cdr:y>0.0831</cdr:y>
    </cdr:from>
    <cdr:to>
      <cdr:x>0.40577</cdr:x>
      <cdr:y>0.2915</cdr:y>
    </cdr:to>
    <cdr:cxnSp macro="">
      <cdr:nvCxnSpPr>
        <cdr:cNvPr id="3" name="Connecteur droit avec flèche 2">
          <a:extLst xmlns:a="http://schemas.openxmlformats.org/drawingml/2006/main">
            <a:ext uri="{FF2B5EF4-FFF2-40B4-BE49-F238E27FC236}">
              <a16:creationId xmlns:a16="http://schemas.microsoft.com/office/drawing/2014/main" id="{4FBD53A4-DD67-4194-A633-12CF651B874E}"/>
            </a:ext>
          </a:extLst>
        </cdr:cNvPr>
        <cdr:cNvCxnSpPr/>
      </cdr:nvCxnSpPr>
      <cdr:spPr>
        <a:xfrm xmlns:a="http://schemas.openxmlformats.org/drawingml/2006/main" flipV="1">
          <a:off x="3768587" y="502478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C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0.42613</cdr:x>
      <cdr:y>0.08616</cdr:y>
    </cdr:from>
    <cdr:to>
      <cdr:x>0.42613</cdr:x>
      <cdr:y>0.29456</cdr:y>
    </cdr:to>
    <cdr:cxnSp macro="">
      <cdr:nvCxnSpPr>
        <cdr:cNvPr id="4" name="Connecteur droit avec flèche 3">
          <a:extLst xmlns:a="http://schemas.openxmlformats.org/drawingml/2006/main">
            <a:ext uri="{FF2B5EF4-FFF2-40B4-BE49-F238E27FC236}">
              <a16:creationId xmlns:a16="http://schemas.microsoft.com/office/drawing/2014/main" id="{59A596A0-9AC0-469E-B9FF-0343294E0840}"/>
            </a:ext>
          </a:extLst>
        </cdr:cNvPr>
        <cdr:cNvCxnSpPr/>
      </cdr:nvCxnSpPr>
      <cdr:spPr>
        <a:xfrm xmlns:a="http://schemas.openxmlformats.org/drawingml/2006/main" flipH="1">
          <a:off x="3957707" y="520976"/>
          <a:ext cx="0" cy="12600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0.23853</cdr:x>
      <cdr:y>0.12986</cdr:y>
    </cdr:from>
    <cdr:to>
      <cdr:x>0.41219</cdr:x>
      <cdr:y>0.21588</cdr:y>
    </cdr:to>
    <cdr:sp macro="" textlink="">
      <cdr:nvSpPr>
        <cdr:cNvPr id="5" name="ZoneTexte 1">
          <a:extLst xmlns:a="http://schemas.openxmlformats.org/drawingml/2006/main">
            <a:ext uri="{FF2B5EF4-FFF2-40B4-BE49-F238E27FC236}">
              <a16:creationId xmlns:a16="http://schemas.microsoft.com/office/drawing/2014/main" id="{81E4A4EE-B058-437C-9C16-243D85D565A8}"/>
            </a:ext>
          </a:extLst>
        </cdr:cNvPr>
        <cdr:cNvSpPr txBox="1"/>
      </cdr:nvSpPr>
      <cdr:spPr>
        <a:xfrm xmlns:a="http://schemas.openxmlformats.org/drawingml/2006/main">
          <a:off x="2214441" y="785030"/>
          <a:ext cx="1612207" cy="520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50" b="1" i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Hausse des vulnérabilités</a:t>
          </a:r>
        </a:p>
      </cdr:txBody>
    </cdr:sp>
  </cdr:relSizeAnchor>
  <cdr:relSizeAnchor xmlns:cdr="http://schemas.openxmlformats.org/drawingml/2006/chartDrawing">
    <cdr:from>
      <cdr:x>0.40143</cdr:x>
      <cdr:y>0.12986</cdr:y>
    </cdr:from>
    <cdr:to>
      <cdr:x>0.62295</cdr:x>
      <cdr:y>0.21343</cdr:y>
    </cdr:to>
    <cdr:sp macro="" textlink="">
      <cdr:nvSpPr>
        <cdr:cNvPr id="6" name="ZoneTexte 1">
          <a:extLst xmlns:a="http://schemas.openxmlformats.org/drawingml/2006/main">
            <a:ext uri="{FF2B5EF4-FFF2-40B4-BE49-F238E27FC236}">
              <a16:creationId xmlns:a16="http://schemas.microsoft.com/office/drawing/2014/main" id="{45588DDB-2B67-4DA8-8953-6575005EF83E}"/>
            </a:ext>
          </a:extLst>
        </cdr:cNvPr>
        <cdr:cNvSpPr txBox="1"/>
      </cdr:nvSpPr>
      <cdr:spPr>
        <a:xfrm xmlns:a="http://schemas.openxmlformats.org/drawingml/2006/main">
          <a:off x="3728279" y="785191"/>
          <a:ext cx="2057400" cy="505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Diminution des vulnérabilités</a:t>
          </a:r>
        </a:p>
      </cdr:txBody>
    </cdr:sp>
  </cdr:relSizeAnchor>
  <cdr:relSizeAnchor xmlns:cdr="http://schemas.openxmlformats.org/drawingml/2006/chartDrawing">
    <cdr:from>
      <cdr:x>0.7736</cdr:x>
      <cdr:y>0.04767</cdr:y>
    </cdr:from>
    <cdr:to>
      <cdr:x>0.89126</cdr:x>
      <cdr:y>0.09709</cdr:y>
    </cdr:to>
    <cdr:sp macro="" textlink="">
      <cdr:nvSpPr>
        <cdr:cNvPr id="7" name="ZoneTexte 1">
          <a:extLst xmlns:a="http://schemas.openxmlformats.org/drawingml/2006/main">
            <a:ext uri="{FF2B5EF4-FFF2-40B4-BE49-F238E27FC236}">
              <a16:creationId xmlns:a16="http://schemas.microsoft.com/office/drawing/2014/main" id="{B62E617E-1C7F-4D67-95ED-F5B270432668}"/>
            </a:ext>
          </a:extLst>
        </cdr:cNvPr>
        <cdr:cNvSpPr txBox="1"/>
      </cdr:nvSpPr>
      <cdr:spPr>
        <a:xfrm xmlns:a="http://schemas.openxmlformats.org/drawingml/2006/main">
          <a:off x="7184887" y="288235"/>
          <a:ext cx="1092735" cy="298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  <a:prstDash val="lgDash"/>
        </a:ln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400" b="1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Prévisions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4991951-7685-41E0-9A17-B44BCF5A413D}" autoFormatId="16" applyNumberFormats="0" applyBorderFormats="0" applyFontFormats="0" applyPatternFormats="0" applyAlignmentFormats="0" applyWidthHeightFormats="0">
  <queryTableRefresh nextId="39">
    <queryTableFields count="26">
      <queryTableField id="1" name="TIME_PERIOD" tableColumnId="1"/>
      <queryTableField id="29" name="Indicateur de vulnérabilité" tableColumnId="2"/>
      <queryTableField id="31" name="Taux du CCyB" tableColumnId="3"/>
      <queryTableField id="4" name="Encours de dette (ménages et SNF)" tableColumnId="4"/>
      <queryTableField id="5" name="Financement du crédit" tableColumnId="5"/>
      <queryTableField id="6" name="Financement sur les marchés" tableColumnId="6"/>
      <queryTableField id="7" name="Marché immobilier" tableColumnId="7"/>
      <queryTableField id="33" name="Valorisation sur les marchés" tableColumnId="8"/>
      <queryTableField id="9" name="Dette Ménages" tableColumnId="9"/>
      <queryTableField id="10" name="Dette SNF" tableColumnId="10"/>
      <queryTableField id="11" name="Taux croissance crédits particuliers" tableColumnId="11"/>
      <queryTableField id="12" name="Taux croissance crédits SNF" tableColumnId="12"/>
      <queryTableField id="35" name="Service de la dette des ménages" tableColumnId="13"/>
      <queryTableField id="36" name="Service de la dette des SNF" tableColumnId="14"/>
      <queryTableField id="15" name="Taux crédits nouveaux ménages" tableColumnId="15"/>
      <queryTableField id="16" name="Taux crédits nouveaux SNF" tableColumnId="16"/>
      <queryTableField id="17" name="Durcissement conditions d'octroi - SNF" tableColumnId="17"/>
      <queryTableField id="18" name="Durcissement conditions d'octroi - Ménages" tableColumnId="18"/>
      <queryTableField id="19" name="Part SNF avec contraintes de crédit" tableColumnId="19"/>
      <queryTableField id="20" name="Surrévaluation prix immo" tableColumnId="20"/>
      <queryTableField id="21" name="Prix immo / revenus ménages" tableColumnId="21"/>
      <queryTableField id="22" name="Spread HY" tableColumnId="22"/>
      <queryTableField id="24" name="Spread OAT-Bund" tableColumnId="24"/>
      <queryTableField id="26" name="Prime de CDS moyen" tableColumnId="26"/>
      <queryTableField id="27" name="Price Earning ratio" tableColumnId="27"/>
      <queryTableField id="28" name="incomplet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64AE7-99B8-4F39-BDA2-AE6ED1FF264A}" name="Donnees" displayName="Donnees" ref="A1:Z72" tableType="queryTable" totalsRowShown="0">
  <autoFilter ref="A1:Z72" xr:uid="{1CD64AE7-99B8-4F39-BDA2-AE6ED1FF264A}"/>
  <tableColumns count="26">
    <tableColumn id="1" xr3:uid="{9CF8D8E1-B26B-4DDA-ABB5-A70C45348134}" uniqueName="1" name="TIME_PERIOD" queryTableFieldId="1" dataDxfId="7"/>
    <tableColumn id="2" xr3:uid="{6A6E3EAD-E9AF-4C60-9254-F3E04560ED3F}" uniqueName="2" name="Indicateur de vulnérabilité" queryTableFieldId="29"/>
    <tableColumn id="3" xr3:uid="{618FFB21-FAE5-478E-B9A6-A21F575383EE}" uniqueName="3" name="Taux du CCyB" queryTableFieldId="31"/>
    <tableColumn id="4" xr3:uid="{10520900-3A40-4776-AC62-E1932E2DA66C}" uniqueName="4" name="Encours de dette (ménages et SNF)" queryTableFieldId="4"/>
    <tableColumn id="5" xr3:uid="{411E7FEE-A60C-49AC-945E-2D03FF5578E9}" uniqueName="5" name="Financement du crédit" queryTableFieldId="5"/>
    <tableColumn id="6" xr3:uid="{1CEEC0D2-3E9A-4A68-AD9D-3A2CA69A19B3}" uniqueName="6" name="Financement sur les marchés" queryTableFieldId="6"/>
    <tableColumn id="7" xr3:uid="{24D77157-666C-4F43-A4BA-089D29EFA3B9}" uniqueName="7" name="Marché immobilier" queryTableFieldId="7"/>
    <tableColumn id="8" xr3:uid="{A0ACEAD5-E8EC-4391-8523-7655D0785B94}" uniqueName="8" name="Valorisation sur les marchés" queryTableFieldId="33"/>
    <tableColumn id="9" xr3:uid="{0CF86EDC-8748-4EC8-949A-97C0F4099E60}" uniqueName="9" name="Dette Ménages" queryTableFieldId="9" dataDxfId="6"/>
    <tableColumn id="10" xr3:uid="{9FA58C12-A7B8-4A73-B4C3-24E41DA9290D}" uniqueName="10" name="Dette SNF" queryTableFieldId="10" dataDxfId="5"/>
    <tableColumn id="11" xr3:uid="{9923EA0C-0646-4EF5-B5E5-B9ABE7CFF6C0}" uniqueName="11" name="Taux croissance crédits particuliers" queryTableFieldId="11"/>
    <tableColumn id="12" xr3:uid="{7D0C6F9F-C1CE-48D1-93A4-B10BEF5BBD03}" uniqueName="12" name="Taux croissance crédits SNF" queryTableFieldId="12"/>
    <tableColumn id="13" xr3:uid="{B1CC1DDB-9042-44B9-9B7E-E614F763A42F}" uniqueName="13" name="Service de la dette des ménages" queryTableFieldId="35" dataDxfId="4"/>
    <tableColumn id="14" xr3:uid="{0BD5E45D-2FBC-45D3-89F6-7A0FD258354F}" uniqueName="14" name="Service de la dette des SNF" queryTableFieldId="36" dataDxfId="3"/>
    <tableColumn id="15" xr3:uid="{ABF0E324-D8A9-4474-B2B7-727EAE836663}" uniqueName="15" name="Taux crédits nouveaux ménages" queryTableFieldId="15"/>
    <tableColumn id="16" xr3:uid="{AB99FFC9-10D4-4870-B575-DCF1CB1522EA}" uniqueName="16" name="Taux crédits nouveaux SNF" queryTableFieldId="16"/>
    <tableColumn id="17" xr3:uid="{BF8308AE-73BF-4E7A-9630-1B8CDC94359D}" uniqueName="17" name="Durcissement conditions d'octroi - SNF" queryTableFieldId="17"/>
    <tableColumn id="18" xr3:uid="{53F8D54A-A636-45BB-B476-5744309918F7}" uniqueName="18" name="Durcissement conditions d'octroi - Ménages" queryTableFieldId="18"/>
    <tableColumn id="19" xr3:uid="{4FC78604-EEF3-49BE-BE72-965FCAEB0288}" uniqueName="19" name="Part SNF avec contraintes de crédit" queryTableFieldId="19" dataDxfId="2"/>
    <tableColumn id="20" xr3:uid="{2EC4564D-EC4A-4487-B773-3A38AA952F38}" uniqueName="20" name="Surrévaluation prix immo" queryTableFieldId="20" dataDxfId="1"/>
    <tableColumn id="21" xr3:uid="{B65869F0-9C09-43D5-BAC3-2BE054506F52}" uniqueName="21" name="Prix immo / revenus ménages" queryTableFieldId="21" dataDxfId="0"/>
    <tableColumn id="22" xr3:uid="{64235FA5-2A38-4599-81E6-2676C0E6B19C}" uniqueName="22" name="Spread HY" queryTableFieldId="22"/>
    <tableColumn id="24" xr3:uid="{CDBF2BB9-F516-4EFA-BFF3-B156B249A6EF}" uniqueName="24" name="Spread OAT-Bund" queryTableFieldId="24"/>
    <tableColumn id="26" xr3:uid="{C4653AC3-2305-4C3A-BFCC-B002D481E8ED}" uniqueName="26" name="Prime de CDS moyen" queryTableFieldId="26"/>
    <tableColumn id="27" xr3:uid="{A162C40A-856C-4AC9-B88D-DAA801AE0396}" uniqueName="27" name="Price Earning Ratio" queryTableFieldId="27"/>
    <tableColumn id="28" xr3:uid="{5661E44C-2E45-4507-93D0-F8B41C2B72C8}" uniqueName="28" name="incomplet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AC3D-0BCB-490C-9BF7-358675D14947}">
  <dimension ref="A1:AA75"/>
  <sheetViews>
    <sheetView topLeftCell="B51" zoomScaleNormal="100" workbookViewId="0">
      <selection activeCell="B75" sqref="B75:AA75"/>
    </sheetView>
  </sheetViews>
  <sheetFormatPr baseColWidth="10" defaultRowHeight="14.5" x14ac:dyDescent="0.35"/>
  <cols>
    <col min="1" max="1" width="14.7265625" bestFit="1" customWidth="1"/>
    <col min="2" max="2" width="25.26953125" bestFit="1" customWidth="1"/>
    <col min="3" max="3" width="14.36328125" bestFit="1" customWidth="1"/>
    <col min="4" max="4" width="32.453125" bestFit="1" customWidth="1"/>
    <col min="5" max="5" width="21.90625" bestFit="1" customWidth="1"/>
    <col min="6" max="6" width="27.453125" bestFit="1" customWidth="1"/>
    <col min="7" max="7" width="19" bestFit="1" customWidth="1"/>
    <col min="8" max="8" width="26.7265625" bestFit="1" customWidth="1"/>
    <col min="9" max="9" width="15.81640625" bestFit="1" customWidth="1"/>
    <col min="10" max="10" width="12.453125" bestFit="1" customWidth="1"/>
    <col min="11" max="11" width="32.36328125" bestFit="1" customWidth="1"/>
    <col min="12" max="12" width="26" bestFit="1" customWidth="1"/>
    <col min="13" max="13" width="29.90625" bestFit="1" customWidth="1"/>
    <col min="14" max="14" width="25.453125" bestFit="1" customWidth="1"/>
    <col min="15" max="15" width="30" bestFit="1" customWidth="1"/>
    <col min="16" max="16" width="25.54296875" bestFit="1" customWidth="1"/>
    <col min="17" max="17" width="35.6328125" bestFit="1" customWidth="1"/>
    <col min="18" max="18" width="40.1796875" bestFit="1" customWidth="1"/>
    <col min="19" max="19" width="32.453125" bestFit="1" customWidth="1"/>
    <col min="20" max="20" width="24.453125" bestFit="1" customWidth="1"/>
    <col min="21" max="21" width="28" bestFit="1" customWidth="1"/>
    <col min="22" max="22" width="12.453125" bestFit="1" customWidth="1"/>
    <col min="23" max="23" width="17.90625" bestFit="1" customWidth="1"/>
    <col min="24" max="24" width="20.54296875" bestFit="1" customWidth="1"/>
    <col min="25" max="25" width="18.81640625" bestFit="1" customWidth="1"/>
    <col min="26" max="26" width="11.453125" bestFit="1" customWidth="1"/>
    <col min="27" max="27" width="19.54296875" bestFit="1" customWidth="1"/>
    <col min="28" max="28" width="12.1796875" bestFit="1" customWidth="1"/>
    <col min="29" max="29" width="18.81640625" bestFit="1" customWidth="1"/>
    <col min="30" max="33" width="11.453125" bestFit="1" customWidth="1"/>
  </cols>
  <sheetData>
    <row r="1" spans="1:26" x14ac:dyDescent="0.35">
      <c r="A1" t="s">
        <v>0</v>
      </c>
      <c r="B1" t="s">
        <v>89</v>
      </c>
      <c r="C1" t="s">
        <v>90</v>
      </c>
      <c r="D1" t="s">
        <v>1</v>
      </c>
      <c r="E1" t="s">
        <v>2</v>
      </c>
      <c r="F1" t="s">
        <v>87</v>
      </c>
      <c r="G1" t="s">
        <v>3</v>
      </c>
      <c r="H1" t="s">
        <v>91</v>
      </c>
      <c r="I1" t="s">
        <v>4</v>
      </c>
      <c r="J1" t="s">
        <v>5</v>
      </c>
      <c r="K1" t="s">
        <v>6</v>
      </c>
      <c r="L1" t="s">
        <v>7</v>
      </c>
      <c r="M1" t="s">
        <v>94</v>
      </c>
      <c r="N1" t="s">
        <v>95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92</v>
      </c>
      <c r="Z1" t="s">
        <v>88</v>
      </c>
    </row>
    <row r="2" spans="1:26" x14ac:dyDescent="0.35">
      <c r="A2" s="1" t="s">
        <v>18</v>
      </c>
      <c r="B2">
        <v>0.75938862978570276</v>
      </c>
      <c r="D2">
        <v>-3.3599883547810523E-2</v>
      </c>
      <c r="E2">
        <v>0.15807628525333131</v>
      </c>
      <c r="F2">
        <v>0.68162432689556574</v>
      </c>
      <c r="G2">
        <v>-2.0610240157681269E-2</v>
      </c>
      <c r="H2">
        <v>-2.6101858657702669E-2</v>
      </c>
      <c r="I2">
        <v>-2.4977156167274511E-2</v>
      </c>
      <c r="J2">
        <v>-3.6911080790846519E-2</v>
      </c>
      <c r="K2">
        <v>1.403476883591792E-2</v>
      </c>
      <c r="L2">
        <v>4.8717036908054581E-2</v>
      </c>
      <c r="M2">
        <v>4.1655059559861742E-2</v>
      </c>
      <c r="N2">
        <v>-7.6118511893523741E-2</v>
      </c>
      <c r="O2">
        <v>6.624295543127412E-2</v>
      </c>
      <c r="P2">
        <v>1.5917883172514871E-2</v>
      </c>
      <c r="Q2">
        <v>3.4927161922529121E-2</v>
      </c>
      <c r="R2">
        <v>2.233269995927209E-2</v>
      </c>
      <c r="S2">
        <v>1.8655584767741151E-2</v>
      </c>
      <c r="T2">
        <v>-5.0959178172129617E-2</v>
      </c>
      <c r="U2">
        <v>3.0348938014448362E-2</v>
      </c>
      <c r="V2">
        <v>0.68051441284998182</v>
      </c>
      <c r="W2">
        <v>1.1099140455839019E-3</v>
      </c>
      <c r="X2">
        <v>4.8509472169823312E-4</v>
      </c>
      <c r="Y2">
        <v>-2.65869533794009E-2</v>
      </c>
    </row>
    <row r="3" spans="1:26" x14ac:dyDescent="0.35">
      <c r="A3" s="1" t="s">
        <v>19</v>
      </c>
      <c r="B3">
        <v>0.45363982679785431</v>
      </c>
      <c r="D3">
        <v>-0.1245993203952518</v>
      </c>
      <c r="E3">
        <v>8.0827066875595557E-2</v>
      </c>
      <c r="F3">
        <v>0.52180621273179684</v>
      </c>
      <c r="G3">
        <v>-1.3092621062153821E-2</v>
      </c>
      <c r="H3">
        <v>-1.1301511352132591E-2</v>
      </c>
      <c r="I3">
        <v>-1.462919029079526E-2</v>
      </c>
      <c r="J3">
        <v>-3.4067184435124E-2</v>
      </c>
      <c r="K3">
        <v>-2.6698467892128049E-2</v>
      </c>
      <c r="L3">
        <v>-9.2735660374165477E-3</v>
      </c>
      <c r="M3">
        <v>2.9847326141318301E-2</v>
      </c>
      <c r="N3">
        <v>-6.9778237881106209E-2</v>
      </c>
      <c r="O3">
        <v>5.6901032607203583E-2</v>
      </c>
      <c r="P3">
        <v>-1.127675717651763E-3</v>
      </c>
      <c r="Q3">
        <v>1.736755209657118E-3</v>
      </c>
      <c r="R3">
        <v>4.6613700086454773E-3</v>
      </c>
      <c r="S3">
        <v>1.8655584767741151E-2</v>
      </c>
      <c r="T3">
        <v>-2.9744253465561209E-2</v>
      </c>
      <c r="U3">
        <v>1.665163240340739E-2</v>
      </c>
      <c r="V3">
        <v>0.5166178719411082</v>
      </c>
      <c r="W3">
        <v>5.1883407906886097E-3</v>
      </c>
      <c r="X3">
        <v>3.2686504899476039E-3</v>
      </c>
      <c r="Y3">
        <v>-1.4570161842080201E-2</v>
      </c>
    </row>
    <row r="4" spans="1:26" x14ac:dyDescent="0.35">
      <c r="A4" s="1" t="s">
        <v>20</v>
      </c>
      <c r="B4">
        <v>0.2193589341089901</v>
      </c>
      <c r="D4">
        <v>-0.17547541952466111</v>
      </c>
      <c r="E4">
        <v>7.5368742469298144E-2</v>
      </c>
      <c r="F4">
        <v>0.28558688511061492</v>
      </c>
      <c r="G4">
        <v>1.659132931263264E-2</v>
      </c>
      <c r="H4">
        <v>1.7287396741105469E-2</v>
      </c>
      <c r="I4">
        <v>-1.326849541297571E-3</v>
      </c>
      <c r="J4">
        <v>-2.960520911838694E-2</v>
      </c>
      <c r="K4">
        <v>-5.5640504514687078E-2</v>
      </c>
      <c r="L4">
        <v>-5.6975513621594427E-2</v>
      </c>
      <c r="M4">
        <v>4.1655059559861742E-2</v>
      </c>
      <c r="N4">
        <v>-7.3582402288556781E-2</v>
      </c>
      <c r="O4">
        <v>5.3908697952618483E-2</v>
      </c>
      <c r="P4">
        <v>-6.9912654854780484E-3</v>
      </c>
      <c r="Q4">
        <v>1.736755209657118E-3</v>
      </c>
      <c r="R4">
        <v>1.2515294539336331E-2</v>
      </c>
      <c r="S4">
        <v>1.419926025316426E-2</v>
      </c>
      <c r="T4">
        <v>4.4642237716859668E-4</v>
      </c>
      <c r="U4">
        <v>1.6144906935464051E-2</v>
      </c>
      <c r="V4">
        <v>0.28959976439179552</v>
      </c>
      <c r="W4">
        <v>-4.0128792811805914E-3</v>
      </c>
      <c r="X4">
        <v>5.9611234379289377E-4</v>
      </c>
      <c r="Y4">
        <v>1.6691284397312569E-2</v>
      </c>
    </row>
    <row r="5" spans="1:26" x14ac:dyDescent="0.35">
      <c r="A5" s="1" t="s">
        <v>21</v>
      </c>
      <c r="B5">
        <v>1.6394440049824752E-2</v>
      </c>
      <c r="D5">
        <v>-0.19225972957076551</v>
      </c>
      <c r="E5">
        <v>2.8387072133174561E-2</v>
      </c>
      <c r="F5">
        <v>0.14661446909210241</v>
      </c>
      <c r="G5">
        <v>2.4996370649061399E-2</v>
      </c>
      <c r="H5">
        <v>8.6562577462518664E-3</v>
      </c>
      <c r="I5">
        <v>1.6537168473275191E-2</v>
      </c>
      <c r="J5">
        <v>-2.4554841452190071E-2</v>
      </c>
      <c r="K5">
        <v>-6.2072068208589071E-2</v>
      </c>
      <c r="L5">
        <v>-8.6438481247116047E-2</v>
      </c>
      <c r="M5">
        <v>4.1655059559861742E-2</v>
      </c>
      <c r="N5">
        <v>-7.7386566696007256E-2</v>
      </c>
      <c r="O5">
        <v>4.6975239606628597E-2</v>
      </c>
      <c r="P5">
        <v>-9.2046906056487098E-3</v>
      </c>
      <c r="Q5">
        <v>-2.0390182598924219E-2</v>
      </c>
      <c r="R5">
        <v>-3.192554522045375E-3</v>
      </c>
      <c r="S5">
        <v>1.419926025316426E-2</v>
      </c>
      <c r="T5">
        <v>4.226909724776874E-3</v>
      </c>
      <c r="U5">
        <v>2.076946092428452E-2</v>
      </c>
      <c r="V5">
        <v>0.14961110679654011</v>
      </c>
      <c r="W5">
        <v>-2.9966377044376622E-3</v>
      </c>
      <c r="X5">
        <v>-7.5713405467484009E-4</v>
      </c>
      <c r="Y5">
        <v>9.413391800926707E-3</v>
      </c>
    </row>
    <row r="6" spans="1:26" x14ac:dyDescent="0.35">
      <c r="A6" s="1" t="s">
        <v>22</v>
      </c>
      <c r="B6">
        <v>-8.4088459804528171E-2</v>
      </c>
      <c r="D6">
        <v>-0.14952569434562529</v>
      </c>
      <c r="E6">
        <v>-6.8805561126647416E-3</v>
      </c>
      <c r="F6">
        <v>8.7654506122701342E-2</v>
      </c>
      <c r="G6">
        <v>-2.6742978416793271E-2</v>
      </c>
      <c r="H6">
        <v>1.140626294785382E-2</v>
      </c>
      <c r="I6">
        <v>1.747093462485098E-2</v>
      </c>
      <c r="J6">
        <v>-2.2509477570734449E-2</v>
      </c>
      <c r="K6">
        <v>-3.0986177021396069E-2</v>
      </c>
      <c r="L6">
        <v>-8.8309145858260274E-2</v>
      </c>
      <c r="M6">
        <v>5.3462792978405282E-2</v>
      </c>
      <c r="N6">
        <v>-7.8654621498490784E-2</v>
      </c>
      <c r="O6">
        <v>4.7121207150754713E-2</v>
      </c>
      <c r="P6">
        <v>-1.2480690119666569E-2</v>
      </c>
      <c r="Q6">
        <v>-3.1453651503214893E-2</v>
      </c>
      <c r="R6">
        <v>-1.104647905273623E-2</v>
      </c>
      <c r="S6">
        <v>9.7905741219824036E-4</v>
      </c>
      <c r="T6">
        <v>-5.3845398125828059E-2</v>
      </c>
      <c r="U6">
        <v>2.7102419709034788E-2</v>
      </c>
      <c r="V6">
        <v>9.7633713855178272E-2</v>
      </c>
      <c r="W6">
        <v>-9.9792077324769284E-3</v>
      </c>
      <c r="X6">
        <v>-9.0003441379020162E-4</v>
      </c>
      <c r="Y6">
        <v>1.2306297361644019E-2</v>
      </c>
    </row>
    <row r="7" spans="1:26" x14ac:dyDescent="0.35">
      <c r="A7" s="1" t="s">
        <v>23</v>
      </c>
      <c r="B7">
        <v>-2.047166449028336E-2</v>
      </c>
      <c r="D7">
        <v>-0.1050105783642432</v>
      </c>
      <c r="E7">
        <v>7.1557986033513789E-3</v>
      </c>
      <c r="F7">
        <v>0.1009077655759178</v>
      </c>
      <c r="G7">
        <v>-1.357100141732949E-2</v>
      </c>
      <c r="H7">
        <v>-9.9536488879797807E-3</v>
      </c>
      <c r="I7">
        <v>2.0471232423356869E-2</v>
      </c>
      <c r="J7">
        <v>-2.2544500924868979E-2</v>
      </c>
      <c r="K7">
        <v>-8.4757040927390566E-3</v>
      </c>
      <c r="L7">
        <v>-7.0537832052390101E-2</v>
      </c>
      <c r="M7">
        <v>5.3462792978405282E-2</v>
      </c>
      <c r="N7">
        <v>-7.7386566696007256E-2</v>
      </c>
      <c r="O7">
        <v>4.2231294422530277E-2</v>
      </c>
      <c r="P7">
        <v>-1.247181611040755E-2</v>
      </c>
      <c r="Q7">
        <v>-2.0390182598924219E-2</v>
      </c>
      <c r="R7">
        <v>-3.192554522045375E-3</v>
      </c>
      <c r="S7">
        <v>9.7905741219824036E-4</v>
      </c>
      <c r="T7">
        <v>-4.6750375792063578E-2</v>
      </c>
      <c r="U7">
        <v>3.3179374374734089E-2</v>
      </c>
      <c r="V7">
        <v>0.1063169180369761</v>
      </c>
      <c r="W7">
        <v>-5.4091524610582588E-3</v>
      </c>
      <c r="X7">
        <v>-2.2198161462533519E-4</v>
      </c>
      <c r="Y7">
        <v>-9.7316672733544461E-3</v>
      </c>
    </row>
    <row r="8" spans="1:26" x14ac:dyDescent="0.35">
      <c r="A8" s="1" t="s">
        <v>24</v>
      </c>
      <c r="B8">
        <v>1.9465936459070351E-2</v>
      </c>
      <c r="D8">
        <v>-9.3981534229191324E-2</v>
      </c>
      <c r="E8">
        <v>2.3916249525448539E-2</v>
      </c>
      <c r="F8">
        <v>8.8001168588685397E-2</v>
      </c>
      <c r="G8">
        <v>7.5824493921410399E-3</v>
      </c>
      <c r="H8">
        <v>-6.0523968180133097E-3</v>
      </c>
      <c r="I8">
        <v>2.1894843113464159E-2</v>
      </c>
      <c r="J8">
        <v>-2.5003140385111849E-2</v>
      </c>
      <c r="K8">
        <v>-9.7221311652005444E-4</v>
      </c>
      <c r="L8">
        <v>-5.4169516704878073E-2</v>
      </c>
      <c r="M8">
        <v>4.1655059559861742E-2</v>
      </c>
      <c r="N8">
        <v>-7.7386566696007256E-2</v>
      </c>
      <c r="O8">
        <v>3.9603878628260453E-2</v>
      </c>
      <c r="P8">
        <v>-7.8663027881399668E-3</v>
      </c>
      <c r="Q8">
        <v>-9.326713694633549E-3</v>
      </c>
      <c r="R8">
        <v>-3.192554522045375E-3</v>
      </c>
      <c r="S8">
        <v>4.697941902006981E-3</v>
      </c>
      <c r="T8">
        <v>-2.9672461030233081E-2</v>
      </c>
      <c r="U8">
        <v>3.7254910422374117E-2</v>
      </c>
      <c r="V8">
        <v>8.829157015487854E-2</v>
      </c>
      <c r="W8">
        <v>-2.9040156619313928E-4</v>
      </c>
      <c r="X8">
        <v>5.4409549785449703E-3</v>
      </c>
      <c r="Y8">
        <v>-1.149335179655828E-2</v>
      </c>
    </row>
    <row r="9" spans="1:26" x14ac:dyDescent="0.35">
      <c r="A9" s="1" t="s">
        <v>25</v>
      </c>
      <c r="B9">
        <v>-3.3287136568382683E-2</v>
      </c>
      <c r="D9">
        <v>-2.887850285232664E-2</v>
      </c>
      <c r="E9">
        <v>-6.8162534016352028E-2</v>
      </c>
      <c r="F9">
        <v>4.2042725293356967E-2</v>
      </c>
      <c r="G9">
        <v>3.1115114127759441E-2</v>
      </c>
      <c r="H9">
        <v>-9.4039391208204197E-3</v>
      </c>
      <c r="I9">
        <v>3.3987880158462047E-2</v>
      </c>
      <c r="J9">
        <v>-2.3588196878077498E-2</v>
      </c>
      <c r="K9">
        <v>1.6178623400551938E-2</v>
      </c>
      <c r="L9">
        <v>-4.2945529038012693E-2</v>
      </c>
      <c r="M9">
        <v>5.3462792978405282E-2</v>
      </c>
      <c r="N9">
        <v>-6.597407347365572E-2</v>
      </c>
      <c r="O9">
        <v>-6.4254463873578346E-3</v>
      </c>
      <c r="P9">
        <v>-3.5826687828660951E-3</v>
      </c>
      <c r="Q9">
        <v>-2.0390182598924219E-2</v>
      </c>
      <c r="R9">
        <v>-4.2462178149210862E-2</v>
      </c>
      <c r="S9">
        <v>4.697941902006981E-3</v>
      </c>
      <c r="T9">
        <v>-1.6770608777635809E-2</v>
      </c>
      <c r="U9">
        <v>4.7885722905395257E-2</v>
      </c>
      <c r="V9">
        <v>4.5092989727353178E-2</v>
      </c>
      <c r="W9">
        <v>-3.050264433996217E-3</v>
      </c>
      <c r="X9">
        <v>2.8569938629449958E-3</v>
      </c>
      <c r="Y9">
        <v>-1.226093298376542E-2</v>
      </c>
    </row>
    <row r="10" spans="1:26" x14ac:dyDescent="0.35">
      <c r="A10" s="1" t="s">
        <v>26</v>
      </c>
      <c r="B10">
        <v>5.3537156589844592E-2</v>
      </c>
      <c r="D10">
        <v>4.2168132643459061E-3</v>
      </c>
      <c r="E10">
        <v>-6.6836647302081446E-4</v>
      </c>
      <c r="F10">
        <v>1.0398089028693311E-2</v>
      </c>
      <c r="G10">
        <v>4.5990864121159998E-2</v>
      </c>
      <c r="H10">
        <v>-6.4002433513338144E-3</v>
      </c>
      <c r="I10">
        <v>3.7677021839277861E-2</v>
      </c>
      <c r="J10">
        <v>-2.3301005374174458E-2</v>
      </c>
      <c r="K10">
        <v>3.7617169046891948E-2</v>
      </c>
      <c r="L10">
        <v>-3.7801201357366053E-2</v>
      </c>
      <c r="M10">
        <v>5.3462792978405282E-2</v>
      </c>
      <c r="N10">
        <v>-6.3437963868688677E-2</v>
      </c>
      <c r="O10">
        <v>-1.4695279181643601E-3</v>
      </c>
      <c r="P10">
        <v>-2.1706610584180711E-5</v>
      </c>
      <c r="Q10">
        <v>-2.0390182598924219E-2</v>
      </c>
      <c r="R10">
        <v>-3.192554522045375E-3</v>
      </c>
      <c r="S10">
        <v>2.440560517669732E-2</v>
      </c>
      <c r="T10">
        <v>-7.3954136768343724E-3</v>
      </c>
      <c r="U10">
        <v>5.3386277797994368E-2</v>
      </c>
      <c r="V10">
        <v>1.2121747726183831E-2</v>
      </c>
      <c r="W10">
        <v>-1.7236586974905201E-3</v>
      </c>
      <c r="X10">
        <v>5.5720939295770206E-3</v>
      </c>
      <c r="Y10">
        <v>-1.1972337280910839E-2</v>
      </c>
    </row>
    <row r="11" spans="1:26" x14ac:dyDescent="0.35">
      <c r="A11" s="1" t="s">
        <v>27</v>
      </c>
      <c r="B11">
        <v>0.17257609828604761</v>
      </c>
      <c r="D11">
        <v>6.0030610342904467E-2</v>
      </c>
      <c r="E11">
        <v>2.9632419282957349E-2</v>
      </c>
      <c r="F11">
        <v>1.386912548059074E-2</v>
      </c>
      <c r="G11">
        <v>7.7883922716461662E-2</v>
      </c>
      <c r="H11">
        <v>-8.8399795368665924E-3</v>
      </c>
      <c r="I11">
        <v>4.6402377681871297E-2</v>
      </c>
      <c r="J11">
        <v>-1.7459109904537581E-2</v>
      </c>
      <c r="K11">
        <v>5.0480296434695947E-2</v>
      </c>
      <c r="L11">
        <v>-1.956222139870982E-2</v>
      </c>
      <c r="M11">
        <v>5.3462792978405282E-2</v>
      </c>
      <c r="N11">
        <v>-5.3293525448820663E-2</v>
      </c>
      <c r="O11">
        <v>3.1363205207558661E-3</v>
      </c>
      <c r="P11">
        <v>6.7558372714922408E-3</v>
      </c>
      <c r="Q11">
        <v>-9.326713694633549E-3</v>
      </c>
      <c r="R11">
        <v>4.6613700086454773E-3</v>
      </c>
      <c r="S11">
        <v>2.440560517669732E-2</v>
      </c>
      <c r="T11">
        <v>1.6117007966270479E-2</v>
      </c>
      <c r="U11">
        <v>6.1766914750191179E-2</v>
      </c>
      <c r="V11">
        <v>1.7653306327294629E-2</v>
      </c>
      <c r="W11">
        <v>-3.784180846703893E-3</v>
      </c>
      <c r="X11">
        <v>2.7126664008881351E-3</v>
      </c>
      <c r="Y11">
        <v>-1.155264593775473E-2</v>
      </c>
    </row>
    <row r="12" spans="1:26" x14ac:dyDescent="0.35">
      <c r="A12" s="1" t="s">
        <v>28</v>
      </c>
      <c r="B12">
        <v>0.37787769517013958</v>
      </c>
      <c r="D12">
        <v>0.1258926126453935</v>
      </c>
      <c r="E12">
        <v>1.48563031548208E-2</v>
      </c>
      <c r="F12">
        <v>0.1687474544009776</v>
      </c>
      <c r="G12">
        <v>9.3017004108295637E-2</v>
      </c>
      <c r="H12">
        <v>-2.4635679139347819E-2</v>
      </c>
      <c r="I12">
        <v>4.9218983778427837E-2</v>
      </c>
      <c r="J12">
        <v>-1.0783658606499231E-2</v>
      </c>
      <c r="K12">
        <v>5.583993284628095E-2</v>
      </c>
      <c r="L12">
        <v>5.6917508517372916E-3</v>
      </c>
      <c r="M12">
        <v>6.5270526396948719E-2</v>
      </c>
      <c r="N12">
        <v>-3.9344922621502083E-2</v>
      </c>
      <c r="O12">
        <v>7.303870588803137E-3</v>
      </c>
      <c r="P12">
        <v>1.117008647989179E-2</v>
      </c>
      <c r="Q12">
        <v>-3.1453651503214893E-2</v>
      </c>
      <c r="R12">
        <v>-3.192554522045375E-3</v>
      </c>
      <c r="S12">
        <v>3.1028552111386141E-2</v>
      </c>
      <c r="T12">
        <v>2.8520144911152141E-2</v>
      </c>
      <c r="U12">
        <v>6.4496859197143486E-2</v>
      </c>
      <c r="V12">
        <v>0.17152808002636741</v>
      </c>
      <c r="W12">
        <v>-2.7806256253898121E-3</v>
      </c>
      <c r="X12">
        <v>3.8533191131203829E-3</v>
      </c>
      <c r="Y12">
        <v>-2.8488998252468201E-2</v>
      </c>
    </row>
    <row r="13" spans="1:26" x14ac:dyDescent="0.35">
      <c r="A13" s="1" t="s">
        <v>29</v>
      </c>
      <c r="B13">
        <v>0.48899152224781439</v>
      </c>
      <c r="D13">
        <v>0.1087962973474125</v>
      </c>
      <c r="E13">
        <v>7.6993710284746636E-2</v>
      </c>
      <c r="F13">
        <v>0.2180881013740541</v>
      </c>
      <c r="G13">
        <v>9.1859228708529778E-2</v>
      </c>
      <c r="H13">
        <v>-6.7458154669285883E-3</v>
      </c>
      <c r="I13">
        <v>5.1086516081579422E-2</v>
      </c>
      <c r="J13">
        <v>-1.135804161430526E-2</v>
      </c>
      <c r="K13">
        <v>2.9041750788355931E-2</v>
      </c>
      <c r="L13">
        <v>5.2240846989512358E-3</v>
      </c>
      <c r="M13">
        <v>6.5270526396948719E-2</v>
      </c>
      <c r="N13">
        <v>-3.0468539004117501E-2</v>
      </c>
      <c r="O13">
        <v>7.1204714916630772E-3</v>
      </c>
      <c r="P13">
        <v>1.3529168028413301E-2</v>
      </c>
      <c r="Q13">
        <v>1.2800224113947789E-2</v>
      </c>
      <c r="R13">
        <v>1.2515294539336331E-2</v>
      </c>
      <c r="S13">
        <v>3.1028552111386141E-2</v>
      </c>
      <c r="T13">
        <v>2.9884489834868081E-2</v>
      </c>
      <c r="U13">
        <v>6.1974738873661707E-2</v>
      </c>
      <c r="V13">
        <v>0.20639557366648059</v>
      </c>
      <c r="W13">
        <v>1.169252770757353E-2</v>
      </c>
      <c r="X13">
        <v>1.7583791427704418E-2</v>
      </c>
      <c r="Y13">
        <v>-2.432960689463301E-2</v>
      </c>
    </row>
    <row r="14" spans="1:26" x14ac:dyDescent="0.35">
      <c r="A14" s="1" t="s">
        <v>30</v>
      </c>
      <c r="B14">
        <v>0.47678880353304098</v>
      </c>
      <c r="D14">
        <v>9.5627204026133339E-2</v>
      </c>
      <c r="E14">
        <v>0.14547381931494471</v>
      </c>
      <c r="F14">
        <v>0.1623564743097986</v>
      </c>
      <c r="G14">
        <v>7.3985047399860782E-2</v>
      </c>
      <c r="H14">
        <v>-6.5374151769636776E-4</v>
      </c>
      <c r="I14">
        <v>5.408681388008519E-2</v>
      </c>
      <c r="J14">
        <v>-8.8713834707547495E-3</v>
      </c>
      <c r="K14">
        <v>4.387423295064927E-3</v>
      </c>
      <c r="L14">
        <v>-2.7262398984117522E-3</v>
      </c>
      <c r="M14">
        <v>6.5270526396948719E-2</v>
      </c>
      <c r="N14">
        <v>-1.6519936176799001E-2</v>
      </c>
      <c r="O14">
        <v>1.292297966372748E-2</v>
      </c>
      <c r="P14">
        <v>8.3388878978552083E-3</v>
      </c>
      <c r="Q14">
        <v>6.8117570007024147E-2</v>
      </c>
      <c r="R14">
        <v>2.822314457442926E-2</v>
      </c>
      <c r="S14">
        <v>2.7871237171908581E-2</v>
      </c>
      <c r="T14">
        <v>1.6116170711911959E-2</v>
      </c>
      <c r="U14">
        <v>5.7868876687948829E-2</v>
      </c>
      <c r="V14">
        <v>0.1248043377236244</v>
      </c>
      <c r="W14">
        <v>3.7552136586174192E-2</v>
      </c>
      <c r="X14">
        <v>1.8037826373015049E-2</v>
      </c>
      <c r="Y14">
        <v>-1.869156789071142E-2</v>
      </c>
    </row>
    <row r="15" spans="1:26" x14ac:dyDescent="0.35">
      <c r="A15" s="1" t="s">
        <v>31</v>
      </c>
      <c r="B15">
        <v>0.31222378477900398</v>
      </c>
      <c r="D15">
        <v>7.7741882966600784E-2</v>
      </c>
      <c r="E15">
        <v>2.2967340471773501E-2</v>
      </c>
      <c r="F15">
        <v>0.1503552600638112</v>
      </c>
      <c r="G15">
        <v>6.5110418533404907E-2</v>
      </c>
      <c r="H15">
        <v>-3.9511172565864158E-3</v>
      </c>
      <c r="I15">
        <v>5.5403271077388731E-2</v>
      </c>
      <c r="J15">
        <v>-3.4637775923858269E-3</v>
      </c>
      <c r="K15">
        <v>-3.6345813432981079E-2</v>
      </c>
      <c r="L15">
        <v>-2.377121677378433E-2</v>
      </c>
      <c r="M15">
        <v>7.707825981549217E-2</v>
      </c>
      <c r="N15">
        <v>8.8411598728711203E-3</v>
      </c>
      <c r="O15">
        <v>1.268413111339012E-2</v>
      </c>
      <c r="P15">
        <v>-1.859215223246461E-3</v>
      </c>
      <c r="Q15">
        <v>-2.0390182598924219E-2</v>
      </c>
      <c r="R15">
        <v>4.6613700086454773E-3</v>
      </c>
      <c r="S15">
        <v>2.7871237171908581E-2</v>
      </c>
      <c r="T15">
        <v>1.21397132867801E-2</v>
      </c>
      <c r="U15">
        <v>5.2970705246624797E-2</v>
      </c>
      <c r="V15">
        <v>0.1224678470709033</v>
      </c>
      <c r="W15">
        <v>2.7887412992907899E-2</v>
      </c>
      <c r="X15">
        <v>1.5173112570667819E-2</v>
      </c>
      <c r="Y15">
        <v>-1.912422982725424E-2</v>
      </c>
    </row>
    <row r="16" spans="1:26" x14ac:dyDescent="0.35">
      <c r="A16" s="1" t="s">
        <v>32</v>
      </c>
      <c r="B16">
        <v>0.23214152566910601</v>
      </c>
      <c r="D16">
        <v>8.6973430038583977E-3</v>
      </c>
      <c r="E16">
        <v>2.890743078500083E-2</v>
      </c>
      <c r="F16">
        <v>0.11192907133567311</v>
      </c>
      <c r="G16">
        <v>7.6965985186592853E-2</v>
      </c>
      <c r="H16">
        <v>5.6416953579807739E-3</v>
      </c>
      <c r="I16">
        <v>5.3704122834357423E-2</v>
      </c>
      <c r="J16">
        <v>-4.423417495671508E-3</v>
      </c>
      <c r="K16">
        <v>-7.922290472566107E-2</v>
      </c>
      <c r="L16">
        <v>-4.4348527496370867E-2</v>
      </c>
      <c r="M16">
        <v>6.5270526396948719E-2</v>
      </c>
      <c r="N16">
        <v>1.7717543490255699E-2</v>
      </c>
      <c r="O16">
        <v>7.8713027854780421E-3</v>
      </c>
      <c r="P16">
        <v>-1.027462639534704E-2</v>
      </c>
      <c r="Q16">
        <v>1.736755209657118E-3</v>
      </c>
      <c r="R16">
        <v>4.6613700086454773E-3</v>
      </c>
      <c r="S16">
        <v>2.4912629176567232E-2</v>
      </c>
      <c r="T16">
        <v>2.6477944519021648E-2</v>
      </c>
      <c r="U16">
        <v>5.0488040667571198E-2</v>
      </c>
      <c r="V16">
        <v>8.3583444386513009E-2</v>
      </c>
      <c r="W16">
        <v>2.834562694916009E-2</v>
      </c>
      <c r="X16">
        <v>1.7891047454793758E-2</v>
      </c>
      <c r="Y16">
        <v>-1.224935209681299E-2</v>
      </c>
    </row>
    <row r="17" spans="1:25" x14ac:dyDescent="0.35">
      <c r="A17" s="1" t="s">
        <v>33</v>
      </c>
      <c r="B17">
        <v>0.14244901911006569</v>
      </c>
      <c r="D17">
        <v>2.3120099873764989E-2</v>
      </c>
      <c r="E17">
        <v>6.6442896790399816E-4</v>
      </c>
      <c r="F17">
        <v>3.6028512092666498E-2</v>
      </c>
      <c r="G17">
        <v>8.317873049898486E-2</v>
      </c>
      <c r="H17">
        <v>-5.4275232325467875E-4</v>
      </c>
      <c r="I17">
        <v>5.8434184159552767E-2</v>
      </c>
      <c r="J17">
        <v>-2.4971330182732578E-3</v>
      </c>
      <c r="K17">
        <v>-8.672639570188008E-2</v>
      </c>
      <c r="L17">
        <v>-5.2298852093733847E-2</v>
      </c>
      <c r="M17">
        <v>7.707825981549217E-2</v>
      </c>
      <c r="N17">
        <v>2.9130036712607239E-2</v>
      </c>
      <c r="O17">
        <v>2.176999272927093E-3</v>
      </c>
      <c r="P17">
        <v>-1.39059312649114E-2</v>
      </c>
      <c r="Q17">
        <v>-9.326713694633549E-3</v>
      </c>
      <c r="R17">
        <v>-3.192554522045375E-3</v>
      </c>
      <c r="S17">
        <v>2.4912629176567232E-2</v>
      </c>
      <c r="T17">
        <v>3.0222313716036859E-2</v>
      </c>
      <c r="U17">
        <v>5.2956416782947997E-2</v>
      </c>
      <c r="V17">
        <v>2.3094914787394009E-2</v>
      </c>
      <c r="W17">
        <v>1.2933597305272489E-2</v>
      </c>
      <c r="X17">
        <v>1.181962923021404E-2</v>
      </c>
      <c r="Y17">
        <v>-1.2362381553468719E-2</v>
      </c>
    </row>
    <row r="18" spans="1:25" x14ac:dyDescent="0.35">
      <c r="A18" s="1" t="s">
        <v>34</v>
      </c>
      <c r="B18">
        <v>9.3806664172490437E-2</v>
      </c>
      <c r="D18">
        <v>9.5372248556465818E-3</v>
      </c>
      <c r="E18">
        <v>2.7185229692434799E-2</v>
      </c>
      <c r="F18">
        <v>-6.961217003448629E-3</v>
      </c>
      <c r="G18">
        <v>6.703963259573352E-2</v>
      </c>
      <c r="H18">
        <v>-2.99420596787583E-3</v>
      </c>
      <c r="I18">
        <v>6.0240485895387941E-2</v>
      </c>
      <c r="J18">
        <v>-5.21815845086703E-4</v>
      </c>
      <c r="K18">
        <v>-0.10816494134822011</v>
      </c>
      <c r="L18">
        <v>-4.9492855177017493E-2</v>
      </c>
      <c r="M18">
        <v>7.707825981549217E-2</v>
      </c>
      <c r="N18">
        <v>3.039809151509076E-2</v>
      </c>
      <c r="O18">
        <v>-2.177887695902935E-3</v>
      </c>
      <c r="P18">
        <v>-1.537554631709733E-2</v>
      </c>
      <c r="Q18">
        <v>1.736755209657118E-3</v>
      </c>
      <c r="R18">
        <v>2.0369219070027179E-2</v>
      </c>
      <c r="S18">
        <v>2.2632689425750759E-2</v>
      </c>
      <c r="T18">
        <v>1.6188408851967109E-2</v>
      </c>
      <c r="U18">
        <v>5.0851223743766397E-2</v>
      </c>
      <c r="V18">
        <v>-1.7105794325729031E-2</v>
      </c>
      <c r="W18">
        <v>1.01445773222804E-2</v>
      </c>
      <c r="X18">
        <v>6.3140640784977286E-3</v>
      </c>
      <c r="Y18">
        <v>-9.3082700463735599E-3</v>
      </c>
    </row>
    <row r="19" spans="1:25" x14ac:dyDescent="0.35">
      <c r="A19" s="1" t="s">
        <v>35</v>
      </c>
      <c r="B19">
        <v>5.9295366175094587E-2</v>
      </c>
      <c r="D19">
        <v>1.2041689494415661E-2</v>
      </c>
      <c r="E19">
        <v>2.1814733048122698E-3</v>
      </c>
      <c r="F19">
        <v>-1.445626969879326E-2</v>
      </c>
      <c r="G19">
        <v>6.086011590802063E-2</v>
      </c>
      <c r="H19">
        <v>-1.331642833360706E-3</v>
      </c>
      <c r="I19">
        <v>5.8908721056255213E-2</v>
      </c>
      <c r="J19">
        <v>-6.7139448560686989E-3</v>
      </c>
      <c r="K19">
        <v>-0.1017333776543181</v>
      </c>
      <c r="L19">
        <v>-5.1363519788161727E-2</v>
      </c>
      <c r="M19">
        <v>8.8885993234035718E-2</v>
      </c>
      <c r="N19">
        <v>2.4057817502673232E-2</v>
      </c>
      <c r="O19">
        <v>-7.3925280923400729E-3</v>
      </c>
      <c r="P19">
        <v>-1.6247268873301201E-2</v>
      </c>
      <c r="Q19">
        <v>-9.326713694633549E-3</v>
      </c>
      <c r="R19">
        <v>1.2515294539336331E-2</v>
      </c>
      <c r="S19">
        <v>2.2632689425750759E-2</v>
      </c>
      <c r="T19">
        <v>1.443573527129444E-2</v>
      </c>
      <c r="U19">
        <v>4.6424380636726187E-2</v>
      </c>
      <c r="V19">
        <v>-2.7139623267657349E-2</v>
      </c>
      <c r="W19">
        <v>1.2683353568864089E-2</v>
      </c>
      <c r="X19">
        <v>1.0576304716094611E-2</v>
      </c>
      <c r="Y19">
        <v>-1.190794754945531E-2</v>
      </c>
    </row>
    <row r="20" spans="1:25" x14ac:dyDescent="0.35">
      <c r="A20" s="1" t="s">
        <v>36</v>
      </c>
      <c r="B20">
        <v>3.2054502388262761E-2</v>
      </c>
      <c r="D20">
        <v>1.651869118852994E-2</v>
      </c>
      <c r="E20">
        <v>-1.3414201150184549E-2</v>
      </c>
      <c r="F20">
        <v>-2.1850858410701422E-2</v>
      </c>
      <c r="G20">
        <v>4.4273373311089673E-2</v>
      </c>
      <c r="H20">
        <v>6.5274974495291146E-3</v>
      </c>
      <c r="I20">
        <v>6.1939634138419249E-2</v>
      </c>
      <c r="J20">
        <v>-4.2342913833451267E-3</v>
      </c>
      <c r="K20">
        <v>-8.9942177548831076E-2</v>
      </c>
      <c r="L20">
        <v>-6.1652175149455E-2</v>
      </c>
      <c r="M20">
        <v>8.8885993234035718E-2</v>
      </c>
      <c r="N20">
        <v>2.1521707897706181E-2</v>
      </c>
      <c r="O20">
        <v>-1.100303314390041E-2</v>
      </c>
      <c r="P20">
        <v>-1.6439717018809731E-2</v>
      </c>
      <c r="Q20">
        <v>-9.326713694633549E-3</v>
      </c>
      <c r="R20">
        <v>4.6613700086454773E-3</v>
      </c>
      <c r="S20">
        <v>1.8693892698513671E-2</v>
      </c>
      <c r="T20">
        <v>5.5693649346476488E-4</v>
      </c>
      <c r="U20">
        <v>4.3716436817624903E-2</v>
      </c>
      <c r="V20">
        <v>-2.878535776353593E-2</v>
      </c>
      <c r="W20">
        <v>6.934499352834511E-3</v>
      </c>
      <c r="X20">
        <v>7.7263672163322538E-3</v>
      </c>
      <c r="Y20">
        <v>-1.198869766803139E-3</v>
      </c>
    </row>
    <row r="21" spans="1:25" x14ac:dyDescent="0.35">
      <c r="A21" s="1" t="s">
        <v>37</v>
      </c>
      <c r="B21">
        <v>1.7386966656672081E-3</v>
      </c>
      <c r="D21">
        <v>-3.0887726439217389E-4</v>
      </c>
      <c r="E21">
        <v>-6.3019319069576411E-4</v>
      </c>
      <c r="F21">
        <v>-5.5668051269003968E-2</v>
      </c>
      <c r="G21">
        <v>5.3585728780266413E-2</v>
      </c>
      <c r="H21">
        <v>4.7600896094927092E-3</v>
      </c>
      <c r="I21">
        <v>6.007210183526767E-2</v>
      </c>
      <c r="J21">
        <v>-4.864711757766399E-3</v>
      </c>
      <c r="K21">
        <v>-8.672639570188008E-2</v>
      </c>
      <c r="L21">
        <v>-5.9781510538310753E-2</v>
      </c>
      <c r="M21">
        <v>7.707825981549217E-2</v>
      </c>
      <c r="N21">
        <v>1.3913379082805219E-2</v>
      </c>
      <c r="O21">
        <v>-9.7013005130179419E-3</v>
      </c>
      <c r="P21">
        <v>-1.2811366220894269E-2</v>
      </c>
      <c r="Q21">
        <v>-9.326713694633549E-3</v>
      </c>
      <c r="R21">
        <v>1.2515294539336331E-2</v>
      </c>
      <c r="S21">
        <v>1.8693892698513671E-2</v>
      </c>
      <c r="T21">
        <v>1.014215052465991E-2</v>
      </c>
      <c r="U21">
        <v>4.3443578255606498E-2</v>
      </c>
      <c r="V21">
        <v>-5.9218433057746628E-2</v>
      </c>
      <c r="W21">
        <v>3.5503817887426641E-3</v>
      </c>
      <c r="X21">
        <v>5.1399590510199126E-3</v>
      </c>
      <c r="Y21">
        <v>-3.7986944152720441E-4</v>
      </c>
    </row>
    <row r="22" spans="1:25" x14ac:dyDescent="0.35">
      <c r="A22" s="1" t="s">
        <v>38</v>
      </c>
      <c r="B22">
        <v>-4.4151335847683187E-2</v>
      </c>
      <c r="D22">
        <v>1.8777059067757101E-2</v>
      </c>
      <c r="E22">
        <v>-1.6322955091750468E-2</v>
      </c>
      <c r="F22">
        <v>-8.6321531371677737E-2</v>
      </c>
      <c r="G22">
        <v>2.8998180632780202E-2</v>
      </c>
      <c r="H22">
        <v>1.071791091520773E-2</v>
      </c>
      <c r="I22">
        <v>6.6470696119836165E-2</v>
      </c>
      <c r="J22">
        <v>-2.9244179387143258E-3</v>
      </c>
      <c r="K22">
        <v>-8.672639570188008E-2</v>
      </c>
      <c r="L22">
        <v>-5.7910845927166527E-2</v>
      </c>
      <c r="M22">
        <v>7.707825981549217E-2</v>
      </c>
      <c r="N22">
        <v>2.278976270018971E-2</v>
      </c>
      <c r="O22">
        <v>-7.0526563851373682E-3</v>
      </c>
      <c r="P22">
        <v>-1.283187293498521E-2</v>
      </c>
      <c r="Q22">
        <v>-9.326713694633549E-3</v>
      </c>
      <c r="R22">
        <v>4.6613700086454773E-3</v>
      </c>
      <c r="S22">
        <v>8.2269179143601798E-3</v>
      </c>
      <c r="T22">
        <v>-7.6214105524778633E-3</v>
      </c>
      <c r="U22">
        <v>3.6619591185258073E-2</v>
      </c>
      <c r="V22">
        <v>-9.4446354900495813E-2</v>
      </c>
      <c r="W22">
        <v>8.1248235288180724E-3</v>
      </c>
      <c r="X22">
        <v>2.5075416508995728E-3</v>
      </c>
      <c r="Y22">
        <v>8.210369264308159E-3</v>
      </c>
    </row>
    <row r="23" spans="1:25" x14ac:dyDescent="0.35">
      <c r="A23" s="1" t="s">
        <v>39</v>
      </c>
      <c r="B23">
        <v>-4.2843722611845492E-2</v>
      </c>
      <c r="D23">
        <v>3.8430267711457779E-2</v>
      </c>
      <c r="E23">
        <v>-2.1530262146002319E-2</v>
      </c>
      <c r="F23">
        <v>-0.1090440067215733</v>
      </c>
      <c r="G23">
        <v>4.2525663447081877E-2</v>
      </c>
      <c r="H23">
        <v>6.7746150971904791E-3</v>
      </c>
      <c r="I23">
        <v>6.7618769257019554E-2</v>
      </c>
      <c r="J23">
        <v>4.6266172126868746E-3</v>
      </c>
      <c r="K23">
        <v>-8.672639570188008E-2</v>
      </c>
      <c r="L23">
        <v>-4.9492855177017493E-2</v>
      </c>
      <c r="M23">
        <v>7.707825981549217E-2</v>
      </c>
      <c r="N23">
        <v>2.532587230515675E-2</v>
      </c>
      <c r="O23">
        <v>-9.8661159745460011E-3</v>
      </c>
      <c r="P23">
        <v>-1.5225720399828431E-2</v>
      </c>
      <c r="Q23">
        <v>-9.326713694633549E-3</v>
      </c>
      <c r="R23">
        <v>4.6613700086454773E-3</v>
      </c>
      <c r="S23">
        <v>8.2269179143601798E-3</v>
      </c>
      <c r="T23">
        <v>7.3236996507279268E-3</v>
      </c>
      <c r="U23">
        <v>3.5201963796353951E-2</v>
      </c>
      <c r="V23">
        <v>-0.1128358593094109</v>
      </c>
      <c r="W23">
        <v>3.7918525878375599E-3</v>
      </c>
      <c r="X23">
        <v>1.899078039704411E-3</v>
      </c>
      <c r="Y23">
        <v>4.8755370574860681E-3</v>
      </c>
    </row>
    <row r="24" spans="1:25" x14ac:dyDescent="0.35">
      <c r="A24" s="1" t="s">
        <v>40</v>
      </c>
      <c r="B24">
        <v>-4.9236649366925789E-2</v>
      </c>
      <c r="D24">
        <v>5.868268217011631E-2</v>
      </c>
      <c r="E24">
        <v>-6.745430784391826E-2</v>
      </c>
      <c r="F24">
        <v>-8.7186124061559553E-2</v>
      </c>
      <c r="G24">
        <v>3.9010820621000912E-2</v>
      </c>
      <c r="H24">
        <v>7.7102797474347916E-3</v>
      </c>
      <c r="I24">
        <v>6.6608464896298181E-2</v>
      </c>
      <c r="J24">
        <v>9.2637093000964479E-3</v>
      </c>
      <c r="K24">
        <v>-8.8870250266514073E-2</v>
      </c>
      <c r="L24">
        <v>-3.4527538287863653E-2</v>
      </c>
      <c r="M24">
        <v>7.707825981549217E-2</v>
      </c>
      <c r="N24">
        <v>2.9130036712607239E-2</v>
      </c>
      <c r="O24">
        <v>-1.5133950419027939E-2</v>
      </c>
      <c r="P24">
        <v>-1.7687677282880499E-2</v>
      </c>
      <c r="Q24">
        <v>-2.0390182598924219E-2</v>
      </c>
      <c r="R24">
        <v>-3.192554522045375E-3</v>
      </c>
      <c r="S24">
        <v>-1.104994302104024E-2</v>
      </c>
      <c r="T24">
        <v>1.04768251646329E-2</v>
      </c>
      <c r="U24">
        <v>2.8533995456368009E-2</v>
      </c>
      <c r="V24">
        <v>-8.802343198150453E-2</v>
      </c>
      <c r="W24">
        <v>8.3730791994497331E-4</v>
      </c>
      <c r="X24">
        <v>9.7577871634446406E-4</v>
      </c>
      <c r="Y24">
        <v>6.7345010310903277E-3</v>
      </c>
    </row>
    <row r="25" spans="1:25" x14ac:dyDescent="0.35">
      <c r="A25" s="1" t="s">
        <v>41</v>
      </c>
      <c r="B25">
        <v>-7.9081510965803917E-2</v>
      </c>
      <c r="D25">
        <v>6.219331071375412E-2</v>
      </c>
      <c r="E25">
        <v>-9.226168545691632E-2</v>
      </c>
      <c r="F25">
        <v>-7.1850885044320217E-2</v>
      </c>
      <c r="G25">
        <v>2.281364793939461E-2</v>
      </c>
      <c r="H25">
        <v>2.410088228389535E-5</v>
      </c>
      <c r="I25">
        <v>6.7389154629582879E-2</v>
      </c>
      <c r="J25">
        <v>1.3417479100449809E-2</v>
      </c>
      <c r="K25">
        <v>-9.6373741242733069E-2</v>
      </c>
      <c r="L25">
        <v>-2.844787830164491E-2</v>
      </c>
      <c r="M25">
        <v>7.707825981549217E-2</v>
      </c>
      <c r="N25">
        <v>2.9130036712607239E-2</v>
      </c>
      <c r="O25">
        <v>-1.9381120864582321E-2</v>
      </c>
      <c r="P25">
        <v>-2.2540035388942462E-2</v>
      </c>
      <c r="Q25">
        <v>-2.0390182598924219E-2</v>
      </c>
      <c r="R25">
        <v>-1.8900403583427081E-2</v>
      </c>
      <c r="S25">
        <v>-1.104994302104024E-2</v>
      </c>
      <c r="T25">
        <v>3.8684018486682102E-4</v>
      </c>
      <c r="U25">
        <v>2.2426807754527781E-2</v>
      </c>
      <c r="V25">
        <v>-6.7605978773035175E-2</v>
      </c>
      <c r="W25">
        <v>-4.2449062712850471E-3</v>
      </c>
      <c r="X25">
        <v>6.4948512720264489E-4</v>
      </c>
      <c r="Y25">
        <v>-6.2538424491874955E-4</v>
      </c>
    </row>
    <row r="26" spans="1:25" x14ac:dyDescent="0.35">
      <c r="A26" s="1" t="s">
        <v>42</v>
      </c>
      <c r="B26">
        <v>-4.1744588979706169E-2</v>
      </c>
      <c r="D26">
        <v>9.1330640506262065E-2</v>
      </c>
      <c r="E26">
        <v>-9.3315704841681932E-2</v>
      </c>
      <c r="F26">
        <v>-8.2980656115000648E-2</v>
      </c>
      <c r="G26">
        <v>2.136420792368408E-2</v>
      </c>
      <c r="H26">
        <v>2.1856923547030279E-2</v>
      </c>
      <c r="I26">
        <v>6.8782150036032025E-2</v>
      </c>
      <c r="J26">
        <v>2.0183991119237941E-2</v>
      </c>
      <c r="K26">
        <v>-9.3157959395782072E-2</v>
      </c>
      <c r="L26">
        <v>-1.956222139870982E-2</v>
      </c>
      <c r="M26">
        <v>7.707825981549217E-2</v>
      </c>
      <c r="N26">
        <v>3.8006420329991818E-2</v>
      </c>
      <c r="O26">
        <v>-2.4355754118244741E-2</v>
      </c>
      <c r="P26">
        <v>-2.751990018334639E-2</v>
      </c>
      <c r="Q26">
        <v>-2.0390182598924219E-2</v>
      </c>
      <c r="R26">
        <v>-1.104647905273623E-2</v>
      </c>
      <c r="S26">
        <v>-1.0003388888430361E-2</v>
      </c>
      <c r="T26">
        <v>2.049270137129871E-3</v>
      </c>
      <c r="U26">
        <v>1.9314937786554211E-2</v>
      </c>
      <c r="V26">
        <v>-7.630490652884489E-2</v>
      </c>
      <c r="W26">
        <v>-6.6757495861557506E-3</v>
      </c>
      <c r="X26">
        <v>1.4523435572901631E-3</v>
      </c>
      <c r="Y26">
        <v>2.0404579989740108E-2</v>
      </c>
    </row>
    <row r="27" spans="1:25" x14ac:dyDescent="0.35">
      <c r="A27" s="1" t="s">
        <v>43</v>
      </c>
      <c r="B27">
        <v>-5.7148391565720241E-2</v>
      </c>
      <c r="D27">
        <v>8.3599111512460522E-2</v>
      </c>
      <c r="E27">
        <v>-9.3818681743563989E-2</v>
      </c>
      <c r="F27">
        <v>-7.907569845444673E-2</v>
      </c>
      <c r="G27">
        <v>1.8357198158558241E-2</v>
      </c>
      <c r="H27">
        <v>1.378967896127168E-2</v>
      </c>
      <c r="I27">
        <v>7.0190453084310239E-2</v>
      </c>
      <c r="J27">
        <v>1.839780005837767E-2</v>
      </c>
      <c r="K27">
        <v>-8.0294832007978059E-2</v>
      </c>
      <c r="L27">
        <v>-1.4417893718063179E-2</v>
      </c>
      <c r="M27">
        <v>7.707825981549217E-2</v>
      </c>
      <c r="N27">
        <v>1.2645324280321691E-2</v>
      </c>
      <c r="O27">
        <v>-3.093085278651116E-2</v>
      </c>
      <c r="P27">
        <v>-2.9301702947652868E-2</v>
      </c>
      <c r="Q27">
        <v>-2.0390182598924219E-2</v>
      </c>
      <c r="R27">
        <v>-3.192554522045375E-3</v>
      </c>
      <c r="S27">
        <v>-1.0003388888430361E-2</v>
      </c>
      <c r="T27">
        <v>2.5891869050438799E-3</v>
      </c>
      <c r="U27">
        <v>1.5768011253514361E-2</v>
      </c>
      <c r="V27">
        <v>-7.2446148704349331E-2</v>
      </c>
      <c r="W27">
        <v>-6.6295497500973959E-3</v>
      </c>
      <c r="X27">
        <v>6.7688863226035437E-4</v>
      </c>
      <c r="Y27">
        <v>1.311279032901133E-2</v>
      </c>
    </row>
    <row r="28" spans="1:25" x14ac:dyDescent="0.35">
      <c r="A28" s="1" t="s">
        <v>44</v>
      </c>
      <c r="B28">
        <v>-2.53837624947886E-2</v>
      </c>
      <c r="D28">
        <v>9.621167749860926E-2</v>
      </c>
      <c r="E28">
        <v>-0.10516317278893959</v>
      </c>
      <c r="F28">
        <v>-4.3877668419678321E-2</v>
      </c>
      <c r="G28">
        <v>1.8468421572274681E-2</v>
      </c>
      <c r="H28">
        <v>8.9769796429454134E-3</v>
      </c>
      <c r="I28">
        <v>7.4568438647436078E-2</v>
      </c>
      <c r="J28">
        <v>1.9434491340759249E-2</v>
      </c>
      <c r="K28">
        <v>-6.7431704620174074E-2</v>
      </c>
      <c r="L28">
        <v>-1.2079562954132889E-2</v>
      </c>
      <c r="M28">
        <v>6.5270526396948719E-2</v>
      </c>
      <c r="N28">
        <v>1.6449488687772181E-2</v>
      </c>
      <c r="O28">
        <v>-3.4000255497326687E-2</v>
      </c>
      <c r="P28">
        <v>-3.0547435075483159E-2</v>
      </c>
      <c r="Q28">
        <v>-2.0390182598924219E-2</v>
      </c>
      <c r="R28">
        <v>-1.104647905273623E-2</v>
      </c>
      <c r="S28">
        <v>-9.1788205644693591E-3</v>
      </c>
      <c r="T28">
        <v>3.7783304993061662E-3</v>
      </c>
      <c r="U28">
        <v>1.4690091072968521E-2</v>
      </c>
      <c r="V28">
        <v>-4.3498531172834698E-2</v>
      </c>
      <c r="W28">
        <v>-3.7913724684362072E-4</v>
      </c>
      <c r="X28">
        <v>2.1127726779878631E-3</v>
      </c>
      <c r="Y28">
        <v>6.8642069649575508E-3</v>
      </c>
    </row>
    <row r="29" spans="1:25" x14ac:dyDescent="0.35">
      <c r="A29" s="1" t="s">
        <v>45</v>
      </c>
      <c r="B29">
        <v>6.2461387609336019E-2</v>
      </c>
      <c r="C29">
        <v>0</v>
      </c>
      <c r="D29">
        <v>0.12915011402184329</v>
      </c>
      <c r="E29">
        <v>-6.1955434042970277E-2</v>
      </c>
      <c r="F29">
        <v>-2.827254534517094E-2</v>
      </c>
      <c r="G29">
        <v>1.3878939426654489E-2</v>
      </c>
      <c r="H29">
        <v>9.6603135489794281E-3</v>
      </c>
      <c r="I29">
        <v>7.4843976200360096E-2</v>
      </c>
      <c r="J29">
        <v>2.5276386810396179E-2</v>
      </c>
      <c r="K29">
        <v>-5.4568577232370068E-2</v>
      </c>
      <c r="L29">
        <v>-3.193906051197795E-3</v>
      </c>
      <c r="M29">
        <v>6.5270526396948719E-2</v>
      </c>
      <c r="N29">
        <v>2.1521707897706181E-2</v>
      </c>
      <c r="O29">
        <v>-3.0269937611836169E-2</v>
      </c>
      <c r="P29">
        <v>-2.890480108496735E-2</v>
      </c>
      <c r="Q29">
        <v>1.736755209657118E-3</v>
      </c>
      <c r="R29">
        <v>4.6613700086454773E-3</v>
      </c>
      <c r="S29">
        <v>-9.1788205644693591E-3</v>
      </c>
      <c r="T29">
        <v>-8.4665913358153083E-5</v>
      </c>
      <c r="U29">
        <v>1.396360534001265E-2</v>
      </c>
      <c r="V29">
        <v>-2.6307544862369539E-2</v>
      </c>
      <c r="W29">
        <v>-1.9650004828013989E-3</v>
      </c>
      <c r="X29">
        <v>2.318510806103609E-3</v>
      </c>
      <c r="Y29">
        <v>7.3418027428758196E-3</v>
      </c>
    </row>
    <row r="30" spans="1:25" x14ac:dyDescent="0.35">
      <c r="A30" s="1" t="s">
        <v>46</v>
      </c>
      <c r="B30">
        <v>1.130401712181122E-2</v>
      </c>
      <c r="C30">
        <v>0</v>
      </c>
      <c r="D30">
        <v>0.10331353080309021</v>
      </c>
      <c r="E30">
        <v>-8.7637271796090807E-2</v>
      </c>
      <c r="F30">
        <v>9.7056845322205029E-3</v>
      </c>
      <c r="G30">
        <v>-1.598368201913547E-2</v>
      </c>
      <c r="H30">
        <v>1.9057556017267681E-3</v>
      </c>
      <c r="I30">
        <v>7.7201353042043175E-2</v>
      </c>
      <c r="J30">
        <v>1.285010076347067E-2</v>
      </c>
      <c r="K30">
        <v>-6.2072068208589071E-2</v>
      </c>
      <c r="L30">
        <v>2.8857539350209431E-3</v>
      </c>
      <c r="M30">
        <v>5.3462792978405282E-2</v>
      </c>
      <c r="N30">
        <v>1.8985598292739221E-2</v>
      </c>
      <c r="O30">
        <v>-3.051872301207368E-2</v>
      </c>
      <c r="P30">
        <v>-3.0947743061003591E-2</v>
      </c>
      <c r="Q30">
        <v>1.736755209657118E-3</v>
      </c>
      <c r="R30">
        <v>-1.104647905273623E-2</v>
      </c>
      <c r="S30">
        <v>-1.686108187993442E-2</v>
      </c>
      <c r="T30">
        <v>-2.9402176205418289E-2</v>
      </c>
      <c r="U30">
        <v>1.341849418628282E-2</v>
      </c>
      <c r="V30">
        <v>1.3160906032424549E-2</v>
      </c>
      <c r="W30">
        <v>-3.4552215002040519E-3</v>
      </c>
      <c r="X30">
        <v>9.1676420547661069E-4</v>
      </c>
      <c r="Y30">
        <v>9.8899139625015708E-4</v>
      </c>
    </row>
    <row r="31" spans="1:25" x14ac:dyDescent="0.35">
      <c r="A31" s="1" t="s">
        <v>47</v>
      </c>
      <c r="B31">
        <v>2.9979667942865952E-3</v>
      </c>
      <c r="C31">
        <v>0</v>
      </c>
      <c r="D31">
        <v>0.13303743444916849</v>
      </c>
      <c r="E31">
        <v>-8.8109998574052245E-2</v>
      </c>
      <c r="F31">
        <v>-3.6509432569940582E-2</v>
      </c>
      <c r="G31">
        <v>-6.5096095601763536E-3</v>
      </c>
      <c r="H31">
        <v>1.089573049287294E-3</v>
      </c>
      <c r="I31">
        <v>8.023226612420721E-2</v>
      </c>
      <c r="J31">
        <v>2.0723350772909439E-2</v>
      </c>
      <c r="K31">
        <v>-6.4215922773223064E-2</v>
      </c>
      <c r="L31">
        <v>9.9007462268118074E-3</v>
      </c>
      <c r="M31">
        <v>5.3462792978405282E-2</v>
      </c>
      <c r="N31">
        <v>3.2934201120057807E-2</v>
      </c>
      <c r="O31">
        <v>-3.7882992171081008E-2</v>
      </c>
      <c r="P31">
        <v>-3.1910125210648559E-2</v>
      </c>
      <c r="Q31">
        <v>1.736755209657118E-3</v>
      </c>
      <c r="R31">
        <v>-3.192554522045375E-3</v>
      </c>
      <c r="S31">
        <v>-1.686108187993442E-2</v>
      </c>
      <c r="T31">
        <v>-2.0467543772845601E-2</v>
      </c>
      <c r="U31">
        <v>1.395793421266924E-2</v>
      </c>
      <c r="V31">
        <v>-3.1643118506534167E-2</v>
      </c>
      <c r="W31">
        <v>-4.8663140634064147E-3</v>
      </c>
      <c r="X31">
        <v>1.729780829505154E-3</v>
      </c>
      <c r="Y31">
        <v>-6.4020778021785989E-4</v>
      </c>
    </row>
    <row r="32" spans="1:25" x14ac:dyDescent="0.35">
      <c r="A32" s="1" t="s">
        <v>48</v>
      </c>
      <c r="B32">
        <v>-2.6077613734069461E-2</v>
      </c>
      <c r="C32">
        <v>0</v>
      </c>
      <c r="D32">
        <v>0.15547501846698331</v>
      </c>
      <c r="E32">
        <v>-0.12890786689234629</v>
      </c>
      <c r="F32">
        <v>-5.3881299298418762E-2</v>
      </c>
      <c r="G32">
        <v>-4.8705415091282907E-3</v>
      </c>
      <c r="H32">
        <v>6.1070754988405643E-3</v>
      </c>
      <c r="I32">
        <v>8.8176932233515942E-2</v>
      </c>
      <c r="J32">
        <v>2.4316746907110491E-2</v>
      </c>
      <c r="K32">
        <v>-5.8856286361638067E-2</v>
      </c>
      <c r="L32">
        <v>1.036841237959788E-2</v>
      </c>
      <c r="M32">
        <v>5.3462792978405282E-2</v>
      </c>
      <c r="N32">
        <v>3.8006420329991818E-2</v>
      </c>
      <c r="O32">
        <v>-4.4141299841550831E-2</v>
      </c>
      <c r="P32">
        <v>-3.370944147867045E-2</v>
      </c>
      <c r="Q32">
        <v>-2.0390182598924219E-2</v>
      </c>
      <c r="R32">
        <v>-1.104647905273623E-2</v>
      </c>
      <c r="S32">
        <v>-1.9620463920464591E-2</v>
      </c>
      <c r="T32">
        <v>-1.8208496395115601E-2</v>
      </c>
      <c r="U32">
        <v>1.333795488598731E-2</v>
      </c>
      <c r="V32">
        <v>-4.7174143456772538E-2</v>
      </c>
      <c r="W32">
        <v>-6.7071558416462226E-3</v>
      </c>
      <c r="X32">
        <v>2.2376858997817189E-3</v>
      </c>
      <c r="Y32">
        <v>3.8693895990588451E-3</v>
      </c>
    </row>
    <row r="33" spans="1:25" x14ac:dyDescent="0.35">
      <c r="A33" s="1" t="s">
        <v>49</v>
      </c>
      <c r="B33">
        <v>-9.5975974788012272E-3</v>
      </c>
      <c r="C33">
        <v>0</v>
      </c>
      <c r="D33">
        <v>0.1868678550138094</v>
      </c>
      <c r="E33">
        <v>-0.13253212534790559</v>
      </c>
      <c r="F33">
        <v>-5.7927760943371411E-2</v>
      </c>
      <c r="G33">
        <v>-1.1159065858089E-2</v>
      </c>
      <c r="H33">
        <v>5.1534996567553478E-3</v>
      </c>
      <c r="I33">
        <v>9.9259664917792548E-2</v>
      </c>
      <c r="J33">
        <v>3.411628139394747E-2</v>
      </c>
      <c r="K33">
        <v>-4.9208940820785058E-2</v>
      </c>
      <c r="L33">
        <v>6.1594170045233473E-3</v>
      </c>
      <c r="M33">
        <v>5.3462792978405282E-2</v>
      </c>
      <c r="N33">
        <v>4.3078639539925821E-2</v>
      </c>
      <c r="O33">
        <v>-4.8176878419083267E-2</v>
      </c>
      <c r="P33">
        <v>-3.6507665730297109E-2</v>
      </c>
      <c r="Q33">
        <v>-9.326713694633549E-3</v>
      </c>
      <c r="R33">
        <v>-1.8900403583427081E-2</v>
      </c>
      <c r="S33">
        <v>-1.9620463920464591E-2</v>
      </c>
      <c r="T33">
        <v>-2.5540343835337782E-2</v>
      </c>
      <c r="U33">
        <v>1.438127797724878E-2</v>
      </c>
      <c r="V33">
        <v>-5.218039024658E-2</v>
      </c>
      <c r="W33">
        <v>-5.7473706967914083E-3</v>
      </c>
      <c r="X33">
        <v>-4.5070680777769688E-4</v>
      </c>
      <c r="Y33">
        <v>5.6042064645330436E-3</v>
      </c>
    </row>
    <row r="34" spans="1:25" x14ac:dyDescent="0.35">
      <c r="A34" s="1" t="s">
        <v>50</v>
      </c>
      <c r="B34">
        <v>3.7080188319413072E-2</v>
      </c>
      <c r="C34">
        <v>0</v>
      </c>
      <c r="D34">
        <v>0.2442023058667066</v>
      </c>
      <c r="E34">
        <v>-0.1173579832724404</v>
      </c>
      <c r="F34">
        <v>-7.4695527228518299E-2</v>
      </c>
      <c r="G34">
        <v>-2.3643820195496119E-2</v>
      </c>
      <c r="H34">
        <v>8.575213149161284E-3</v>
      </c>
      <c r="I34">
        <v>0.1068522552650318</v>
      </c>
      <c r="J34">
        <v>3.9397803197432191E-2</v>
      </c>
      <c r="K34">
        <v>-1.1691485939690081E-2</v>
      </c>
      <c r="L34">
        <v>8.0300816156675826E-3</v>
      </c>
      <c r="M34">
        <v>5.3462792978405282E-2</v>
      </c>
      <c r="N34">
        <v>4.8150858749859818E-2</v>
      </c>
      <c r="O34">
        <v>-4.8339423833579663E-2</v>
      </c>
      <c r="P34">
        <v>-3.6144587842778103E-2</v>
      </c>
      <c r="Q34">
        <v>-9.326713694633549E-3</v>
      </c>
      <c r="R34">
        <v>-3.192554522045375E-3</v>
      </c>
      <c r="S34">
        <v>-2.0354703379403691E-2</v>
      </c>
      <c r="T34">
        <v>-4.0314577333834943E-2</v>
      </c>
      <c r="U34">
        <v>1.667075713833881E-2</v>
      </c>
      <c r="V34">
        <v>-7.6372246132365901E-2</v>
      </c>
      <c r="W34">
        <v>1.6767189038475959E-3</v>
      </c>
      <c r="X34">
        <v>-5.4847458302976338E-5</v>
      </c>
      <c r="Y34">
        <v>8.6300606074642596E-3</v>
      </c>
    </row>
    <row r="35" spans="1:25" x14ac:dyDescent="0.35">
      <c r="A35" s="1" t="s">
        <v>51</v>
      </c>
      <c r="B35">
        <v>5.9778743308366682E-2</v>
      </c>
      <c r="C35">
        <v>0</v>
      </c>
      <c r="D35">
        <v>0.28387363934004178</v>
      </c>
      <c r="E35">
        <v>-0.1146689978112557</v>
      </c>
      <c r="F35">
        <v>-8.963430257819921E-2</v>
      </c>
      <c r="G35">
        <v>-2.3443138131746141E-2</v>
      </c>
      <c r="H35">
        <v>3.6515424895259109E-3</v>
      </c>
      <c r="I35">
        <v>0.1131436960567964</v>
      </c>
      <c r="J35">
        <v>3.7401472011764927E-2</v>
      </c>
      <c r="K35">
        <v>8.6751324243329406E-3</v>
      </c>
      <c r="L35">
        <v>1.482755476662776E-3</v>
      </c>
      <c r="M35">
        <v>5.3462792978405282E-2</v>
      </c>
      <c r="N35">
        <v>6.9707790392079472E-2</v>
      </c>
      <c r="O35">
        <v>-4.6828576879770871E-2</v>
      </c>
      <c r="P35">
        <v>-3.4966449335402203E-2</v>
      </c>
      <c r="Q35">
        <v>-9.326713694633549E-3</v>
      </c>
      <c r="R35">
        <v>-3.192554522045375E-3</v>
      </c>
      <c r="S35">
        <v>-2.0354703379403691E-2</v>
      </c>
      <c r="T35">
        <v>-4.1156165547373579E-2</v>
      </c>
      <c r="U35">
        <v>1.7713027415627441E-2</v>
      </c>
      <c r="V35">
        <v>-9.833102270929038E-2</v>
      </c>
      <c r="W35">
        <v>8.6967201310911776E-3</v>
      </c>
      <c r="X35">
        <v>2.3751336543666009E-4</v>
      </c>
      <c r="Y35">
        <v>3.4140291240892509E-3</v>
      </c>
    </row>
    <row r="36" spans="1:25" x14ac:dyDescent="0.35">
      <c r="A36" s="1" t="s">
        <v>52</v>
      </c>
      <c r="B36">
        <v>3.7432638746314917E-2</v>
      </c>
      <c r="C36">
        <v>0</v>
      </c>
      <c r="D36">
        <v>0.30532176559517848</v>
      </c>
      <c r="E36">
        <v>-0.1159950596229344</v>
      </c>
      <c r="F36">
        <v>-0.12645622251653599</v>
      </c>
      <c r="G36">
        <v>-2.828424627849822E-2</v>
      </c>
      <c r="H36">
        <v>2.8464015691050701E-3</v>
      </c>
      <c r="I36">
        <v>0.1155163805403087</v>
      </c>
      <c r="J36">
        <v>4.0616615921313208E-2</v>
      </c>
      <c r="K36">
        <v>1.7250550682868938E-2</v>
      </c>
      <c r="L36">
        <v>1.1303744685169989E-2</v>
      </c>
      <c r="M36">
        <v>5.3462792978405282E-2</v>
      </c>
      <c r="N36">
        <v>6.7171680787112428E-2</v>
      </c>
      <c r="O36">
        <v>-4.4445910729149163E-2</v>
      </c>
      <c r="P36">
        <v>-3.7260193551538728E-2</v>
      </c>
      <c r="Q36">
        <v>-9.326713694633549E-3</v>
      </c>
      <c r="R36">
        <v>-3.192554522045375E-3</v>
      </c>
      <c r="S36">
        <v>-2.176968712556759E-2</v>
      </c>
      <c r="T36">
        <v>-4.9521735176157058E-2</v>
      </c>
      <c r="U36">
        <v>2.1237488897658838E-2</v>
      </c>
      <c r="V36">
        <v>-0.1225469542053037</v>
      </c>
      <c r="W36">
        <v>-3.9092683112323407E-3</v>
      </c>
      <c r="X36">
        <v>-3.5740258078353149E-3</v>
      </c>
      <c r="Y36">
        <v>6.4204273769403854E-3</v>
      </c>
    </row>
    <row r="37" spans="1:25" x14ac:dyDescent="0.35">
      <c r="A37" s="1" t="s">
        <v>53</v>
      </c>
      <c r="B37">
        <v>4.2860965699621313E-2</v>
      </c>
      <c r="C37">
        <v>0</v>
      </c>
      <c r="D37">
        <v>0.32815084544367218</v>
      </c>
      <c r="E37">
        <v>-0.12514489437971379</v>
      </c>
      <c r="F37">
        <v>-0.129948872127092</v>
      </c>
      <c r="G37">
        <v>-2.8647962257568459E-2</v>
      </c>
      <c r="H37">
        <v>-1.5481509796765711E-3</v>
      </c>
      <c r="I37">
        <v>0.1156541493167707</v>
      </c>
      <c r="J37">
        <v>3.8178990473551062E-2</v>
      </c>
      <c r="K37">
        <v>2.3682114376770948E-2</v>
      </c>
      <c r="L37">
        <v>2.1124733893677201E-2</v>
      </c>
      <c r="M37">
        <v>5.3462792978405282E-2</v>
      </c>
      <c r="N37">
        <v>7.6048064404497004E-2</v>
      </c>
      <c r="O37">
        <v>-4.5842709484419847E-2</v>
      </c>
      <c r="P37">
        <v>-3.715930502235662E-2</v>
      </c>
      <c r="Q37">
        <v>-9.326713694633549E-3</v>
      </c>
      <c r="R37">
        <v>-1.104647905273623E-2</v>
      </c>
      <c r="S37">
        <v>-2.176968712556759E-2</v>
      </c>
      <c r="T37">
        <v>-4.8852302801916429E-2</v>
      </c>
      <c r="U37">
        <v>2.0204340544347971E-2</v>
      </c>
      <c r="V37">
        <v>-0.1231112962511777</v>
      </c>
      <c r="W37">
        <v>-6.8375758759142737E-3</v>
      </c>
      <c r="X37">
        <v>-3.9314811649994444E-3</v>
      </c>
      <c r="Y37">
        <v>2.3833301853228741E-3</v>
      </c>
    </row>
    <row r="38" spans="1:25" x14ac:dyDescent="0.35">
      <c r="A38" s="1" t="s">
        <v>54</v>
      </c>
      <c r="B38">
        <v>5.3701881733248587E-2</v>
      </c>
      <c r="C38">
        <v>0</v>
      </c>
      <c r="D38">
        <v>0.32992502029396881</v>
      </c>
      <c r="E38">
        <v>-0.1189219893596014</v>
      </c>
      <c r="F38">
        <v>-0.11914442727153619</v>
      </c>
      <c r="G38">
        <v>-3.0293682919567098E-2</v>
      </c>
      <c r="H38">
        <v>-7.8630390100155219E-3</v>
      </c>
      <c r="I38">
        <v>0.12326204730583901</v>
      </c>
      <c r="J38">
        <v>4.1807409961886699E-2</v>
      </c>
      <c r="K38">
        <v>1.189091427128393E-2</v>
      </c>
      <c r="L38">
        <v>1.4577407754672389E-2</v>
      </c>
      <c r="M38">
        <v>5.3462792978405282E-2</v>
      </c>
      <c r="N38">
        <v>8.4924448021881482E-2</v>
      </c>
      <c r="O38">
        <v>-4.5955670448483268E-2</v>
      </c>
      <c r="P38">
        <v>-3.7165551768115902E-2</v>
      </c>
      <c r="Q38">
        <v>-9.326713694633549E-3</v>
      </c>
      <c r="R38">
        <v>-1.104647905273623E-2</v>
      </c>
      <c r="S38">
        <v>-1.542757439563245E-2</v>
      </c>
      <c r="T38">
        <v>-5.4104764929775603E-2</v>
      </c>
      <c r="U38">
        <v>2.3811082010208501E-2</v>
      </c>
      <c r="V38">
        <v>-0.1155983585650832</v>
      </c>
      <c r="W38">
        <v>-3.546068706453024E-3</v>
      </c>
      <c r="X38">
        <v>-4.9390803227782288E-3</v>
      </c>
      <c r="Y38">
        <v>-2.9239586872372931E-3</v>
      </c>
    </row>
    <row r="39" spans="1:25" x14ac:dyDescent="0.35">
      <c r="A39" s="1" t="s">
        <v>55</v>
      </c>
      <c r="B39">
        <v>5.0836159682781462E-2</v>
      </c>
      <c r="C39">
        <v>0</v>
      </c>
      <c r="D39">
        <v>0.32872263726493151</v>
      </c>
      <c r="E39">
        <v>-0.14579909052782131</v>
      </c>
      <c r="F39">
        <v>-9.9346781472320081E-2</v>
      </c>
      <c r="G39">
        <v>-2.7073238311540609E-2</v>
      </c>
      <c r="H39">
        <v>-5.6673672704681327E-3</v>
      </c>
      <c r="I39">
        <v>0.1273185723905535</v>
      </c>
      <c r="J39">
        <v>4.7978524960388028E-2</v>
      </c>
      <c r="K39">
        <v>6.5312778596989477E-3</v>
      </c>
      <c r="L39">
        <v>1.7383404671388731E-2</v>
      </c>
      <c r="M39">
        <v>5.3462792978405282E-2</v>
      </c>
      <c r="N39">
        <v>7.6048064404497004E-2</v>
      </c>
      <c r="O39">
        <v>-4.7081636326838323E-2</v>
      </c>
      <c r="P39">
        <v>-3.7617979759242012E-2</v>
      </c>
      <c r="Q39">
        <v>-2.0390182598924219E-2</v>
      </c>
      <c r="R39">
        <v>-2.528171744718425E-2</v>
      </c>
      <c r="S39">
        <v>-1.542757439563245E-2</v>
      </c>
      <c r="T39">
        <v>-5.0175967044077542E-2</v>
      </c>
      <c r="U39">
        <v>2.3102728732536919E-2</v>
      </c>
      <c r="V39">
        <v>-9.0084404427086817E-2</v>
      </c>
      <c r="W39">
        <v>-9.2623770452332603E-3</v>
      </c>
      <c r="X39">
        <v>-4.3665856984835983E-3</v>
      </c>
      <c r="Y39">
        <v>-1.3007815719845339E-3</v>
      </c>
    </row>
    <row r="40" spans="1:25" x14ac:dyDescent="0.35">
      <c r="A40" s="1" t="s">
        <v>56</v>
      </c>
      <c r="B40">
        <v>0.12708168501920261</v>
      </c>
      <c r="C40">
        <v>0</v>
      </c>
      <c r="D40">
        <v>0.3450509308587304</v>
      </c>
      <c r="E40">
        <v>-0.12348017533120489</v>
      </c>
      <c r="F40">
        <v>-7.845503993448559E-2</v>
      </c>
      <c r="G40">
        <v>-1.2519821878910089E-2</v>
      </c>
      <c r="H40">
        <v>-3.5142086949270829E-3</v>
      </c>
      <c r="I40">
        <v>0.1324313247614767</v>
      </c>
      <c r="J40">
        <v>5.3834429771678738E-2</v>
      </c>
      <c r="K40">
        <v>1.189091427128393E-2</v>
      </c>
      <c r="L40">
        <v>1.7383404671388741E-2</v>
      </c>
      <c r="M40">
        <v>5.3462792978405282E-2</v>
      </c>
      <c r="N40">
        <v>7.6048064404497004E-2</v>
      </c>
      <c r="O40">
        <v>-4.8613597130860338E-2</v>
      </c>
      <c r="P40">
        <v>-3.7580068855822511E-2</v>
      </c>
      <c r="Q40">
        <v>-9.326713694633549E-3</v>
      </c>
      <c r="R40">
        <v>-1.104647905273623E-2</v>
      </c>
      <c r="S40">
        <v>-1.6913316597152311E-2</v>
      </c>
      <c r="T40">
        <v>-3.7576359242634742E-2</v>
      </c>
      <c r="U40">
        <v>2.5056537363724651E-2</v>
      </c>
      <c r="V40">
        <v>-7.5175156767686657E-2</v>
      </c>
      <c r="W40">
        <v>-3.2798831667989392E-3</v>
      </c>
      <c r="X40">
        <v>-2.9837877230182702E-3</v>
      </c>
      <c r="Y40">
        <v>-5.3042097190881285E-4</v>
      </c>
    </row>
    <row r="41" spans="1:25" x14ac:dyDescent="0.35">
      <c r="A41" s="1" t="s">
        <v>57</v>
      </c>
      <c r="B41">
        <v>0.165385033450859</v>
      </c>
      <c r="C41">
        <v>0</v>
      </c>
      <c r="D41">
        <v>0.34771257979299602</v>
      </c>
      <c r="E41">
        <v>-0.1233037110121</v>
      </c>
      <c r="F41">
        <v>-3.9671497476214478E-2</v>
      </c>
      <c r="G41">
        <v>-5.3136262165109881E-3</v>
      </c>
      <c r="H41">
        <v>-1.4038711637311459E-2</v>
      </c>
      <c r="I41">
        <v>0.1386921502695832</v>
      </c>
      <c r="J41">
        <v>5.5235363937059308E-2</v>
      </c>
      <c r="K41">
        <v>1.189091427128393E-2</v>
      </c>
      <c r="L41">
        <v>2.2527732352035371E-2</v>
      </c>
      <c r="M41">
        <v>5.3462792978405282E-2</v>
      </c>
      <c r="N41">
        <v>6.59036259846289E-2</v>
      </c>
      <c r="O41">
        <v>-4.9070225369024237E-2</v>
      </c>
      <c r="P41">
        <v>-3.6946976298553702E-2</v>
      </c>
      <c r="Q41">
        <v>-9.326713694633549E-3</v>
      </c>
      <c r="R41">
        <v>-1.104647905273623E-2</v>
      </c>
      <c r="S41">
        <v>-1.6913316597152311E-2</v>
      </c>
      <c r="T41">
        <v>-2.63111129956057E-2</v>
      </c>
      <c r="U41">
        <v>2.0997486779094712E-2</v>
      </c>
      <c r="V41">
        <v>-3.601312227077013E-2</v>
      </c>
      <c r="W41">
        <v>-3.6583752054443548E-3</v>
      </c>
      <c r="X41">
        <v>-3.1234777174185512E-3</v>
      </c>
      <c r="Y41">
        <v>-1.091523391989291E-2</v>
      </c>
    </row>
    <row r="42" spans="1:25" x14ac:dyDescent="0.35">
      <c r="A42" s="1" t="s">
        <v>58</v>
      </c>
      <c r="B42">
        <v>0.1748484712444473</v>
      </c>
      <c r="C42">
        <v>0</v>
      </c>
      <c r="D42">
        <v>0.35441580025624508</v>
      </c>
      <c r="E42">
        <v>-0.13222252049544109</v>
      </c>
      <c r="F42">
        <v>-3.3343460296481033E-2</v>
      </c>
      <c r="G42">
        <v>-1.5712060619381941E-2</v>
      </c>
      <c r="H42">
        <v>1.7107123995061891E-3</v>
      </c>
      <c r="I42">
        <v>0.13654908041350761</v>
      </c>
      <c r="J42">
        <v>5.8212349038492962E-2</v>
      </c>
      <c r="K42">
        <v>9.7470597066499371E-3</v>
      </c>
      <c r="L42">
        <v>2.6736727727109881E-2</v>
      </c>
      <c r="M42">
        <v>5.3462792978405282E-2</v>
      </c>
      <c r="N42">
        <v>6.9707790392079472E-2</v>
      </c>
      <c r="O42">
        <v>-4.8298635077090923E-2</v>
      </c>
      <c r="P42">
        <v>-3.6317809208302812E-2</v>
      </c>
      <c r="Q42">
        <v>-9.326713694633549E-3</v>
      </c>
      <c r="R42">
        <v>-1.74277929164934E-2</v>
      </c>
      <c r="S42">
        <v>-2.0851569598920379E-2</v>
      </c>
      <c r="T42">
        <v>-3.6125940475012212E-2</v>
      </c>
      <c r="U42">
        <v>2.0413879855630271E-2</v>
      </c>
      <c r="V42">
        <v>-3.4531939436074993E-2</v>
      </c>
      <c r="W42">
        <v>1.188479139593958E-3</v>
      </c>
      <c r="X42">
        <v>-1.0987944256661559E-3</v>
      </c>
      <c r="Y42">
        <v>2.8095068251723439E-3</v>
      </c>
    </row>
    <row r="43" spans="1:25" x14ac:dyDescent="0.35">
      <c r="A43" s="1" t="s">
        <v>59</v>
      </c>
      <c r="B43">
        <v>0.1441935172824699</v>
      </c>
      <c r="C43">
        <v>0</v>
      </c>
      <c r="D43">
        <v>0.35417582940446218</v>
      </c>
      <c r="E43">
        <v>-0.14073388682220589</v>
      </c>
      <c r="F43">
        <v>-6.9933793935040511E-2</v>
      </c>
      <c r="G43">
        <v>-8.3292988094355036E-5</v>
      </c>
      <c r="H43">
        <v>7.686616233484214E-4</v>
      </c>
      <c r="I43">
        <v>0.14244252251771539</v>
      </c>
      <c r="J43">
        <v>6.1322422885637808E-2</v>
      </c>
      <c r="K43">
        <v>1.6178623400551938E-2</v>
      </c>
      <c r="L43">
        <v>3.5154718477258921E-2</v>
      </c>
      <c r="M43">
        <v>5.3462792978405282E-2</v>
      </c>
      <c r="N43">
        <v>4.5614749144892879E-2</v>
      </c>
      <c r="O43">
        <v>-4.9407980076210348E-2</v>
      </c>
      <c r="P43">
        <v>-3.7461226237944137E-2</v>
      </c>
      <c r="Q43">
        <v>-2.1312138226646519E-2</v>
      </c>
      <c r="R43">
        <v>-1.1700972682484529E-2</v>
      </c>
      <c r="S43">
        <v>-2.0851569598920379E-2</v>
      </c>
      <c r="T43">
        <v>-2.3797800838109579E-2</v>
      </c>
      <c r="U43">
        <v>2.3714507850015231E-2</v>
      </c>
      <c r="V43">
        <v>-6.8220477842569099E-2</v>
      </c>
      <c r="W43">
        <v>-1.71331609247141E-3</v>
      </c>
      <c r="X43">
        <v>-2.633323378310304E-3</v>
      </c>
      <c r="Y43">
        <v>3.4019850016587258E-3</v>
      </c>
    </row>
    <row r="44" spans="1:25" x14ac:dyDescent="0.35">
      <c r="A44" s="1" t="s">
        <v>60</v>
      </c>
      <c r="B44">
        <v>0.20967698548054289</v>
      </c>
      <c r="C44">
        <v>0.25</v>
      </c>
      <c r="D44">
        <v>0.38039291482802079</v>
      </c>
      <c r="E44">
        <v>-0.10870180920893539</v>
      </c>
      <c r="F44">
        <v>-8.2942510918223744E-2</v>
      </c>
      <c r="G44">
        <v>1.8433467636589419E-2</v>
      </c>
      <c r="H44">
        <v>2.494923143091788E-3</v>
      </c>
      <c r="I44">
        <v>0.1531425641562642</v>
      </c>
      <c r="J44">
        <v>6.806792089194523E-2</v>
      </c>
      <c r="K44">
        <v>2.3682114376770948E-2</v>
      </c>
      <c r="L44">
        <v>3.5154718477258921E-2</v>
      </c>
      <c r="M44">
        <v>5.3462792978405282E-2</v>
      </c>
      <c r="N44">
        <v>4.6882803947376303E-2</v>
      </c>
      <c r="O44">
        <v>-5.3225831882150083E-2</v>
      </c>
      <c r="P44">
        <v>-3.8412804013776031E-2</v>
      </c>
      <c r="Q44">
        <v>1.4644135369392391E-2</v>
      </c>
      <c r="R44">
        <v>-1.1700972682484529E-2</v>
      </c>
      <c r="S44">
        <v>-2.0006335999917139E-2</v>
      </c>
      <c r="T44">
        <v>-1.085667751576508E-2</v>
      </c>
      <c r="U44">
        <v>2.9290145152354501E-2</v>
      </c>
      <c r="V44">
        <v>-7.7308541187358124E-2</v>
      </c>
      <c r="W44">
        <v>-5.6339697308656223E-3</v>
      </c>
      <c r="X44">
        <v>-3.6647026596798452E-3</v>
      </c>
      <c r="Y44">
        <v>6.1596258027716332E-3</v>
      </c>
    </row>
    <row r="45" spans="1:25" x14ac:dyDescent="0.35">
      <c r="A45" s="1" t="s">
        <v>61</v>
      </c>
      <c r="B45">
        <v>0.1965591442758948</v>
      </c>
      <c r="C45">
        <v>0.25</v>
      </c>
      <c r="D45">
        <v>0.38387213679183291</v>
      </c>
      <c r="E45">
        <v>-0.1158977283228967</v>
      </c>
      <c r="F45">
        <v>-8.4549879537773306E-2</v>
      </c>
      <c r="G45">
        <v>1.0139798205906939E-2</v>
      </c>
      <c r="H45">
        <v>2.99481713882501E-3</v>
      </c>
      <c r="I45">
        <v>0.16091884620545269</v>
      </c>
      <c r="J45">
        <v>6.4180328583014146E-2</v>
      </c>
      <c r="K45">
        <v>2.6897896223721941E-2</v>
      </c>
      <c r="L45">
        <v>1.9721735435319021E-2</v>
      </c>
      <c r="M45">
        <v>6.5270526396948719E-2</v>
      </c>
      <c r="N45">
        <v>4.6882803947376303E-2</v>
      </c>
      <c r="O45">
        <v>-5.5487773783034398E-2</v>
      </c>
      <c r="P45">
        <v>-3.9869774855279178E-2</v>
      </c>
      <c r="Q45">
        <v>2.6587108373794209E-3</v>
      </c>
      <c r="R45">
        <v>-3.192554522045375E-3</v>
      </c>
      <c r="S45">
        <v>-2.0006335999917139E-2</v>
      </c>
      <c r="T45">
        <v>-1.942448586706981E-2</v>
      </c>
      <c r="U45">
        <v>2.9564284072976749E-2</v>
      </c>
      <c r="V45">
        <v>-7.8565218088489319E-2</v>
      </c>
      <c r="W45">
        <v>-5.9846614492839881E-3</v>
      </c>
      <c r="X45">
        <v>-3.3042425428539001E-3</v>
      </c>
      <c r="Y45">
        <v>6.2990596816789096E-3</v>
      </c>
    </row>
    <row r="46" spans="1:25" x14ac:dyDescent="0.35">
      <c r="A46" s="1" t="s">
        <v>62</v>
      </c>
      <c r="B46">
        <v>0.32291821261851728</v>
      </c>
      <c r="C46">
        <v>0.25</v>
      </c>
      <c r="D46">
        <v>0.45127734612395148</v>
      </c>
      <c r="E46">
        <v>-0.10055836131805029</v>
      </c>
      <c r="F46">
        <v>-3.3761288078555197E-2</v>
      </c>
      <c r="G46">
        <v>1.8937657713957969E-2</v>
      </c>
      <c r="H46">
        <v>-1.297714182278672E-2</v>
      </c>
      <c r="I46">
        <v>0.17709902361882329</v>
      </c>
      <c r="J46">
        <v>8.5502546580106142E-2</v>
      </c>
      <c r="K46">
        <v>2.6897896223721941E-2</v>
      </c>
      <c r="L46">
        <v>2.2995398504821421E-2</v>
      </c>
      <c r="M46">
        <v>6.5270526396948719E-2</v>
      </c>
      <c r="N46">
        <v>7.351195479952996E-2</v>
      </c>
      <c r="O46">
        <v>-5.5334820334033419E-2</v>
      </c>
      <c r="P46">
        <v>-4.1144231554035397E-2</v>
      </c>
      <c r="Q46">
        <v>2.6587108373794209E-3</v>
      </c>
      <c r="R46">
        <v>5.3158636383937793E-3</v>
      </c>
      <c r="S46">
        <v>-1.2053883905754639E-2</v>
      </c>
      <c r="T46">
        <v>-2.8112300026514311E-2</v>
      </c>
      <c r="U46">
        <v>4.7049957740472277E-2</v>
      </c>
      <c r="V46">
        <v>-2.7931142137935142E-2</v>
      </c>
      <c r="W46">
        <v>-5.8301459406200594E-3</v>
      </c>
      <c r="X46">
        <v>-3.9495924761400857E-3</v>
      </c>
      <c r="Y46">
        <v>-9.0275493466466326E-3</v>
      </c>
    </row>
    <row r="47" spans="1:25" x14ac:dyDescent="0.35">
      <c r="A47" s="1" t="s">
        <v>63</v>
      </c>
      <c r="B47">
        <v>0.76090815272052814</v>
      </c>
      <c r="C47">
        <v>0</v>
      </c>
      <c r="D47">
        <v>0.67633922841706706</v>
      </c>
      <c r="E47">
        <v>-8.4001191782704321E-2</v>
      </c>
      <c r="F47">
        <v>6.5870024173803166E-2</v>
      </c>
      <c r="G47">
        <v>9.6790919354299593E-2</v>
      </c>
      <c r="H47">
        <v>5.9091725580625509E-3</v>
      </c>
      <c r="I47">
        <v>0.21304136663357659</v>
      </c>
      <c r="J47">
        <v>0.13956459602214169</v>
      </c>
      <c r="K47">
        <v>-1.597919506895806E-2</v>
      </c>
      <c r="L47">
        <v>9.3145321422730062E-2</v>
      </c>
      <c r="M47">
        <v>6.5270526396948719E-2</v>
      </c>
      <c r="N47">
        <v>0.18129661301062799</v>
      </c>
      <c r="O47">
        <v>-5.5724155958709512E-2</v>
      </c>
      <c r="P47">
        <v>-5.4754394611618622E-2</v>
      </c>
      <c r="Q47">
        <v>-9.326713694633549E-3</v>
      </c>
      <c r="R47">
        <v>4.7857956388011998E-2</v>
      </c>
      <c r="S47">
        <v>-1.2053883905754639E-2</v>
      </c>
      <c r="T47">
        <v>2.9762362659431319E-2</v>
      </c>
      <c r="U47">
        <v>6.7028556694868277E-2</v>
      </c>
      <c r="V47">
        <v>6.4784236350900332E-2</v>
      </c>
      <c r="W47">
        <v>1.085787822902827E-3</v>
      </c>
      <c r="X47">
        <v>3.8186318289365213E-4</v>
      </c>
      <c r="Y47">
        <v>5.5273093751688988E-3</v>
      </c>
    </row>
    <row r="48" spans="1:25" x14ac:dyDescent="0.35">
      <c r="A48" s="1" t="s">
        <v>64</v>
      </c>
      <c r="B48">
        <v>0.85328957702918207</v>
      </c>
      <c r="C48">
        <v>0</v>
      </c>
      <c r="D48">
        <v>0.77138919591962551</v>
      </c>
      <c r="E48">
        <v>-0.1205583684502857</v>
      </c>
      <c r="F48">
        <v>-1.8382968672687339E-2</v>
      </c>
      <c r="G48">
        <v>0.1917902491893152</v>
      </c>
      <c r="H48">
        <v>2.9051469043214231E-2</v>
      </c>
      <c r="I48">
        <v>0.23405875886494651</v>
      </c>
      <c r="J48">
        <v>0.15110128887405061</v>
      </c>
      <c r="K48">
        <v>-3.2058104303713073E-2</v>
      </c>
      <c r="L48">
        <v>0.1193346259787493</v>
      </c>
      <c r="M48">
        <v>7.707825981549217E-2</v>
      </c>
      <c r="N48">
        <v>0.22187436669010011</v>
      </c>
      <c r="O48">
        <v>-5.2483071879814817E-2</v>
      </c>
      <c r="P48">
        <v>-4.6428589699934367E-2</v>
      </c>
      <c r="Q48">
        <v>-4.5282988662295492E-2</v>
      </c>
      <c r="R48">
        <v>3.5946170184428201E-2</v>
      </c>
      <c r="S48">
        <v>-1.230988839266922E-2</v>
      </c>
      <c r="T48">
        <v>0.13843373331509479</v>
      </c>
      <c r="U48">
        <v>5.3356515874220363E-2</v>
      </c>
      <c r="V48">
        <v>-1.3848598044605181E-2</v>
      </c>
      <c r="W48">
        <v>-4.5343706280821568E-3</v>
      </c>
      <c r="X48">
        <v>-2.2484093913731568E-3</v>
      </c>
      <c r="Y48">
        <v>3.1299878434587383E-2</v>
      </c>
    </row>
    <row r="49" spans="1:25" x14ac:dyDescent="0.35">
      <c r="A49" s="1" t="s">
        <v>65</v>
      </c>
      <c r="B49">
        <v>0.83385562400260205</v>
      </c>
      <c r="C49">
        <v>0</v>
      </c>
      <c r="D49">
        <v>0.78391946690046288</v>
      </c>
      <c r="E49">
        <v>-5.3600292597632132E-2</v>
      </c>
      <c r="F49">
        <v>-5.7401519884720538E-2</v>
      </c>
      <c r="G49">
        <v>0.1058707229285135</v>
      </c>
      <c r="H49">
        <v>5.506724665597855E-2</v>
      </c>
      <c r="I49">
        <v>0.2519074692376902</v>
      </c>
      <c r="J49">
        <v>0.15660696014399619</v>
      </c>
      <c r="K49">
        <v>-3.5273886150664083E-2</v>
      </c>
      <c r="L49">
        <v>0.1193346259787493</v>
      </c>
      <c r="M49">
        <v>7.707825981549217E-2</v>
      </c>
      <c r="N49">
        <v>0.21426603787519921</v>
      </c>
      <c r="O49">
        <v>-5.5500702522203703E-2</v>
      </c>
      <c r="P49">
        <v>-4.3113103533873078E-2</v>
      </c>
      <c r="Q49">
        <v>2.6587108373794209E-3</v>
      </c>
      <c r="R49">
        <v>5.4664691013734452E-2</v>
      </c>
      <c r="S49">
        <v>-1.230988839266922E-2</v>
      </c>
      <c r="T49">
        <v>5.4225075511101707E-2</v>
      </c>
      <c r="U49">
        <v>5.1645647417411789E-2</v>
      </c>
      <c r="V49">
        <v>-5.0468546916440787E-2</v>
      </c>
      <c r="W49">
        <v>-6.9329729682797592E-3</v>
      </c>
      <c r="X49">
        <v>-2.645855504235795E-3</v>
      </c>
      <c r="Y49">
        <v>5.7713102160214337E-2</v>
      </c>
    </row>
    <row r="50" spans="1:25" x14ac:dyDescent="0.35">
      <c r="A50" s="1" t="s">
        <v>66</v>
      </c>
      <c r="B50">
        <v>0.69126148159882106</v>
      </c>
      <c r="C50">
        <v>0</v>
      </c>
      <c r="D50">
        <v>0.71738001907033377</v>
      </c>
      <c r="E50">
        <v>-6.3152397241172054E-2</v>
      </c>
      <c r="F50">
        <v>-9.941397072492629E-2</v>
      </c>
      <c r="G50">
        <v>7.1551030885450242E-2</v>
      </c>
      <c r="H50">
        <v>6.4896799609135275E-2</v>
      </c>
      <c r="I50">
        <v>0.25631607008447421</v>
      </c>
      <c r="J50">
        <v>0.1509121627617242</v>
      </c>
      <c r="K50">
        <v>-4.4921231691517072E-2</v>
      </c>
      <c r="L50">
        <v>0.1081106383118839</v>
      </c>
      <c r="M50">
        <v>7.707825981549217E-2</v>
      </c>
      <c r="N50">
        <v>0.16988411978827639</v>
      </c>
      <c r="O50">
        <v>-5.5274916608279573E-2</v>
      </c>
      <c r="P50">
        <v>-4.2864268041887497E-2</v>
      </c>
      <c r="Q50">
        <v>2.6587108373794209E-3</v>
      </c>
      <c r="R50">
        <v>4.445458737115613E-2</v>
      </c>
      <c r="S50">
        <v>-1.212651079954054E-2</v>
      </c>
      <c r="T50">
        <v>8.3736365450387974E-3</v>
      </c>
      <c r="U50">
        <v>6.3177394340411447E-2</v>
      </c>
      <c r="V50">
        <v>-9.0393391313707452E-2</v>
      </c>
      <c r="W50">
        <v>-9.0205794112188393E-3</v>
      </c>
      <c r="X50">
        <v>-3.7991525012867088E-3</v>
      </c>
      <c r="Y50">
        <v>6.8695952110421982E-2</v>
      </c>
    </row>
    <row r="51" spans="1:25" x14ac:dyDescent="0.35">
      <c r="A51" s="1" t="s">
        <v>67</v>
      </c>
      <c r="B51">
        <v>0.44892361734368869</v>
      </c>
      <c r="C51">
        <v>0</v>
      </c>
      <c r="D51">
        <v>0.55213308597050426</v>
      </c>
      <c r="E51">
        <v>-0.12747811608564871</v>
      </c>
      <c r="F51">
        <v>-0.11429494859811171</v>
      </c>
      <c r="G51">
        <v>0.1011148253850653</v>
      </c>
      <c r="H51">
        <v>3.7448770671879558E-2</v>
      </c>
      <c r="I51">
        <v>0.2344720651943325</v>
      </c>
      <c r="J51">
        <v>0.12793684244948311</v>
      </c>
      <c r="K51">
        <v>-8.4757040927390566E-3</v>
      </c>
      <c r="L51">
        <v>1.0836078532383929E-2</v>
      </c>
      <c r="M51">
        <v>7.707825981549217E-2</v>
      </c>
      <c r="N51">
        <v>0.1102855440715516</v>
      </c>
      <c r="O51">
        <v>-5.8962934055014259E-2</v>
      </c>
      <c r="P51">
        <v>-4.2167719479698287E-2</v>
      </c>
      <c r="Q51">
        <v>-9.326713694633549E-3</v>
      </c>
      <c r="R51">
        <v>-4.8942380567620842E-3</v>
      </c>
      <c r="S51">
        <v>-1.212651079954054E-2</v>
      </c>
      <c r="T51">
        <v>3.2370792266517387E-2</v>
      </c>
      <c r="U51">
        <v>6.8744033118547904E-2</v>
      </c>
      <c r="V51">
        <v>-0.1060722540740863</v>
      </c>
      <c r="W51">
        <v>-8.2226945240253899E-3</v>
      </c>
      <c r="X51">
        <v>-3.7643469939889129E-3</v>
      </c>
      <c r="Y51">
        <v>4.1213117665868472E-2</v>
      </c>
    </row>
    <row r="52" spans="1:25" x14ac:dyDescent="0.35">
      <c r="A52" s="1" t="s">
        <v>68</v>
      </c>
      <c r="B52">
        <v>0.33397941383928792</v>
      </c>
      <c r="C52">
        <v>0</v>
      </c>
      <c r="D52">
        <v>0.49255812096990842</v>
      </c>
      <c r="E52">
        <v>-0.12621947539471429</v>
      </c>
      <c r="F52">
        <v>-0.1127207842781069</v>
      </c>
      <c r="G52">
        <v>7.1744486845518041E-2</v>
      </c>
      <c r="H52">
        <v>8.6170656966827481E-3</v>
      </c>
      <c r="I52">
        <v>0.23159422853045961</v>
      </c>
      <c r="J52">
        <v>0.12306859622478571</v>
      </c>
      <c r="K52">
        <v>8.6751324243329406E-3</v>
      </c>
      <c r="L52">
        <v>-2.517421523214251E-2</v>
      </c>
      <c r="M52">
        <v>7.707825981549217E-2</v>
      </c>
      <c r="N52">
        <v>7.7316119206980533E-2</v>
      </c>
      <c r="O52">
        <v>-5.9379713167086179E-2</v>
      </c>
      <c r="P52">
        <v>-4.0232622098814112E-2</v>
      </c>
      <c r="Q52">
        <v>-9.326713694633549E-3</v>
      </c>
      <c r="R52">
        <v>-3.192554522045375E-3</v>
      </c>
      <c r="S52">
        <v>-1.4087871912135071E-2</v>
      </c>
      <c r="T52">
        <v>8.0072477728396587E-4</v>
      </c>
      <c r="U52">
        <v>7.0943762068234079E-2</v>
      </c>
      <c r="V52">
        <v>-0.10781440283384271</v>
      </c>
      <c r="W52">
        <v>-4.9063814442642474E-3</v>
      </c>
      <c r="X52">
        <v>-3.9509597100862194E-3</v>
      </c>
      <c r="Y52">
        <v>1.2568025406768969E-2</v>
      </c>
    </row>
    <row r="53" spans="1:25" x14ac:dyDescent="0.35">
      <c r="A53" s="1" t="s">
        <v>69</v>
      </c>
      <c r="B53">
        <v>0.33075613244085927</v>
      </c>
      <c r="C53">
        <v>0</v>
      </c>
      <c r="D53">
        <v>0.50240000625713976</v>
      </c>
      <c r="E53">
        <v>-0.124516015998105</v>
      </c>
      <c r="F53">
        <v>-9.5056526835772509E-2</v>
      </c>
      <c r="G53">
        <v>4.4203015056047221E-2</v>
      </c>
      <c r="H53">
        <v>3.7256539615498001E-3</v>
      </c>
      <c r="I53">
        <v>0.22588447812820089</v>
      </c>
      <c r="J53">
        <v>0.1222770684213456</v>
      </c>
      <c r="K53">
        <v>4.3874232950649556E-3</v>
      </c>
      <c r="L53">
        <v>-1.722389063477953E-2</v>
      </c>
      <c r="M53">
        <v>7.707825981549217E-2</v>
      </c>
      <c r="N53">
        <v>8.9996667231815583E-2</v>
      </c>
      <c r="O53">
        <v>-5.8515844924012073E-2</v>
      </c>
      <c r="P53">
        <v>-4.1094714479995617E-2</v>
      </c>
      <c r="Q53">
        <v>-9.326713694633549E-3</v>
      </c>
      <c r="R53">
        <v>-1.490870987328667E-3</v>
      </c>
      <c r="S53">
        <v>-1.4087871912135071E-2</v>
      </c>
      <c r="T53">
        <v>-2.3775657003096681E-2</v>
      </c>
      <c r="U53">
        <v>6.7978672059143902E-2</v>
      </c>
      <c r="V53">
        <v>-9.1125876640068215E-2</v>
      </c>
      <c r="W53">
        <v>-3.9306501957042904E-3</v>
      </c>
      <c r="X53">
        <v>-3.793104733959168E-3</v>
      </c>
      <c r="Y53">
        <v>7.5187586955089676E-3</v>
      </c>
    </row>
    <row r="54" spans="1:25" x14ac:dyDescent="0.35">
      <c r="A54" s="1" t="s">
        <v>70</v>
      </c>
      <c r="B54">
        <v>0.41450916088720691</v>
      </c>
      <c r="C54">
        <v>0</v>
      </c>
      <c r="D54">
        <v>0.53557851128298184</v>
      </c>
      <c r="E54">
        <v>-0.12000484158304529</v>
      </c>
      <c r="F54">
        <v>-5.9459251091066541E-2</v>
      </c>
      <c r="G54">
        <v>6.7474757774982699E-2</v>
      </c>
      <c r="H54">
        <v>-9.0800154966456416E-3</v>
      </c>
      <c r="I54">
        <v>0.22332810194273939</v>
      </c>
      <c r="J54">
        <v>0.1191179618784125</v>
      </c>
      <c r="K54">
        <v>1.403476883591792E-2</v>
      </c>
      <c r="L54">
        <v>-3.193906051197795E-3</v>
      </c>
      <c r="M54">
        <v>7.707825981549217E-2</v>
      </c>
      <c r="N54">
        <v>0.10521332486161759</v>
      </c>
      <c r="O54">
        <v>-5.7867667960613482E-2</v>
      </c>
      <c r="P54">
        <v>-4.2580117731315668E-2</v>
      </c>
      <c r="Q54">
        <v>-9.326713694633549E-3</v>
      </c>
      <c r="R54">
        <v>-9.9992891477678203E-3</v>
      </c>
      <c r="S54">
        <v>-2.3105304871478879E-4</v>
      </c>
      <c r="T54">
        <v>-1.473654102408912E-2</v>
      </c>
      <c r="U54">
        <v>8.2211298799071825E-2</v>
      </c>
      <c r="V54">
        <v>-5.6766737579704442E-2</v>
      </c>
      <c r="W54">
        <v>-2.692513511362096E-3</v>
      </c>
      <c r="X54">
        <v>-3.808842641889592E-3</v>
      </c>
      <c r="Y54">
        <v>-5.27117285475605E-3</v>
      </c>
    </row>
    <row r="55" spans="1:25" x14ac:dyDescent="0.35">
      <c r="A55" s="1" t="s">
        <v>71</v>
      </c>
      <c r="B55">
        <v>0.4432271088553465</v>
      </c>
      <c r="C55">
        <v>0</v>
      </c>
      <c r="D55">
        <v>0.53160076592420724</v>
      </c>
      <c r="E55">
        <v>-0.11254364508035911</v>
      </c>
      <c r="F55">
        <v>-4.0376515330403234E-3</v>
      </c>
      <c r="G55">
        <v>4.9416298472767503E-2</v>
      </c>
      <c r="H55">
        <v>-2.120865892822893E-2</v>
      </c>
      <c r="I55">
        <v>0.2233434095845685</v>
      </c>
      <c r="J55">
        <v>0.1166803364306504</v>
      </c>
      <c r="K55">
        <v>1.9394405247502931E-2</v>
      </c>
      <c r="L55">
        <v>2.1592400046463251E-2</v>
      </c>
      <c r="M55">
        <v>7.707825981549217E-2</v>
      </c>
      <c r="N55">
        <v>7.351195479952996E-2</v>
      </c>
      <c r="O55">
        <v>-5.5016613174899642E-2</v>
      </c>
      <c r="P55">
        <v>-3.7969976014343258E-2</v>
      </c>
      <c r="Q55">
        <v>-9.326713694633549E-3</v>
      </c>
      <c r="R55">
        <v>-9.9992891477678203E-3</v>
      </c>
      <c r="S55">
        <v>-2.3105304871478879E-4</v>
      </c>
      <c r="T55">
        <v>-3.8995576901327517E-2</v>
      </c>
      <c r="U55">
        <v>8.841187537409502E-2</v>
      </c>
      <c r="V55">
        <v>-5.261820185754283E-3</v>
      </c>
      <c r="W55">
        <v>1.22416865271396E-3</v>
      </c>
      <c r="X55">
        <v>-2.3998924615589081E-3</v>
      </c>
      <c r="Y55">
        <v>-1.880876646667002E-2</v>
      </c>
    </row>
    <row r="56" spans="1:25" x14ac:dyDescent="0.35">
      <c r="A56" s="1" t="s">
        <v>72</v>
      </c>
      <c r="B56">
        <v>0.58947479715779871</v>
      </c>
      <c r="C56">
        <v>0</v>
      </c>
      <c r="D56">
        <v>0.55427556363038266</v>
      </c>
      <c r="E56">
        <v>-3.075790418546849E-2</v>
      </c>
      <c r="F56">
        <v>5.4203356068703738E-2</v>
      </c>
      <c r="G56">
        <v>3.6009387985099901E-2</v>
      </c>
      <c r="H56">
        <v>-2.4255606340919101E-2</v>
      </c>
      <c r="I56">
        <v>0.2238638694067582</v>
      </c>
      <c r="J56">
        <v>0.1199795363901216</v>
      </c>
      <c r="K56">
        <v>5.4593505773819521E-3</v>
      </c>
      <c r="L56">
        <v>4.1702044616263742E-2</v>
      </c>
      <c r="M56">
        <v>7.707825981549217E-2</v>
      </c>
      <c r="N56">
        <v>8.6192502824365011E-2</v>
      </c>
      <c r="O56">
        <v>-4.7609585407766393E-2</v>
      </c>
      <c r="P56">
        <v>-2.4342128344153009E-2</v>
      </c>
      <c r="Q56">
        <v>2.6629561273028391E-2</v>
      </c>
      <c r="R56">
        <v>1.382428179883294E-2</v>
      </c>
      <c r="S56">
        <v>7.3996649458958413E-4</v>
      </c>
      <c r="T56">
        <v>-4.2288930952631337E-2</v>
      </c>
      <c r="U56">
        <v>7.8298318937731246E-2</v>
      </c>
      <c r="V56">
        <v>4.8781027278393528E-2</v>
      </c>
      <c r="W56">
        <v>5.4223287903102111E-3</v>
      </c>
      <c r="X56">
        <v>1.388535206475258E-4</v>
      </c>
      <c r="Y56">
        <v>-2.4394459861566631E-2</v>
      </c>
    </row>
    <row r="57" spans="1:25" x14ac:dyDescent="0.35">
      <c r="A57" s="1" t="s">
        <v>73</v>
      </c>
      <c r="B57">
        <v>0.57286683222579027</v>
      </c>
      <c r="C57">
        <v>0</v>
      </c>
      <c r="D57">
        <v>0.52121002862686638</v>
      </c>
      <c r="E57">
        <v>9.5219168291139668E-3</v>
      </c>
      <c r="F57">
        <v>4.3126803585201018E-2</v>
      </c>
      <c r="G57">
        <v>1.874995156265544E-2</v>
      </c>
      <c r="H57">
        <v>-1.9741868378046451E-2</v>
      </c>
      <c r="I57">
        <v>0.21671520067256331</v>
      </c>
      <c r="J57">
        <v>0.1159308366521718</v>
      </c>
      <c r="K57">
        <v>-9.5476313750560825E-3</v>
      </c>
      <c r="L57">
        <v>4.9184703060840648E-2</v>
      </c>
      <c r="M57">
        <v>6.5270526396948719E-2</v>
      </c>
      <c r="N57">
        <v>8.3656393219398051E-2</v>
      </c>
      <c r="O57">
        <v>-3.6346262708930349E-2</v>
      </c>
      <c r="P57">
        <v>3.119963004791248E-3</v>
      </c>
      <c r="Q57">
        <v>2.6587108373794209E-3</v>
      </c>
      <c r="R57">
        <v>3.9349539201284062E-2</v>
      </c>
      <c r="S57">
        <v>7.3996649458958413E-4</v>
      </c>
      <c r="T57">
        <v>-4.0908880865256757E-2</v>
      </c>
      <c r="U57">
        <v>5.9658832427912208E-2</v>
      </c>
      <c r="V57">
        <v>3.5721360916090773E-2</v>
      </c>
      <c r="W57">
        <v>7.4054426691102489E-3</v>
      </c>
      <c r="X57">
        <v>1.372884298591664E-3</v>
      </c>
      <c r="Y57">
        <v>-2.1114752676638121E-2</v>
      </c>
    </row>
    <row r="58" spans="1:25" x14ac:dyDescent="0.35">
      <c r="A58" s="1" t="s">
        <v>74</v>
      </c>
      <c r="B58">
        <v>0.51429712804782735</v>
      </c>
      <c r="C58">
        <v>0</v>
      </c>
      <c r="D58">
        <v>0.45047748593951831</v>
      </c>
      <c r="E58">
        <v>8.9759336681875967E-2</v>
      </c>
      <c r="F58">
        <v>-1.52522851297068E-2</v>
      </c>
      <c r="G58">
        <v>3.6012681028243722E-3</v>
      </c>
      <c r="H58">
        <v>-1.4288677546684369E-2</v>
      </c>
      <c r="I58">
        <v>0.20847968936850139</v>
      </c>
      <c r="J58">
        <v>0.1075322363307154</v>
      </c>
      <c r="K58">
        <v>-3.4201958868347052E-2</v>
      </c>
      <c r="L58">
        <v>3.2816387713328628E-2</v>
      </c>
      <c r="M58">
        <v>5.3462792978405282E-2</v>
      </c>
      <c r="N58">
        <v>8.2388338416914522E-2</v>
      </c>
      <c r="O58">
        <v>-2.1420639846771811E-2</v>
      </c>
      <c r="P58">
        <v>2.3618612195958021E-2</v>
      </c>
      <c r="Q58">
        <v>5.7054102474356522E-2</v>
      </c>
      <c r="R58">
        <v>1.97028257154362E-2</v>
      </c>
      <c r="S58">
        <v>1.080443614289704E-2</v>
      </c>
      <c r="T58">
        <v>-4.714485714946922E-2</v>
      </c>
      <c r="U58">
        <v>5.0746125252293592E-2</v>
      </c>
      <c r="V58">
        <v>-1.96437507810849E-2</v>
      </c>
      <c r="W58">
        <v>4.3914656513780997E-3</v>
      </c>
      <c r="X58">
        <v>-9.8222208885346608E-4</v>
      </c>
      <c r="Y58">
        <v>-1.33064554578309E-2</v>
      </c>
    </row>
    <row r="59" spans="1:25" x14ac:dyDescent="0.35">
      <c r="A59" s="1" t="s">
        <v>75</v>
      </c>
      <c r="B59">
        <v>0.43021753643155602</v>
      </c>
      <c r="C59">
        <v>0.5</v>
      </c>
      <c r="D59">
        <v>0.31996545851235791</v>
      </c>
      <c r="E59">
        <v>0.1208513105376466</v>
      </c>
      <c r="F59">
        <v>-5.0943611165930238E-3</v>
      </c>
      <c r="G59">
        <v>6.2539461325938914E-3</v>
      </c>
      <c r="H59">
        <v>-1.1758817634449361E-2</v>
      </c>
      <c r="I59">
        <v>0.19214643553683969</v>
      </c>
      <c r="J59">
        <v>9.759961309816724E-2</v>
      </c>
      <c r="K59">
        <v>-6.5287850055540081E-2</v>
      </c>
      <c r="L59">
        <v>9.9007462268118195E-3</v>
      </c>
      <c r="M59">
        <v>2.9847326141318301E-2</v>
      </c>
      <c r="N59">
        <v>5.5759187564760893E-2</v>
      </c>
      <c r="O59">
        <v>-8.763669532559094E-3</v>
      </c>
      <c r="P59">
        <v>3.899705784464079E-2</v>
      </c>
      <c r="Q59">
        <v>6.2585836240690335E-2</v>
      </c>
      <c r="R59">
        <v>1.7227649841977579E-2</v>
      </c>
      <c r="S59">
        <v>1.080443614289704E-2</v>
      </c>
      <c r="T59">
        <v>-3.0914713675056289E-2</v>
      </c>
      <c r="U59">
        <v>3.7168659807650183E-2</v>
      </c>
      <c r="V59">
        <v>-7.7842639705022103E-3</v>
      </c>
      <c r="W59">
        <v>2.6899028539091869E-3</v>
      </c>
      <c r="X59">
        <v>-5.688850760447755E-4</v>
      </c>
      <c r="Y59">
        <v>-1.1189932558404579E-2</v>
      </c>
    </row>
    <row r="60" spans="1:25" x14ac:dyDescent="0.35">
      <c r="A60" s="1" t="s">
        <v>76</v>
      </c>
      <c r="B60">
        <v>0.31392670152686541</v>
      </c>
      <c r="C60">
        <v>0.5</v>
      </c>
      <c r="D60">
        <v>0.23209575628664059</v>
      </c>
      <c r="E60">
        <v>0.14060099466843129</v>
      </c>
      <c r="F60">
        <v>-2.503681928249912E-2</v>
      </c>
      <c r="G60">
        <v>-2.1641926348163879E-2</v>
      </c>
      <c r="H60">
        <v>-1.2091303797543579E-2</v>
      </c>
      <c r="I60">
        <v>0.17650202558748801</v>
      </c>
      <c r="J60">
        <v>9.4699679375829487E-2</v>
      </c>
      <c r="K60">
        <v>-0.1070930140659031</v>
      </c>
      <c r="L60">
        <v>-1.2547229106918949E-2</v>
      </c>
      <c r="M60">
        <v>2.9847326141318301E-2</v>
      </c>
      <c r="N60">
        <v>5.0686968354826882E-2</v>
      </c>
      <c r="O60">
        <v>2.7168513814683709E-3</v>
      </c>
      <c r="P60">
        <v>4.9953850215763963E-2</v>
      </c>
      <c r="Q60">
        <v>2.6629561273028391E-2</v>
      </c>
      <c r="R60">
        <v>5.3692301604831377E-2</v>
      </c>
      <c r="S60">
        <v>7.6084301933392329E-3</v>
      </c>
      <c r="T60">
        <v>-4.3048518006052458E-2</v>
      </c>
      <c r="U60">
        <v>2.140659165788858E-2</v>
      </c>
      <c r="V60">
        <v>-2.9311269431769069E-2</v>
      </c>
      <c r="W60">
        <v>4.2744501492699488E-3</v>
      </c>
      <c r="X60">
        <v>-1.0834227820312159E-3</v>
      </c>
      <c r="Y60">
        <v>-1.1007881015512359E-2</v>
      </c>
    </row>
    <row r="61" spans="1:25" x14ac:dyDescent="0.35">
      <c r="A61" s="1" t="s">
        <v>77</v>
      </c>
      <c r="B61">
        <v>0.19626100708258351</v>
      </c>
      <c r="C61">
        <v>0.5</v>
      </c>
      <c r="D61">
        <v>0.1434082079363074</v>
      </c>
      <c r="E61">
        <v>0.1212205078223363</v>
      </c>
      <c r="F61">
        <v>-2.172098793948482E-2</v>
      </c>
      <c r="G61">
        <v>-3.4317996968599017E-2</v>
      </c>
      <c r="H61">
        <v>-1.232872376797634E-2</v>
      </c>
      <c r="I61">
        <v>0.1603218481741174</v>
      </c>
      <c r="J61">
        <v>8.9453180926479345E-2</v>
      </c>
      <c r="K61">
        <v>-0.13496312340614511</v>
      </c>
      <c r="L61">
        <v>-3.1253875218361253E-2</v>
      </c>
      <c r="M61">
        <v>1.803959272277475E-2</v>
      </c>
      <c r="N61">
        <v>4.18105847374423E-2</v>
      </c>
      <c r="O61">
        <v>1.2331535137908099E-2</v>
      </c>
      <c r="P61">
        <v>5.7740068793502658E-2</v>
      </c>
      <c r="Q61">
        <v>1.4644135369392391E-2</v>
      </c>
      <c r="R61">
        <v>2.88963383281939E-2</v>
      </c>
      <c r="S61">
        <v>7.6084301933392329E-3</v>
      </c>
      <c r="T61">
        <v>-3.6848798954924752E-2</v>
      </c>
      <c r="U61">
        <v>2.530801986325723E-3</v>
      </c>
      <c r="V61">
        <v>-2.6912124028827238E-2</v>
      </c>
      <c r="W61">
        <v>5.1911360893424144E-3</v>
      </c>
      <c r="X61">
        <v>-1.4524016282435939E-3</v>
      </c>
      <c r="Y61">
        <v>-1.087632213973274E-2</v>
      </c>
    </row>
    <row r="62" spans="1:25" x14ac:dyDescent="0.35">
      <c r="A62" s="1" t="s">
        <v>78</v>
      </c>
      <c r="B62">
        <v>2.5835035569923261E-2</v>
      </c>
      <c r="C62">
        <v>1</v>
      </c>
      <c r="D62">
        <v>7.5383853573826362E-2</v>
      </c>
      <c r="E62">
        <v>7.6666621474097071E-2</v>
      </c>
      <c r="F62">
        <v>-6.8336038268575774E-2</v>
      </c>
      <c r="G62">
        <v>-5.4849931511107772E-2</v>
      </c>
      <c r="H62">
        <v>-3.0294696983166332E-3</v>
      </c>
      <c r="I62">
        <v>0.1477848895160753</v>
      </c>
      <c r="J62">
        <v>8.08514451510427E-2</v>
      </c>
      <c r="K62">
        <v>-0.1596174508994361</v>
      </c>
      <c r="L62">
        <v>-4.2945529038012693E-2</v>
      </c>
      <c r="M62">
        <v>6.2318593042313122E-3</v>
      </c>
      <c r="N62">
        <v>4.3078639539925821E-2</v>
      </c>
      <c r="O62">
        <v>1.790197297506815E-2</v>
      </c>
      <c r="P62">
        <v>5.5865347696441282E-2</v>
      </c>
      <c r="Q62">
        <v>-9.326713694633549E-3</v>
      </c>
      <c r="R62">
        <v>1.1393305737971021E-2</v>
      </c>
      <c r="S62">
        <v>8.3270875925016744E-4</v>
      </c>
      <c r="T62">
        <v>-4.2148524552452583E-2</v>
      </c>
      <c r="U62">
        <v>-1.2701406958655201E-2</v>
      </c>
      <c r="V62">
        <v>-7.2505858239003712E-2</v>
      </c>
      <c r="W62">
        <v>4.169819970427942E-3</v>
      </c>
      <c r="X62">
        <v>-2.3651736732377151E-3</v>
      </c>
      <c r="Y62">
        <v>-6.642960250789182E-4</v>
      </c>
    </row>
    <row r="63" spans="1:25" x14ac:dyDescent="0.35">
      <c r="A63" s="1" t="s">
        <v>79</v>
      </c>
      <c r="B63">
        <v>-5.7036796162020405E-4</v>
      </c>
      <c r="C63">
        <v>1</v>
      </c>
      <c r="D63">
        <v>6.0874569681691602E-2</v>
      </c>
      <c r="E63">
        <v>3.680090000107851E-2</v>
      </c>
      <c r="F63">
        <v>-6.9109651502383365E-2</v>
      </c>
      <c r="G63">
        <v>-1.835808515381554E-2</v>
      </c>
      <c r="H63">
        <v>-1.0778100988191401E-2</v>
      </c>
      <c r="I63">
        <v>0.13899830310616529</v>
      </c>
      <c r="J63">
        <v>8.2938837057459719E-2</v>
      </c>
      <c r="K63">
        <v>-0.17891214198114211</v>
      </c>
      <c r="L63">
        <v>-3.7801201357366053E-2</v>
      </c>
      <c r="M63">
        <v>6.2318593042313122E-3</v>
      </c>
      <c r="N63">
        <v>4.9418913552343353E-2</v>
      </c>
      <c r="O63">
        <v>1.1671652737143681E-2</v>
      </c>
      <c r="P63">
        <v>5.1650997925995652E-2</v>
      </c>
      <c r="Q63">
        <v>-9.326713694633549E-3</v>
      </c>
      <c r="R63">
        <v>-1.8027745726677431E-2</v>
      </c>
      <c r="S63">
        <v>8.3270875925016744E-4</v>
      </c>
      <c r="T63">
        <v>-1.4041900236423351E-3</v>
      </c>
      <c r="U63">
        <v>-1.6953895130173209E-2</v>
      </c>
      <c r="V63">
        <v>-7.2190982177015944E-2</v>
      </c>
      <c r="W63">
        <v>3.0813306746325809E-3</v>
      </c>
      <c r="X63">
        <v>-2.9494050588604482E-3</v>
      </c>
      <c r="Y63">
        <v>-7.8286959293309508E-3</v>
      </c>
    </row>
    <row r="64" spans="1:25" x14ac:dyDescent="0.35">
      <c r="A64" s="1" t="s">
        <v>80</v>
      </c>
      <c r="B64">
        <v>-1.1044406637812771E-3</v>
      </c>
      <c r="C64">
        <v>1</v>
      </c>
      <c r="D64">
        <v>3.9448517589097593E-2</v>
      </c>
      <c r="E64">
        <v>3.2294330310950921E-2</v>
      </c>
      <c r="F64">
        <v>-5.5022029181791013E-2</v>
      </c>
      <c r="G64">
        <v>-1.052134155052268E-2</v>
      </c>
      <c r="H64">
        <v>-7.3039178315160973E-3</v>
      </c>
      <c r="I64">
        <v>0.13122202105697689</v>
      </c>
      <c r="J64">
        <v>7.9513553023104352E-2</v>
      </c>
      <c r="K64">
        <v>-0.1842717783927271</v>
      </c>
      <c r="L64">
        <v>-3.5930536746221833E-2</v>
      </c>
      <c r="M64">
        <v>-5.5758741143121281E-3</v>
      </c>
      <c r="N64">
        <v>5.4491132762277357E-2</v>
      </c>
      <c r="O64">
        <v>6.3595390039463493E-3</v>
      </c>
      <c r="P64">
        <v>5.0337257646731269E-2</v>
      </c>
      <c r="Q64">
        <v>2.658711294587098E-3</v>
      </c>
      <c r="R64">
        <v>-3.7226228462083621E-2</v>
      </c>
      <c r="S64">
        <v>1.016505082776983E-2</v>
      </c>
      <c r="T64">
        <v>1.3409208808237771E-2</v>
      </c>
      <c r="U64">
        <v>-2.393055035876045E-2</v>
      </c>
      <c r="V64">
        <v>-6.8044301961281417E-2</v>
      </c>
      <c r="W64">
        <v>1.3022272779490409E-2</v>
      </c>
      <c r="X64">
        <v>-2.752612909723172E-3</v>
      </c>
      <c r="Y64">
        <v>-4.5513049217929249E-3</v>
      </c>
    </row>
    <row r="65" spans="1:27" x14ac:dyDescent="0.35">
      <c r="A65" s="1" t="s">
        <v>81</v>
      </c>
      <c r="B65">
        <v>-1.3430138444297669E-2</v>
      </c>
      <c r="C65">
        <v>1</v>
      </c>
      <c r="D65">
        <v>4.928779599848887E-2</v>
      </c>
      <c r="E65">
        <v>2.7464468183422099E-2</v>
      </c>
      <c r="F65">
        <v>-7.355489806823641E-2</v>
      </c>
      <c r="G65">
        <v>-1.0617592434728519E-2</v>
      </c>
      <c r="H65">
        <v>-6.0099121232437139E-3</v>
      </c>
      <c r="I65">
        <v>0.12877279836431901</v>
      </c>
      <c r="J65">
        <v>7.8911151331990712E-2</v>
      </c>
      <c r="K65">
        <v>-0.18212792382809309</v>
      </c>
      <c r="L65">
        <v>-3.40598721350776E-2</v>
      </c>
      <c r="M65">
        <v>-5.5758741143121281E-3</v>
      </c>
      <c r="N65">
        <v>6.336751637966194E-2</v>
      </c>
      <c r="O65">
        <v>2.993688256535878E-3</v>
      </c>
      <c r="P65">
        <v>4.1660188520427383E-2</v>
      </c>
      <c r="Q65">
        <v>-9.326713694633549E-3</v>
      </c>
      <c r="R65">
        <v>-1.8027745726677431E-2</v>
      </c>
      <c r="S65">
        <v>1.016505082776983E-2</v>
      </c>
      <c r="T65">
        <v>1.194380081417875E-2</v>
      </c>
      <c r="U65">
        <v>-2.2561393248907269E-2</v>
      </c>
      <c r="V65">
        <v>-8.8306901654707254E-2</v>
      </c>
      <c r="W65">
        <v>1.475200358647084E-2</v>
      </c>
      <c r="X65">
        <v>-2.5217326236839708E-3</v>
      </c>
      <c r="Y65">
        <v>-3.4881794995597431E-3</v>
      </c>
    </row>
    <row r="66" spans="1:27" x14ac:dyDescent="0.35">
      <c r="A66" s="1" t="s">
        <v>82</v>
      </c>
      <c r="B66">
        <v>-3.7355474696075699E-3</v>
      </c>
      <c r="C66">
        <v>1</v>
      </c>
      <c r="D66">
        <v>7.3250687430598024E-2</v>
      </c>
      <c r="E66">
        <v>3.0099336994425251E-2</v>
      </c>
      <c r="F66">
        <v>-8.55434695141086E-2</v>
      </c>
      <c r="G66">
        <v>-2.2480366636398848E-2</v>
      </c>
      <c r="H66">
        <v>9.3826425587657932E-4</v>
      </c>
      <c r="I66">
        <v>0.12618580689519929</v>
      </c>
      <c r="J66">
        <v>7.4848442252387029E-2</v>
      </c>
      <c r="K66">
        <v>-0.17140865100492311</v>
      </c>
      <c r="L66">
        <v>-2.938321060721702E-2</v>
      </c>
      <c r="M66">
        <v>-5.5758741143121281E-3</v>
      </c>
      <c r="N66">
        <v>7.858417400946395E-2</v>
      </c>
      <c r="O66">
        <v>2.3420191774870241E-4</v>
      </c>
      <c r="P66">
        <v>3.275213829868321E-2</v>
      </c>
      <c r="Q66">
        <v>3.7482953845162509E-3</v>
      </c>
      <c r="R66">
        <v>-7.4467637645501579E-3</v>
      </c>
      <c r="S66">
        <v>8.1146515802724833E-4</v>
      </c>
      <c r="T66">
        <v>-8.132734643205684E-3</v>
      </c>
      <c r="U66">
        <v>-1.434763199319317E-2</v>
      </c>
      <c r="V66">
        <v>-0.10232817127703869</v>
      </c>
      <c r="W66">
        <v>1.6784701762930079E-2</v>
      </c>
      <c r="X66">
        <v>-2.7689929258482289E-3</v>
      </c>
      <c r="Y66">
        <v>3.7072571817248082E-3</v>
      </c>
    </row>
    <row r="67" spans="1:27" x14ac:dyDescent="0.35">
      <c r="A67" s="1" t="s">
        <v>83</v>
      </c>
      <c r="B67">
        <v>-2.368793072880725E-2</v>
      </c>
      <c r="C67">
        <v>1</v>
      </c>
      <c r="D67">
        <v>8.940367176069422E-2</v>
      </c>
      <c r="E67">
        <v>-1.00669849421165E-2</v>
      </c>
      <c r="F67">
        <v>-6.6011473301298931E-2</v>
      </c>
      <c r="G67">
        <v>-4.1270922159734227E-2</v>
      </c>
      <c r="H67">
        <v>4.2577779136481683E-3</v>
      </c>
      <c r="I67">
        <v>0.1225119728562126</v>
      </c>
      <c r="J67">
        <v>7.4806414227425608E-2</v>
      </c>
      <c r="K67">
        <v>-0.1585455236171191</v>
      </c>
      <c r="L67">
        <v>-3.1253875218361253E-2</v>
      </c>
      <c r="M67">
        <v>-5.5758741143121281E-3</v>
      </c>
      <c r="N67">
        <v>8.746055762684854E-2</v>
      </c>
      <c r="O67">
        <v>-4.794812652666779E-3</v>
      </c>
      <c r="P67">
        <v>2.3452467739221081E-2</v>
      </c>
      <c r="Q67">
        <v>-9.326713694633549E-3</v>
      </c>
      <c r="R67">
        <v>-2.02093914920645E-2</v>
      </c>
      <c r="S67">
        <v>8.1146515802724833E-4</v>
      </c>
      <c r="T67">
        <v>-2.462931165214537E-2</v>
      </c>
      <c r="U67">
        <v>-1.6641610507588851E-2</v>
      </c>
      <c r="V67">
        <v>-7.7883889228394093E-2</v>
      </c>
      <c r="W67">
        <v>1.187241592709517E-2</v>
      </c>
      <c r="X67">
        <v>-2.648120244338136E-3</v>
      </c>
      <c r="Y67">
        <v>6.9058981579863043E-3</v>
      </c>
    </row>
    <row r="68" spans="1:27" x14ac:dyDescent="0.35">
      <c r="A68" s="1" t="s">
        <v>84</v>
      </c>
      <c r="B68">
        <v>-1.5081489416440949E-2</v>
      </c>
      <c r="C68">
        <v>1</v>
      </c>
      <c r="D68">
        <v>0.1177940348169985</v>
      </c>
      <c r="E68">
        <v>2.272014369216576E-2</v>
      </c>
      <c r="F68">
        <v>-0.1020843132964132</v>
      </c>
      <c r="G68">
        <v>-6.3461272030679527E-2</v>
      </c>
      <c r="H68">
        <v>9.9499174014875888E-3</v>
      </c>
      <c r="I68">
        <v>0.1212261309425673</v>
      </c>
      <c r="J68">
        <v>8.1418823488021833E-2</v>
      </c>
      <c r="K68">
        <v>-0.1499701053585831</v>
      </c>
      <c r="L68">
        <v>-2.564188138492856E-2</v>
      </c>
      <c r="M68">
        <v>-5.5758741143121281E-3</v>
      </c>
      <c r="N68">
        <v>9.6336941244233115E-2</v>
      </c>
      <c r="O68">
        <v>-7.0186388359286906E-3</v>
      </c>
      <c r="P68">
        <v>1.9660545931175059E-2</v>
      </c>
      <c r="Q68">
        <v>-9.326713694633549E-3</v>
      </c>
      <c r="R68">
        <v>1.382428244797375E-2</v>
      </c>
      <c r="S68" s="9">
        <v>5.5806678435791927E-3</v>
      </c>
      <c r="T68">
        <v>-4.6510396464489089E-2</v>
      </c>
      <c r="U68">
        <v>-1.6950875566190449E-2</v>
      </c>
      <c r="V68">
        <v>-0.112364742133269</v>
      </c>
      <c r="W68">
        <v>1.0280428836855799E-2</v>
      </c>
      <c r="X68">
        <v>-3.2643214972270301E-3</v>
      </c>
      <c r="Y68">
        <v>1.321423889871462E-2</v>
      </c>
    </row>
    <row r="69" spans="1:27" x14ac:dyDescent="0.35">
      <c r="A69" s="1" t="s">
        <v>85</v>
      </c>
      <c r="B69">
        <v>-1.389826660174899E-2</v>
      </c>
      <c r="C69">
        <v>1</v>
      </c>
      <c r="D69">
        <v>0.13686539378563839</v>
      </c>
      <c r="E69">
        <v>6.3115894370038544E-3</v>
      </c>
      <c r="F69">
        <v>-9.8150536262722937E-2</v>
      </c>
      <c r="G69">
        <v>-6.9836620913479613E-2</v>
      </c>
      <c r="H69">
        <v>1.091190735181127E-2</v>
      </c>
      <c r="I69">
        <v>0.1175676045454096</v>
      </c>
      <c r="J69">
        <v>8.0809417126081279E-2</v>
      </c>
      <c r="K69">
        <v>-0.15425781448785111</v>
      </c>
      <c r="L69">
        <v>-2.377121677378433E-2</v>
      </c>
      <c r="M69" s="9">
        <v>6.2318593042313122E-3</v>
      </c>
      <c r="N69" s="9">
        <v>0.1102855440715516</v>
      </c>
      <c r="O69">
        <v>-6.6628626386774654E-3</v>
      </c>
      <c r="P69">
        <v>1.9913052448781051E-2</v>
      </c>
      <c r="Q69">
        <v>-9.326713694633549E-3</v>
      </c>
      <c r="R69">
        <v>-3.192554522045375E-3</v>
      </c>
      <c r="S69" s="9">
        <v>5.5806678435791927E-3</v>
      </c>
      <c r="T69">
        <v>-5.2040572783776128E-2</v>
      </c>
      <c r="U69">
        <v>-1.7796048129703469E-2</v>
      </c>
      <c r="V69">
        <v>-0.11442318231686879</v>
      </c>
      <c r="W69">
        <v>1.6272646054145919E-2</v>
      </c>
      <c r="X69">
        <v>-3.0527730214209032E-3</v>
      </c>
      <c r="Y69">
        <v>1.3964680373232169E-2</v>
      </c>
    </row>
    <row r="70" spans="1:27" x14ac:dyDescent="0.35">
      <c r="A70" s="1" t="s">
        <v>86</v>
      </c>
      <c r="B70">
        <v>-1.802103738403403E-2</v>
      </c>
      <c r="C70">
        <v>1</v>
      </c>
      <c r="D70">
        <v>0.13436377580403941</v>
      </c>
      <c r="E70">
        <v>2.1087579584774072E-2</v>
      </c>
      <c r="F70">
        <v>-0.1028601572103827</v>
      </c>
      <c r="G70">
        <v>-8.5141831038056948E-2</v>
      </c>
      <c r="H70">
        <v>1.45295954755922E-2</v>
      </c>
      <c r="I70" s="9">
        <v>0.1151030742109227</v>
      </c>
      <c r="J70" s="9">
        <v>8.2175327937327361E-2</v>
      </c>
      <c r="K70">
        <v>-0.15425781448785111</v>
      </c>
      <c r="L70">
        <v>-2.517421523214251E-2</v>
      </c>
      <c r="M70" s="9">
        <v>6.2318593042313122E-3</v>
      </c>
      <c r="N70" s="9">
        <v>0.1102855440715516</v>
      </c>
      <c r="O70">
        <v>-2.2107110599879978E-3</v>
      </c>
      <c r="P70">
        <v>2.1158330216257529E-2</v>
      </c>
      <c r="Q70">
        <v>5.0557962924312298E-3</v>
      </c>
      <c r="R70">
        <v>-8.496503707505881E-3</v>
      </c>
      <c r="S70" s="9">
        <v>5.5806678435791927E-3</v>
      </c>
      <c r="T70" s="9">
        <v>-6.6309864651984726E-2</v>
      </c>
      <c r="U70" s="9">
        <v>-1.8831966386072221E-2</v>
      </c>
      <c r="V70">
        <v>-0.114458375841836</v>
      </c>
      <c r="W70">
        <v>1.15982186314533E-2</v>
      </c>
      <c r="X70">
        <v>-3.4504100217869118E-3</v>
      </c>
      <c r="Y70">
        <v>1.798000549737911E-2</v>
      </c>
      <c r="Z70">
        <v>1000</v>
      </c>
    </row>
    <row r="71" spans="1:27" x14ac:dyDescent="0.35">
      <c r="A71" s="1" t="s">
        <v>93</v>
      </c>
      <c r="B71">
        <v>3.5066555421580069E-2</v>
      </c>
      <c r="C71">
        <v>1</v>
      </c>
      <c r="D71">
        <v>0.14872483156366231</v>
      </c>
      <c r="E71">
        <v>5.8424826415418032E-2</v>
      </c>
      <c r="F71">
        <v>-0.1048515448194853</v>
      </c>
      <c r="G71">
        <v>-8.5141831038056948E-2</v>
      </c>
      <c r="H71">
        <v>1.791027330004203E-2</v>
      </c>
      <c r="I71" s="9">
        <v>0.1151030742109227</v>
      </c>
      <c r="J71" s="9">
        <v>8.2175327937327361E-2</v>
      </c>
      <c r="K71" s="9">
        <v>-0.15532974177016809</v>
      </c>
      <c r="L71" s="9">
        <v>-9.7412321902026096E-3</v>
      </c>
      <c r="M71" s="9">
        <v>6.2318593042313122E-3</v>
      </c>
      <c r="N71" s="9">
        <v>0.1102855440715516</v>
      </c>
      <c r="O71" s="9">
        <v>-2.573015553794614E-3</v>
      </c>
      <c r="P71" s="9">
        <v>2.34457342415888E-2</v>
      </c>
      <c r="Q71">
        <v>3.7482953845162509E-3</v>
      </c>
      <c r="R71">
        <v>2.82231444995284E-2</v>
      </c>
      <c r="S71" s="9">
        <v>5.5806678435791927E-3</v>
      </c>
      <c r="T71" s="9">
        <v>-6.6309864651984726E-2</v>
      </c>
      <c r="U71" s="9">
        <v>-1.8831966386072221E-2</v>
      </c>
      <c r="V71">
        <v>-0.1154855144291566</v>
      </c>
      <c r="W71">
        <v>1.063396960967132E-2</v>
      </c>
      <c r="X71">
        <v>-2.885277433212157E-3</v>
      </c>
      <c r="Y71" s="9">
        <v>2.0795550733254179E-2</v>
      </c>
      <c r="Z71">
        <v>1000</v>
      </c>
    </row>
    <row r="72" spans="1:27" x14ac:dyDescent="0.35">
      <c r="A72" s="1" t="s">
        <v>117</v>
      </c>
      <c r="B72">
        <v>6.274798388346646E-2</v>
      </c>
      <c r="C72">
        <v>1</v>
      </c>
      <c r="D72">
        <v>0.14872483156366231</v>
      </c>
      <c r="E72">
        <v>8.4262463222082168E-2</v>
      </c>
      <c r="F72">
        <v>-0.1022125799362711</v>
      </c>
      <c r="G72">
        <v>-8.5141831038056948E-2</v>
      </c>
      <c r="H72">
        <v>1.711510007205011E-2</v>
      </c>
      <c r="I72" s="9">
        <v>0.1151030742109227</v>
      </c>
      <c r="J72" s="9">
        <v>8.2175327937327361E-2</v>
      </c>
      <c r="K72" s="9">
        <v>-0.15532974177016809</v>
      </c>
      <c r="L72" s="9">
        <v>-9.7412321902026096E-3</v>
      </c>
      <c r="M72" s="9">
        <v>6.2318593042313122E-3</v>
      </c>
      <c r="N72" s="9">
        <v>0.1102855440715516</v>
      </c>
      <c r="O72" s="9">
        <v>-2.573015553794614E-3</v>
      </c>
      <c r="P72" s="9">
        <v>2.34457342415888E-2</v>
      </c>
      <c r="Q72">
        <v>1.6823304463666051E-2</v>
      </c>
      <c r="R72">
        <v>4.0985772227042742E-2</v>
      </c>
      <c r="S72" s="9">
        <v>5.5806678435791927E-3</v>
      </c>
      <c r="T72" s="9">
        <v>-6.6309864651984726E-2</v>
      </c>
      <c r="U72" s="9">
        <v>-1.8831966386072221E-2</v>
      </c>
      <c r="V72">
        <v>-0.1193093042799984</v>
      </c>
      <c r="W72">
        <v>1.709672434372729E-2</v>
      </c>
      <c r="X72">
        <v>-3.6804506612040729E-3</v>
      </c>
      <c r="Y72" s="9">
        <v>2.0795550733254179E-2</v>
      </c>
      <c r="Z72">
        <v>1000</v>
      </c>
    </row>
    <row r="74" spans="1:27" x14ac:dyDescent="0.35">
      <c r="B74" s="8"/>
      <c r="C74" s="3"/>
      <c r="D74" s="3"/>
      <c r="E74" s="3"/>
      <c r="F74" s="3"/>
      <c r="G74" s="3"/>
      <c r="H74" s="3"/>
      <c r="I74" s="3"/>
      <c r="J74" s="3" t="s">
        <v>118</v>
      </c>
      <c r="K74" s="3" t="s">
        <v>118</v>
      </c>
      <c r="L74" s="3" t="s">
        <v>118</v>
      </c>
      <c r="M74" s="3" t="s">
        <v>118</v>
      </c>
      <c r="N74" s="3" t="s">
        <v>118</v>
      </c>
      <c r="O74" s="3" t="s">
        <v>118</v>
      </c>
      <c r="P74" s="3" t="s">
        <v>118</v>
      </c>
      <c r="Q74" s="3" t="s">
        <v>118</v>
      </c>
      <c r="R74" s="3"/>
      <c r="S74" s="3"/>
      <c r="T74" s="3"/>
      <c r="U74" s="3"/>
      <c r="V74" s="3"/>
      <c r="W74" s="3"/>
      <c r="X74" s="3"/>
      <c r="Y74" s="3"/>
      <c r="Z74" s="3"/>
    </row>
    <row r="75" spans="1:27" x14ac:dyDescent="0.35">
      <c r="AA75" s="10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8F2C-B9EE-4A1C-8647-1F1DE5B605C2}">
  <dimension ref="A1:AM201"/>
  <sheetViews>
    <sheetView topLeftCell="H1" zoomScale="80" zoomScaleNormal="80" workbookViewId="0">
      <selection activeCell="L12" sqref="L12"/>
    </sheetView>
  </sheetViews>
  <sheetFormatPr baseColWidth="10" defaultRowHeight="14.5" x14ac:dyDescent="0.35"/>
  <cols>
    <col min="1" max="1" width="10.81640625" style="4" bestFit="1" customWidth="1"/>
    <col min="2" max="5" width="12.90625" style="4" bestFit="1" customWidth="1"/>
    <col min="6" max="6" width="12.90625" bestFit="1" customWidth="1"/>
    <col min="7" max="7" width="14.90625" bestFit="1" customWidth="1"/>
    <col min="8" max="8" width="9.54296875" bestFit="1" customWidth="1"/>
    <col min="9" max="9" width="12.1796875" bestFit="1" customWidth="1"/>
    <col min="10" max="10" width="12.90625" bestFit="1" customWidth="1"/>
    <col min="11" max="11" width="14.6328125" bestFit="1" customWidth="1"/>
    <col min="12" max="12" width="24.54296875" bestFit="1" customWidth="1"/>
    <col min="13" max="13" width="12.1796875" bestFit="1" customWidth="1"/>
    <col min="15" max="15" width="16" customWidth="1"/>
    <col min="16" max="16" width="23.81640625" bestFit="1" customWidth="1"/>
    <col min="17" max="17" width="28.36328125" bestFit="1" customWidth="1"/>
    <col min="18" max="18" width="25.1796875" bestFit="1" customWidth="1"/>
    <col min="19" max="19" width="28.54296875" bestFit="1" customWidth="1"/>
    <col min="20" max="20" width="17.81640625" bestFit="1" customWidth="1"/>
    <col min="21" max="21" width="12.90625" bestFit="1" customWidth="1"/>
    <col min="22" max="22" width="14.90625" bestFit="1" customWidth="1"/>
    <col min="23" max="25" width="12.1796875" bestFit="1" customWidth="1"/>
    <col min="26" max="26" width="14.90625" bestFit="1" customWidth="1"/>
    <col min="27" max="16384" width="10.90625" style="4"/>
  </cols>
  <sheetData>
    <row r="1" spans="1:39" x14ac:dyDescent="0.35">
      <c r="A1" s="4" t="s">
        <v>96</v>
      </c>
      <c r="B1" s="4" t="s">
        <v>97</v>
      </c>
      <c r="C1" s="4" t="s">
        <v>98</v>
      </c>
      <c r="D1" s="4" t="s">
        <v>99</v>
      </c>
      <c r="E1" s="4" t="s">
        <v>100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  <c r="M1" s="6" t="s">
        <v>89</v>
      </c>
      <c r="N1" s="6" t="s">
        <v>89</v>
      </c>
      <c r="P1" s="7" t="s">
        <v>113</v>
      </c>
      <c r="Q1" s="7" t="s">
        <v>116</v>
      </c>
      <c r="R1" s="7" t="s">
        <v>114</v>
      </c>
      <c r="S1" s="7" t="s">
        <v>115</v>
      </c>
      <c r="AC1" s="4" t="s">
        <v>103</v>
      </c>
      <c r="AD1" s="4" t="s">
        <v>104</v>
      </c>
      <c r="AE1" s="4" t="s">
        <v>105</v>
      </c>
      <c r="AF1" s="4" t="s">
        <v>106</v>
      </c>
      <c r="AG1" s="4" t="s">
        <v>107</v>
      </c>
      <c r="AH1" s="4" t="s">
        <v>101</v>
      </c>
      <c r="AI1" s="4" t="s">
        <v>102</v>
      </c>
      <c r="AJ1" s="4" t="s">
        <v>108</v>
      </c>
      <c r="AK1" s="4" t="s">
        <v>109</v>
      </c>
      <c r="AL1" s="4" t="s">
        <v>110</v>
      </c>
      <c r="AM1" s="4" t="s">
        <v>111</v>
      </c>
    </row>
    <row r="2" spans="1:39" x14ac:dyDescent="0.35">
      <c r="A2" s="5">
        <v>28460</v>
      </c>
      <c r="B2" s="4">
        <v>4.8242420453952404</v>
      </c>
      <c r="C2" s="4">
        <v>0.75332527352524203</v>
      </c>
      <c r="D2" s="4">
        <v>1.7447157936569799</v>
      </c>
      <c r="E2" s="4">
        <v>1.03446143744368</v>
      </c>
      <c r="H2" s="5" t="s">
        <v>18</v>
      </c>
      <c r="I2" s="4">
        <v>7.2640528688311203</v>
      </c>
      <c r="J2" s="4">
        <v>8.8399689216215407</v>
      </c>
      <c r="K2" s="4">
        <v>6.2346299650100496</v>
      </c>
      <c r="L2" s="4">
        <v>4.69152867208782</v>
      </c>
      <c r="M2" s="2">
        <v>0.75657260680795979</v>
      </c>
      <c r="N2">
        <f t="shared" ref="N2:N54" si="0">M2*10</f>
        <v>7.5657260680795977</v>
      </c>
      <c r="P2">
        <f>CORREL(I$2:I$69,$M$2:$M$69)</f>
        <v>0.37356082531962875</v>
      </c>
      <c r="Q2">
        <f>CORREL(J$2:J$69,$M$2:$M$69)</f>
        <v>0.48100374450295452</v>
      </c>
      <c r="R2">
        <f>CORREL(K$2:K$69,$M$2:$M$69)</f>
        <v>0.27374634894939032</v>
      </c>
      <c r="S2">
        <f>CORREL(L$2:L$69,$M$2:$M$69)</f>
        <v>4.8461159846073507E-2</v>
      </c>
      <c r="AC2" s="4">
        <v>249782400</v>
      </c>
      <c r="AD2" s="4">
        <v>4.8084267290613303</v>
      </c>
      <c r="AE2" s="4">
        <v>1.1542506502801499</v>
      </c>
      <c r="AF2" s="4">
        <v>2.1640911197557702</v>
      </c>
      <c r="AG2" s="4">
        <v>1.3421856062983599</v>
      </c>
      <c r="AH2" s="4">
        <v>-0.708981706797849</v>
      </c>
      <c r="AI2" s="4">
        <v>2.8730728265534502</v>
      </c>
      <c r="AJ2" s="4">
        <v>0.87763335283166599</v>
      </c>
      <c r="AK2" s="4">
        <v>0</v>
      </c>
      <c r="AL2" s="4">
        <v>5.1278474923678499E-2</v>
      </c>
      <c r="AM2" s="4">
        <v>0</v>
      </c>
    </row>
    <row r="3" spans="1:39" x14ac:dyDescent="0.35">
      <c r="A3" s="5">
        <v>28550</v>
      </c>
      <c r="B3" s="4">
        <v>6.6688239058026202</v>
      </c>
      <c r="C3" s="4">
        <v>1.9034443509597401</v>
      </c>
      <c r="D3" s="4">
        <v>3.4027101232302899</v>
      </c>
      <c r="E3" s="4">
        <v>2.3286025699978401</v>
      </c>
      <c r="H3" s="5" t="s">
        <v>19</v>
      </c>
      <c r="I3" s="4">
        <v>6.9102009555326802</v>
      </c>
      <c r="J3" s="4">
        <v>7.9189638571554601</v>
      </c>
      <c r="K3" s="4">
        <v>6.9950949318419502</v>
      </c>
      <c r="L3" s="4">
        <v>4.7808556637245596</v>
      </c>
      <c r="M3" s="3">
        <v>0.46359404901570389</v>
      </c>
      <c r="N3">
        <f t="shared" si="0"/>
        <v>4.6359404901570391</v>
      </c>
      <c r="AC3" s="4">
        <v>257558400</v>
      </c>
      <c r="AD3" s="4">
        <v>6.6742208427646297</v>
      </c>
      <c r="AE3" s="4">
        <v>1.88357076221942</v>
      </c>
      <c r="AF3" s="4">
        <v>3.2074785931864902</v>
      </c>
      <c r="AG3" s="4">
        <v>2.1299547877222</v>
      </c>
      <c r="AH3" s="4">
        <v>-0.55913972820865399</v>
      </c>
      <c r="AI3" s="4">
        <v>3.7666183213950402</v>
      </c>
      <c r="AJ3" s="4">
        <v>1.4606940133639501</v>
      </c>
      <c r="AK3" s="4">
        <v>0</v>
      </c>
      <c r="AL3" s="4">
        <v>0.37733706037077902</v>
      </c>
      <c r="AM3" s="4">
        <v>4.06108711631867E-2</v>
      </c>
    </row>
    <row r="4" spans="1:39" x14ac:dyDescent="0.35">
      <c r="A4" s="5">
        <v>28642</v>
      </c>
      <c r="B4" s="4">
        <v>4.3466765203266702</v>
      </c>
      <c r="C4" s="4">
        <v>0.98811209974407699</v>
      </c>
      <c r="D4" s="4">
        <v>2.04477099161093</v>
      </c>
      <c r="E4" s="4">
        <v>1.28775691316267</v>
      </c>
      <c r="H4" s="5" t="s">
        <v>20</v>
      </c>
      <c r="I4" s="4">
        <v>6.1919099975947303</v>
      </c>
      <c r="J4" s="4">
        <v>7.1112710194848097</v>
      </c>
      <c r="K4" s="4">
        <v>7.2342899645893697</v>
      </c>
      <c r="L4" s="4">
        <v>5.1095764594055701</v>
      </c>
      <c r="M4" s="2">
        <v>0.23002541559078621</v>
      </c>
      <c r="N4">
        <f t="shared" si="0"/>
        <v>2.300254155907862</v>
      </c>
      <c r="AC4" s="4">
        <v>265507200</v>
      </c>
      <c r="AD4" s="4">
        <v>4.3513981317721502</v>
      </c>
      <c r="AE4" s="4">
        <v>0.97200970234620299</v>
      </c>
      <c r="AF4" s="4">
        <v>1.9059119348981799</v>
      </c>
      <c r="AG4" s="4">
        <v>1.1458122784017699</v>
      </c>
      <c r="AH4" s="4">
        <v>-0.75111084058658095</v>
      </c>
      <c r="AI4" s="4">
        <v>2.6570227754847102</v>
      </c>
      <c r="AJ4" s="4">
        <v>0.73481191617879804</v>
      </c>
      <c r="AK4" s="4">
        <v>0</v>
      </c>
      <c r="AL4" s="4">
        <v>0</v>
      </c>
      <c r="AM4" s="4">
        <v>0</v>
      </c>
    </row>
    <row r="5" spans="1:39" x14ac:dyDescent="0.35">
      <c r="A5" s="5">
        <v>28734</v>
      </c>
      <c r="B5" s="4">
        <v>1.10321286586671</v>
      </c>
      <c r="C5" s="4">
        <v>-0.22873861865612999</v>
      </c>
      <c r="D5" s="4">
        <v>0.19031494215427799</v>
      </c>
      <c r="E5" s="4">
        <v>-0.10990440734355</v>
      </c>
      <c r="H5" s="5" t="s">
        <v>21</v>
      </c>
      <c r="I5" s="4">
        <v>5.9609576398350299</v>
      </c>
      <c r="J5" s="4">
        <v>7.3410109772444301</v>
      </c>
      <c r="K5" s="4">
        <v>7.7126884821118002</v>
      </c>
      <c r="L5" s="4">
        <v>4.7394926709013001</v>
      </c>
      <c r="M5" s="3">
        <v>1.9355430846176351E-2</v>
      </c>
      <c r="N5">
        <f t="shared" si="0"/>
        <v>0.19355430846176352</v>
      </c>
      <c r="AC5" s="4">
        <v>273456000</v>
      </c>
      <c r="AD5" s="4">
        <v>1.0892817250779701</v>
      </c>
      <c r="AE5" s="4">
        <v>-0.246746352973959</v>
      </c>
      <c r="AF5" s="4">
        <v>0.12246826407931</v>
      </c>
      <c r="AG5" s="4">
        <v>-0.178034180195555</v>
      </c>
      <c r="AH5" s="4">
        <v>-0.92797536091528399</v>
      </c>
      <c r="AI5" s="4">
        <v>1.0504436249946101</v>
      </c>
      <c r="AJ5" s="4">
        <v>0</v>
      </c>
      <c r="AK5" s="4">
        <v>0</v>
      </c>
      <c r="AL5" s="4">
        <v>0</v>
      </c>
      <c r="AM5" s="4">
        <v>0</v>
      </c>
    </row>
    <row r="6" spans="1:39" x14ac:dyDescent="0.35">
      <c r="A6" s="5">
        <v>28825</v>
      </c>
      <c r="B6" s="4">
        <v>1.6500318652450501</v>
      </c>
      <c r="C6" s="4">
        <v>6.7053866288787303E-2</v>
      </c>
      <c r="D6" s="4">
        <v>0.56508444387012002</v>
      </c>
      <c r="E6" s="4">
        <v>0.20828419203037499</v>
      </c>
      <c r="H6" s="5" t="s">
        <v>22</v>
      </c>
      <c r="I6" s="4">
        <v>5.5298956320235204</v>
      </c>
      <c r="J6" s="4">
        <v>6.93661120708492</v>
      </c>
      <c r="K6" s="4">
        <v>7.6163782162268401</v>
      </c>
      <c r="L6" s="4">
        <v>6.01575860915269</v>
      </c>
      <c r="M6" s="2">
        <v>-8.5484605761988158E-2</v>
      </c>
      <c r="N6">
        <f t="shared" si="0"/>
        <v>-0.85484605761988153</v>
      </c>
      <c r="AC6" s="4">
        <v>281318400</v>
      </c>
      <c r="AD6" s="4">
        <v>1.64257395826653</v>
      </c>
      <c r="AE6" s="4">
        <v>5.20076015203682E-2</v>
      </c>
      <c r="AF6" s="4">
        <v>0.49156449254032603</v>
      </c>
      <c r="AG6" s="4">
        <v>0.13381072535861499</v>
      </c>
      <c r="AH6" s="4">
        <v>-0.75900824393324495</v>
      </c>
      <c r="AI6" s="4">
        <v>1.2505727364735999</v>
      </c>
      <c r="AJ6" s="4">
        <v>0</v>
      </c>
      <c r="AK6" s="4">
        <v>0</v>
      </c>
      <c r="AL6" s="4">
        <v>0</v>
      </c>
      <c r="AM6" s="4">
        <v>0</v>
      </c>
    </row>
    <row r="7" spans="1:39" x14ac:dyDescent="0.35">
      <c r="A7" s="5">
        <v>28915</v>
      </c>
      <c r="B7" s="4">
        <v>-0.68965437603918001</v>
      </c>
      <c r="C7" s="4">
        <v>-0.66614026135419102</v>
      </c>
      <c r="D7" s="4">
        <v>-0.67353818357770401</v>
      </c>
      <c r="E7" s="4">
        <v>-0.66823814652924995</v>
      </c>
      <c r="H7" s="5" t="s">
        <v>23</v>
      </c>
      <c r="I7" s="4">
        <v>7.5392077262906598</v>
      </c>
      <c r="J7" s="4">
        <v>8.2406856464869698</v>
      </c>
      <c r="K7" s="4">
        <v>8.6866565803964306</v>
      </c>
      <c r="L7" s="4">
        <v>7.3827928456950698</v>
      </c>
      <c r="M7" s="3">
        <v>-1.509235231150551E-2</v>
      </c>
      <c r="N7">
        <f t="shared" si="0"/>
        <v>-0.15092352311505511</v>
      </c>
      <c r="AC7" s="4">
        <v>289094400</v>
      </c>
      <c r="AD7" s="4">
        <v>-0.73096699438306001</v>
      </c>
      <c r="AE7" s="4">
        <v>-0.69018418108569102</v>
      </c>
      <c r="AF7" s="4">
        <v>-0.70145461098256701</v>
      </c>
      <c r="AG7" s="4">
        <v>-0.69228164876595999</v>
      </c>
      <c r="AH7" s="4">
        <v>-0.66938938200922704</v>
      </c>
      <c r="AI7" s="4">
        <v>-3.2065228973312897E-2</v>
      </c>
      <c r="AJ7" s="4">
        <v>0</v>
      </c>
      <c r="AK7" s="4">
        <v>0</v>
      </c>
      <c r="AL7" s="4">
        <v>0</v>
      </c>
      <c r="AM7" s="4">
        <v>0</v>
      </c>
    </row>
    <row r="8" spans="1:39" x14ac:dyDescent="0.35">
      <c r="A8" s="5">
        <v>29007</v>
      </c>
      <c r="B8" s="4">
        <v>-1.02121518661821</v>
      </c>
      <c r="C8" s="4">
        <v>-0.30458838470008498</v>
      </c>
      <c r="D8" s="4">
        <v>-0.53005081077599303</v>
      </c>
      <c r="E8" s="4">
        <v>-0.36852448282448802</v>
      </c>
      <c r="H8" s="5" t="s">
        <v>24</v>
      </c>
      <c r="I8" s="4">
        <v>6.1721173687827298</v>
      </c>
      <c r="J8" s="4">
        <v>7.1530181963857604</v>
      </c>
      <c r="K8" s="4">
        <v>8.0340658755435097</v>
      </c>
      <c r="L8" s="4">
        <v>6.2537848561224303</v>
      </c>
      <c r="M8" s="2">
        <v>2.0321401976300581E-2</v>
      </c>
      <c r="N8">
        <f t="shared" si="0"/>
        <v>0.20321401976300582</v>
      </c>
      <c r="AC8" s="4">
        <v>297043200</v>
      </c>
      <c r="AD8" s="4">
        <v>-1.0833669923840601</v>
      </c>
      <c r="AE8" s="4">
        <v>-0.33195754214715401</v>
      </c>
      <c r="AF8" s="4">
        <v>-0.53961137590788899</v>
      </c>
      <c r="AG8" s="4">
        <v>-0.37060267006035003</v>
      </c>
      <c r="AH8" s="4">
        <v>5.1179551115881398E-2</v>
      </c>
      <c r="AI8" s="4">
        <v>-0.59079092702368896</v>
      </c>
      <c r="AJ8" s="4">
        <v>0</v>
      </c>
      <c r="AK8" s="4">
        <v>0</v>
      </c>
      <c r="AL8" s="4">
        <v>0</v>
      </c>
      <c r="AM8" s="4">
        <v>0</v>
      </c>
    </row>
    <row r="9" spans="1:39" x14ac:dyDescent="0.35">
      <c r="A9" s="5">
        <v>29099</v>
      </c>
      <c r="B9" s="4">
        <v>-2.6424502243396999</v>
      </c>
      <c r="C9" s="4">
        <v>-0.54560295678291804</v>
      </c>
      <c r="D9" s="4">
        <v>-1.20530514875877</v>
      </c>
      <c r="E9" s="4">
        <v>-0.73267973411185805</v>
      </c>
      <c r="H9" s="5" t="s">
        <v>25</v>
      </c>
      <c r="I9" s="4">
        <v>6.7009556045802299</v>
      </c>
      <c r="J9" s="4">
        <v>7.2105555201838296</v>
      </c>
      <c r="K9" s="4">
        <v>8.4959393899844304</v>
      </c>
      <c r="L9" s="4">
        <v>5.7238089486871804</v>
      </c>
      <c r="M9" s="3">
        <v>-3.6885406675228119E-2</v>
      </c>
      <c r="N9">
        <f t="shared" si="0"/>
        <v>-0.36885406675228116</v>
      </c>
      <c r="AC9" s="4">
        <v>304992000</v>
      </c>
      <c r="AD9" s="4">
        <v>-2.7294627202105999</v>
      </c>
      <c r="AE9" s="4">
        <v>-0.57696555482747103</v>
      </c>
      <c r="AF9" s="4">
        <v>-1.1718133949896901</v>
      </c>
      <c r="AG9" s="4">
        <v>-0.68766888476675503</v>
      </c>
      <c r="AH9" s="4">
        <v>0.52057388514339897</v>
      </c>
      <c r="AI9" s="4">
        <v>-1.69238728013297</v>
      </c>
      <c r="AJ9" s="4">
        <v>0</v>
      </c>
      <c r="AK9" s="4">
        <v>0</v>
      </c>
      <c r="AL9" s="4">
        <v>0</v>
      </c>
      <c r="AM9" s="4">
        <v>0</v>
      </c>
    </row>
    <row r="10" spans="1:39" x14ac:dyDescent="0.35">
      <c r="A10" s="5">
        <v>29190</v>
      </c>
      <c r="B10" s="4">
        <v>-0.73988180223803401</v>
      </c>
      <c r="C10" s="4">
        <v>0.163313875293678</v>
      </c>
      <c r="D10" s="4">
        <v>-0.120846147932474</v>
      </c>
      <c r="E10" s="4">
        <v>8.2732452285738195E-2</v>
      </c>
      <c r="H10" s="5" t="s">
        <v>26</v>
      </c>
      <c r="I10" s="4">
        <v>6.1008262769675197</v>
      </c>
      <c r="J10" s="4">
        <v>6.4359526111470702</v>
      </c>
      <c r="K10" s="4">
        <v>7.2587053887033699</v>
      </c>
      <c r="L10" s="4">
        <v>4.9130167255843098</v>
      </c>
      <c r="M10" s="2">
        <v>4.982616184924122E-2</v>
      </c>
      <c r="N10">
        <f t="shared" si="0"/>
        <v>0.49826161849241218</v>
      </c>
      <c r="AC10" s="4">
        <v>312854400</v>
      </c>
      <c r="AD10" s="4">
        <v>-0.82436522827384695</v>
      </c>
      <c r="AE10" s="4">
        <v>0.12889632296313699</v>
      </c>
      <c r="AF10" s="4">
        <v>-0.13453983109199799</v>
      </c>
      <c r="AG10" s="4">
        <v>7.9869903917353893E-2</v>
      </c>
      <c r="AH10" s="4">
        <v>0.61495603347810701</v>
      </c>
      <c r="AI10" s="4">
        <v>-0.74949586456994199</v>
      </c>
      <c r="AJ10" s="4">
        <v>0</v>
      </c>
      <c r="AK10" s="4">
        <v>0</v>
      </c>
      <c r="AL10" s="4">
        <v>0</v>
      </c>
      <c r="AM10" s="4">
        <v>0</v>
      </c>
    </row>
    <row r="11" spans="1:39" x14ac:dyDescent="0.35">
      <c r="A11" s="5">
        <v>29281</v>
      </c>
      <c r="B11" s="4">
        <v>-3.3569895963791199</v>
      </c>
      <c r="C11" s="4">
        <v>-0.58280340001386799</v>
      </c>
      <c r="D11" s="4">
        <v>-1.4556074153601199</v>
      </c>
      <c r="E11" s="4">
        <v>-0.83031108517360797</v>
      </c>
      <c r="H11" s="5" t="s">
        <v>27</v>
      </c>
      <c r="I11" s="4">
        <v>7.6596420321849497</v>
      </c>
      <c r="J11" s="4">
        <v>6.7520815844871303</v>
      </c>
      <c r="K11" s="4">
        <v>8.4216667625789299</v>
      </c>
      <c r="L11" s="4">
        <v>6.3158097767915899</v>
      </c>
      <c r="M11" s="3">
        <v>0.17688681003409129</v>
      </c>
      <c r="N11">
        <f t="shared" si="0"/>
        <v>1.7688681003409128</v>
      </c>
      <c r="AC11" s="4">
        <v>320716800</v>
      </c>
      <c r="AD11" s="4">
        <v>-3.4766956868921399</v>
      </c>
      <c r="AE11" s="4">
        <v>-0.625701241736484</v>
      </c>
      <c r="AF11" s="4">
        <v>-1.4135805083340101</v>
      </c>
      <c r="AG11" s="4">
        <v>-0.77232841681153197</v>
      </c>
      <c r="AH11" s="4">
        <v>0.82799583950419597</v>
      </c>
      <c r="AI11" s="4">
        <v>-2.2415763478380999</v>
      </c>
      <c r="AJ11" s="4">
        <v>0</v>
      </c>
      <c r="AK11" s="4">
        <v>0</v>
      </c>
      <c r="AL11" s="4">
        <v>0</v>
      </c>
      <c r="AM11" s="4">
        <v>0</v>
      </c>
    </row>
    <row r="12" spans="1:39" x14ac:dyDescent="0.35">
      <c r="A12" s="5">
        <v>29373</v>
      </c>
      <c r="B12" s="4">
        <v>-1.7405045512441799</v>
      </c>
      <c r="C12" s="4">
        <v>-5.15984285831637E-2</v>
      </c>
      <c r="D12" s="4">
        <v>-0.58295571358900999</v>
      </c>
      <c r="E12" s="4">
        <v>-0.20227946268956601</v>
      </c>
      <c r="H12" s="5" t="s">
        <v>28</v>
      </c>
      <c r="I12" s="4">
        <v>8.7883818806441205</v>
      </c>
      <c r="J12" s="4">
        <v>6.4016801554129303</v>
      </c>
      <c r="K12" s="4">
        <v>8.7508738933483006</v>
      </c>
      <c r="L12" s="4">
        <v>7.2909860476726802</v>
      </c>
      <c r="M12" s="2">
        <v>0.37876069786826538</v>
      </c>
      <c r="N12">
        <f t="shared" si="0"/>
        <v>3.7876069786826538</v>
      </c>
      <c r="AC12" s="4">
        <v>328665600</v>
      </c>
      <c r="AD12" s="4">
        <v>-1.83144065986187</v>
      </c>
      <c r="AE12" s="4">
        <v>-8.5104581560820694E-2</v>
      </c>
      <c r="AF12" s="4">
        <v>-0.56770881495125802</v>
      </c>
      <c r="AG12" s="4">
        <v>-0.174918971177765</v>
      </c>
      <c r="AH12" s="4">
        <v>0.80533687973531698</v>
      </c>
      <c r="AI12" s="4">
        <v>-1.37304569468647</v>
      </c>
      <c r="AJ12" s="4">
        <v>0</v>
      </c>
      <c r="AK12" s="4">
        <v>0</v>
      </c>
      <c r="AL12" s="4">
        <v>0</v>
      </c>
      <c r="AM12" s="4">
        <v>0</v>
      </c>
    </row>
    <row r="13" spans="1:39" x14ac:dyDescent="0.35">
      <c r="A13" s="5">
        <v>29465</v>
      </c>
      <c r="B13" s="4">
        <v>-2.28741996608623</v>
      </c>
      <c r="C13" s="4">
        <v>-0.32507555204264399</v>
      </c>
      <c r="D13" s="4">
        <v>-0.942460962695152</v>
      </c>
      <c r="E13" s="4">
        <v>-0.50015223724945701</v>
      </c>
      <c r="H13" s="5" t="s">
        <v>29</v>
      </c>
      <c r="I13" s="4">
        <v>8.7373908908397198</v>
      </c>
      <c r="J13" s="4">
        <v>5.8001292656082999</v>
      </c>
      <c r="K13" s="4">
        <v>8.1792641255516596</v>
      </c>
      <c r="L13" s="4">
        <v>6.9887646492149598</v>
      </c>
      <c r="M13" s="3">
        <v>0.4862340139323027</v>
      </c>
      <c r="N13">
        <f t="shared" si="0"/>
        <v>4.8623401393230274</v>
      </c>
      <c r="AC13" s="4">
        <v>336614400</v>
      </c>
      <c r="AD13" s="4">
        <v>-2.38134062997795</v>
      </c>
      <c r="AE13" s="4">
        <v>-0.35958710716318798</v>
      </c>
      <c r="AF13" s="4">
        <v>-0.918303622904869</v>
      </c>
      <c r="AG13" s="4">
        <v>-0.46356626722510202</v>
      </c>
      <c r="AH13" s="4">
        <v>0.67128729530986697</v>
      </c>
      <c r="AI13" s="4">
        <v>-1.5895909182147101</v>
      </c>
      <c r="AJ13" s="4">
        <v>0</v>
      </c>
      <c r="AK13" s="4">
        <v>0</v>
      </c>
      <c r="AL13" s="4">
        <v>0</v>
      </c>
      <c r="AM13" s="4">
        <v>0</v>
      </c>
    </row>
    <row r="14" spans="1:39" x14ac:dyDescent="0.35">
      <c r="A14" s="5">
        <v>29556</v>
      </c>
      <c r="B14" s="4">
        <v>-0.61149485621875499</v>
      </c>
      <c r="C14" s="4">
        <v>0.38903224670216102</v>
      </c>
      <c r="D14" s="4">
        <v>7.4250176905889295E-2</v>
      </c>
      <c r="E14" s="4">
        <v>0.29976709661669299</v>
      </c>
      <c r="H14" s="5" t="s">
        <v>30</v>
      </c>
      <c r="I14" s="4">
        <v>9.5142184360851907</v>
      </c>
      <c r="J14" s="4">
        <v>4.9365496889586398</v>
      </c>
      <c r="K14" s="4">
        <v>8.5180228257907995</v>
      </c>
      <c r="L14" s="4">
        <v>7.9531611261371804</v>
      </c>
      <c r="M14" s="2">
        <v>0.47611026454967609</v>
      </c>
      <c r="N14">
        <f t="shared" si="0"/>
        <v>4.7611026454967611</v>
      </c>
      <c r="AC14" s="4">
        <v>344476800</v>
      </c>
      <c r="AD14" s="4">
        <v>-0.66305511135719697</v>
      </c>
      <c r="AE14" s="4">
        <v>0.37221258942459901</v>
      </c>
      <c r="AF14" s="4">
        <v>8.6113835984376899E-2</v>
      </c>
      <c r="AG14" s="4">
        <v>0.31896857884080598</v>
      </c>
      <c r="AH14" s="4">
        <v>0.900086516883984</v>
      </c>
      <c r="AI14" s="4">
        <v>-0.81397268089959096</v>
      </c>
      <c r="AJ14" s="4">
        <v>0</v>
      </c>
      <c r="AK14" s="4">
        <v>0</v>
      </c>
      <c r="AL14" s="4">
        <v>0</v>
      </c>
      <c r="AM14" s="4">
        <v>0</v>
      </c>
    </row>
    <row r="15" spans="1:39" x14ac:dyDescent="0.35">
      <c r="A15" s="5">
        <v>29646</v>
      </c>
      <c r="B15" s="4">
        <v>-1.2042554019909899</v>
      </c>
      <c r="C15" s="4">
        <v>0.17442741599593001</v>
      </c>
      <c r="D15" s="4">
        <v>-0.25932858098964301</v>
      </c>
      <c r="E15" s="4">
        <v>5.1423922828606798E-2</v>
      </c>
      <c r="H15" s="5" t="s">
        <v>31</v>
      </c>
      <c r="I15" s="4">
        <v>10.246292807826601</v>
      </c>
      <c r="J15" s="4">
        <v>4.2295145900649302</v>
      </c>
      <c r="K15" s="4">
        <v>9.0840086004286302</v>
      </c>
      <c r="L15" s="4">
        <v>8.8062437707516903</v>
      </c>
      <c r="M15" s="3">
        <v>0.31819677044561923</v>
      </c>
      <c r="N15">
        <f t="shared" si="0"/>
        <v>3.1819677044561923</v>
      </c>
      <c r="AC15" s="4">
        <v>352252800</v>
      </c>
      <c r="AD15" s="4">
        <v>-1.23297912525248</v>
      </c>
      <c r="AE15" s="4">
        <v>0.170220746846175</v>
      </c>
      <c r="AF15" s="4">
        <v>-0.21755695927922999</v>
      </c>
      <c r="AG15" s="4">
        <v>9.8053916194754495E-2</v>
      </c>
      <c r="AH15" s="4">
        <v>0.88570006387292799</v>
      </c>
      <c r="AI15" s="4">
        <v>-1.1032570231521699</v>
      </c>
      <c r="AJ15" s="4">
        <v>0</v>
      </c>
      <c r="AK15" s="4">
        <v>0</v>
      </c>
      <c r="AL15" s="4">
        <v>0</v>
      </c>
      <c r="AM15" s="4">
        <v>0</v>
      </c>
    </row>
    <row r="16" spans="1:39" x14ac:dyDescent="0.35">
      <c r="A16" s="5">
        <v>29738</v>
      </c>
      <c r="B16" s="4">
        <v>-1.90785855734548</v>
      </c>
      <c r="C16" s="4">
        <v>-0.24572959740643599</v>
      </c>
      <c r="D16" s="4">
        <v>-0.76866235230191504</v>
      </c>
      <c r="E16" s="4">
        <v>-0.39402162331676799</v>
      </c>
      <c r="H16" s="5" t="s">
        <v>32</v>
      </c>
      <c r="I16" s="4">
        <v>8.9763119957966797</v>
      </c>
      <c r="J16" s="4">
        <v>3.2481743884450198</v>
      </c>
      <c r="K16" s="4">
        <v>8.4265370665855208</v>
      </c>
      <c r="L16" s="4">
        <v>8.36707533371324</v>
      </c>
      <c r="M16" s="2">
        <v>0.23602391374409981</v>
      </c>
      <c r="N16">
        <f t="shared" si="0"/>
        <v>2.3602391374409981</v>
      </c>
      <c r="AC16" s="4">
        <v>360201600</v>
      </c>
      <c r="AD16" s="4">
        <v>-1.9375558860466899</v>
      </c>
      <c r="AE16" s="4">
        <v>-0.250556546351486</v>
      </c>
      <c r="AF16" s="4">
        <v>-0.71676292734525504</v>
      </c>
      <c r="AG16" s="4">
        <v>-0.33731923645545497</v>
      </c>
      <c r="AH16" s="4">
        <v>0.60962963196137898</v>
      </c>
      <c r="AI16" s="4">
        <v>-1.3263925593066901</v>
      </c>
      <c r="AJ16" s="4">
        <v>0</v>
      </c>
      <c r="AK16" s="4">
        <v>0</v>
      </c>
      <c r="AL16" s="4">
        <v>0</v>
      </c>
      <c r="AM16" s="4">
        <v>0</v>
      </c>
    </row>
    <row r="17" spans="1:39" x14ac:dyDescent="0.35">
      <c r="A17" s="5">
        <v>29830</v>
      </c>
      <c r="B17" s="4">
        <v>-2.3162674235997098</v>
      </c>
      <c r="C17" s="4">
        <v>-0.550493542250864</v>
      </c>
      <c r="D17" s="4">
        <v>-1.1060346720619001</v>
      </c>
      <c r="E17" s="4">
        <v>-0.70803257350291404</v>
      </c>
      <c r="H17" s="5" t="s">
        <v>33</v>
      </c>
      <c r="I17" s="4">
        <v>8.1732596912366091</v>
      </c>
      <c r="J17" s="4">
        <v>2.9793169455820099</v>
      </c>
      <c r="K17" s="4">
        <v>7.5789248250596604</v>
      </c>
      <c r="L17" s="4">
        <v>6.863942334591</v>
      </c>
      <c r="M17" s="3">
        <v>0.1432771961950691</v>
      </c>
      <c r="N17">
        <f t="shared" si="0"/>
        <v>1.4327719619506909</v>
      </c>
      <c r="AC17" s="4">
        <v>368150400</v>
      </c>
      <c r="AD17" s="4">
        <v>-2.3211378250127601</v>
      </c>
      <c r="AE17" s="4">
        <v>-0.54398710981746401</v>
      </c>
      <c r="AF17" s="4">
        <v>-1.0351070432499301</v>
      </c>
      <c r="AG17" s="4">
        <v>-0.63538630194661805</v>
      </c>
      <c r="AH17" s="4">
        <v>0.36216646476902198</v>
      </c>
      <c r="AI17" s="4">
        <v>-1.3972735080190399</v>
      </c>
      <c r="AJ17" s="4">
        <v>0</v>
      </c>
      <c r="AK17" s="4">
        <v>0</v>
      </c>
      <c r="AL17" s="4">
        <v>0</v>
      </c>
      <c r="AM17" s="4">
        <v>0</v>
      </c>
    </row>
    <row r="18" spans="1:39" x14ac:dyDescent="0.35">
      <c r="A18" s="5">
        <v>29921</v>
      </c>
      <c r="B18" s="4">
        <v>-1.3251267624146701</v>
      </c>
      <c r="C18" s="4">
        <v>-0.431581446215621</v>
      </c>
      <c r="D18" s="4">
        <v>-0.712705309096338</v>
      </c>
      <c r="E18" s="4">
        <v>-0.51130188209966898</v>
      </c>
      <c r="H18" s="5" t="s">
        <v>34</v>
      </c>
      <c r="I18" s="4">
        <v>6.7464998399638203</v>
      </c>
      <c r="J18" s="4">
        <v>2.2391705946118901</v>
      </c>
      <c r="K18" s="4">
        <v>6.5860020215106401</v>
      </c>
      <c r="L18" s="4">
        <v>6.5031157437834803</v>
      </c>
      <c r="M18" s="2">
        <v>9.1636287877253683E-2</v>
      </c>
      <c r="N18">
        <f t="shared" si="0"/>
        <v>0.91636287877253686</v>
      </c>
      <c r="AC18" s="4">
        <v>376012800</v>
      </c>
      <c r="AD18" s="4">
        <v>-1.31557991812346</v>
      </c>
      <c r="AE18" s="4">
        <v>-0.42344067930665602</v>
      </c>
      <c r="AF18" s="4">
        <v>-0.66998553328774302</v>
      </c>
      <c r="AG18" s="4">
        <v>-0.46932356644581102</v>
      </c>
      <c r="AH18" s="4">
        <v>3.1453299786124399E-2</v>
      </c>
      <c r="AI18" s="4">
        <v>-0.70143883307393795</v>
      </c>
      <c r="AJ18" s="4">
        <v>0</v>
      </c>
      <c r="AK18" s="4">
        <v>0</v>
      </c>
      <c r="AL18" s="4">
        <v>0</v>
      </c>
      <c r="AM18" s="4">
        <v>0</v>
      </c>
    </row>
    <row r="19" spans="1:39" x14ac:dyDescent="0.35">
      <c r="A19" s="5">
        <v>30011</v>
      </c>
      <c r="B19" s="4">
        <v>-3.0119577409282798</v>
      </c>
      <c r="C19" s="4">
        <v>-1.1888223714314801</v>
      </c>
      <c r="D19" s="4">
        <v>-1.76241035665812</v>
      </c>
      <c r="E19" s="4">
        <v>-1.35147908698585</v>
      </c>
      <c r="H19" s="5" t="s">
        <v>35</v>
      </c>
      <c r="I19" s="4">
        <v>3.9525290492838399</v>
      </c>
      <c r="J19" s="4">
        <v>1.4790239917005199</v>
      </c>
      <c r="K19" s="4">
        <v>4.6822291725384897</v>
      </c>
      <c r="L19" s="4">
        <v>5.2152656951805296</v>
      </c>
      <c r="M19" s="3">
        <v>6.367284405710609E-2</v>
      </c>
      <c r="N19">
        <f t="shared" si="0"/>
        <v>0.63672844057106093</v>
      </c>
      <c r="AC19" s="4">
        <v>383788800</v>
      </c>
      <c r="AD19" s="4">
        <v>-3.0071765016809899</v>
      </c>
      <c r="AE19" s="4">
        <v>-1.1803575190672599</v>
      </c>
      <c r="AF19" s="4">
        <v>-1.6852033993086899</v>
      </c>
      <c r="AG19" s="4">
        <v>-1.2743111594362799</v>
      </c>
      <c r="AH19" s="4">
        <v>-0.24887853022074399</v>
      </c>
      <c r="AI19" s="4">
        <v>-1.4363248690880199</v>
      </c>
      <c r="AJ19" s="4">
        <v>0</v>
      </c>
      <c r="AK19" s="4">
        <v>0</v>
      </c>
      <c r="AL19" s="4">
        <v>0</v>
      </c>
      <c r="AM19" s="4">
        <v>0</v>
      </c>
    </row>
    <row r="20" spans="1:39" x14ac:dyDescent="0.35">
      <c r="A20" s="5">
        <v>30103</v>
      </c>
      <c r="B20" s="4">
        <v>-3.1169013634309599</v>
      </c>
      <c r="C20" s="4">
        <v>-1.27339220064867</v>
      </c>
      <c r="D20" s="4">
        <v>-1.85339011200453</v>
      </c>
      <c r="E20" s="4">
        <v>-1.4378666277973899</v>
      </c>
      <c r="H20" s="5" t="s">
        <v>36</v>
      </c>
      <c r="I20" s="4">
        <v>3.2665428370235601</v>
      </c>
      <c r="J20" s="4">
        <v>0.78625167388564399</v>
      </c>
      <c r="K20" s="4">
        <v>4.4228464198338404</v>
      </c>
      <c r="L20" s="4">
        <v>4.9967052033386796</v>
      </c>
      <c r="M20" s="2">
        <v>3.3235540881186937E-2</v>
      </c>
      <c r="N20">
        <f t="shared" si="0"/>
        <v>0.33235540881186937</v>
      </c>
      <c r="AC20" s="4">
        <v>391737600</v>
      </c>
      <c r="AD20" s="4">
        <v>-3.0915440042617401</v>
      </c>
      <c r="AE20" s="4">
        <v>-1.25502801863007</v>
      </c>
      <c r="AF20" s="4">
        <v>-1.76255368930003</v>
      </c>
      <c r="AG20" s="4">
        <v>-1.3494803776695701</v>
      </c>
      <c r="AH20" s="4">
        <v>-0.318604612929973</v>
      </c>
      <c r="AI20" s="4">
        <v>-1.4439490763701299</v>
      </c>
      <c r="AJ20" s="4">
        <v>0</v>
      </c>
      <c r="AK20" s="4">
        <v>0</v>
      </c>
      <c r="AL20" s="4">
        <v>0</v>
      </c>
      <c r="AM20" s="4">
        <v>0</v>
      </c>
    </row>
    <row r="21" spans="1:39" x14ac:dyDescent="0.35">
      <c r="A21" s="5">
        <v>30195</v>
      </c>
      <c r="B21" s="4">
        <v>-3.57623945618018</v>
      </c>
      <c r="C21" s="4">
        <v>-1.3946939241998599</v>
      </c>
      <c r="D21" s="4">
        <v>-2.0810435652109498</v>
      </c>
      <c r="E21" s="4">
        <v>-1.5893273216980199</v>
      </c>
      <c r="H21" s="5" t="s">
        <v>37</v>
      </c>
      <c r="I21" s="4">
        <v>1.74718903230508</v>
      </c>
      <c r="J21" s="4">
        <v>0.187498819125171</v>
      </c>
      <c r="K21" s="4">
        <v>3.1324229075263701</v>
      </c>
      <c r="L21" s="4">
        <v>2.7514777410141198</v>
      </c>
      <c r="M21" s="3">
        <v>9.4219963389545209E-4</v>
      </c>
      <c r="N21">
        <f t="shared" si="0"/>
        <v>9.4219963389545209E-3</v>
      </c>
      <c r="AC21" s="4">
        <v>399686400</v>
      </c>
      <c r="AD21" s="4">
        <v>-3.5368063703569801</v>
      </c>
      <c r="AE21" s="4">
        <v>-1.36743450684696</v>
      </c>
      <c r="AF21" s="4">
        <v>-1.9669457109826201</v>
      </c>
      <c r="AG21" s="4">
        <v>-1.4790057056524599</v>
      </c>
      <c r="AH21" s="4">
        <v>-0.26129080619237299</v>
      </c>
      <c r="AI21" s="4">
        <v>-1.70565490479031</v>
      </c>
      <c r="AJ21" s="4">
        <v>0</v>
      </c>
      <c r="AK21" s="4">
        <v>0</v>
      </c>
      <c r="AL21" s="4">
        <v>0</v>
      </c>
      <c r="AM21" s="4">
        <v>0</v>
      </c>
    </row>
    <row r="22" spans="1:39" x14ac:dyDescent="0.35">
      <c r="A22" s="5">
        <v>30286</v>
      </c>
      <c r="B22" s="4">
        <v>-0.48232451657665298</v>
      </c>
      <c r="C22" s="4">
        <v>-0.136555864798201</v>
      </c>
      <c r="D22" s="4">
        <v>-0.245340296084191</v>
      </c>
      <c r="E22" s="4">
        <v>-0.16740469488559501</v>
      </c>
      <c r="H22" s="5" t="s">
        <v>38</v>
      </c>
      <c r="I22" s="4">
        <v>2.66465511296474</v>
      </c>
      <c r="J22" s="4">
        <v>-7.2365110861225296E-2</v>
      </c>
      <c r="K22" s="4">
        <v>2.7825871171833598</v>
      </c>
      <c r="L22" s="4">
        <v>3.6331402093998499</v>
      </c>
      <c r="M22" s="2">
        <v>-4.6047674493879413E-2</v>
      </c>
      <c r="N22">
        <f t="shared" si="0"/>
        <v>-0.46047674493879415</v>
      </c>
      <c r="AC22" s="4">
        <v>407548800</v>
      </c>
      <c r="AD22" s="4">
        <v>-0.34540824402592202</v>
      </c>
      <c r="AE22" s="4">
        <v>-6.7754401012680293E-2</v>
      </c>
      <c r="AF22" s="4">
        <v>-0.14448471754235301</v>
      </c>
      <c r="AG22" s="4">
        <v>-8.2034189848788297E-2</v>
      </c>
      <c r="AH22" s="4">
        <v>7.3818860159201805E-2</v>
      </c>
      <c r="AI22" s="4">
        <v>-0.21830357770161199</v>
      </c>
      <c r="AJ22" s="4">
        <v>0</v>
      </c>
      <c r="AK22" s="4">
        <v>0</v>
      </c>
      <c r="AL22" s="4">
        <v>0</v>
      </c>
      <c r="AM22" s="4">
        <v>0</v>
      </c>
    </row>
    <row r="23" spans="1:39" x14ac:dyDescent="0.35">
      <c r="A23" s="5">
        <v>30376</v>
      </c>
      <c r="B23" s="4">
        <v>-0.99292604381496596</v>
      </c>
      <c r="C23" s="4">
        <v>-0.20524584775725299</v>
      </c>
      <c r="D23" s="4">
        <v>-0.45306282515721702</v>
      </c>
      <c r="E23" s="4">
        <v>-0.275521196336175</v>
      </c>
      <c r="H23" s="5" t="s">
        <v>39</v>
      </c>
      <c r="I23" s="4">
        <v>3.9468395455382099</v>
      </c>
      <c r="J23" s="4">
        <v>-0.20489990640929601</v>
      </c>
      <c r="K23" s="4">
        <v>3.33702601413236</v>
      </c>
      <c r="L23" s="4">
        <v>4.0145262638707804</v>
      </c>
      <c r="M23" s="3">
        <v>-3.9920313718277159E-2</v>
      </c>
      <c r="N23">
        <f t="shared" si="0"/>
        <v>-0.39920313718277156</v>
      </c>
      <c r="AC23" s="4">
        <v>415324800</v>
      </c>
      <c r="AD23" s="4">
        <v>-0.838433069304798</v>
      </c>
      <c r="AE23" s="4">
        <v>-0.124465645812616</v>
      </c>
      <c r="AF23" s="4">
        <v>-0.32177228418619103</v>
      </c>
      <c r="AG23" s="4">
        <v>-0.16118512331988899</v>
      </c>
      <c r="AH23" s="4">
        <v>0.239580086158238</v>
      </c>
      <c r="AI23" s="4">
        <v>-0.56135237034443397</v>
      </c>
      <c r="AJ23" s="4">
        <v>0</v>
      </c>
      <c r="AK23" s="4">
        <v>0</v>
      </c>
      <c r="AL23" s="4">
        <v>0</v>
      </c>
      <c r="AM23" s="4">
        <v>0</v>
      </c>
    </row>
    <row r="24" spans="1:39" x14ac:dyDescent="0.35">
      <c r="A24" s="5">
        <v>30468</v>
      </c>
      <c r="B24" s="4">
        <v>-0.35039112646444398</v>
      </c>
      <c r="C24" s="4">
        <v>-1.41346506409717E-2</v>
      </c>
      <c r="D24" s="4">
        <v>-0.119926396944614</v>
      </c>
      <c r="E24" s="4">
        <v>-4.4134822244475298E-2</v>
      </c>
      <c r="H24" s="5" t="s">
        <v>40</v>
      </c>
      <c r="I24" s="4">
        <v>4.1603479100669896</v>
      </c>
      <c r="J24" s="4">
        <v>-0.74706930405782901</v>
      </c>
      <c r="K24" s="4">
        <v>3.21630108352239</v>
      </c>
      <c r="L24" s="4">
        <v>4.5868181551866698</v>
      </c>
      <c r="M24" s="2">
        <v>-4.9349413436550298E-2</v>
      </c>
      <c r="N24">
        <f t="shared" si="0"/>
        <v>-0.49349413436550299</v>
      </c>
      <c r="AC24" s="4">
        <v>423273600</v>
      </c>
      <c r="AD24" s="4">
        <v>-0.17665852868479001</v>
      </c>
      <c r="AE24" s="4">
        <v>7.4092119583578198E-2</v>
      </c>
      <c r="AF24" s="4">
        <v>4.7965665206308097E-3</v>
      </c>
      <c r="AG24" s="4">
        <v>6.1195967061681601E-2</v>
      </c>
      <c r="AH24" s="4">
        <v>0.20194767753680701</v>
      </c>
      <c r="AI24" s="4">
        <v>-0.19715111101616001</v>
      </c>
      <c r="AJ24" s="4">
        <v>0</v>
      </c>
      <c r="AK24" s="4">
        <v>0</v>
      </c>
      <c r="AL24" s="4">
        <v>0</v>
      </c>
      <c r="AM24" s="4">
        <v>0</v>
      </c>
    </row>
    <row r="25" spans="1:39" x14ac:dyDescent="0.35">
      <c r="A25" s="5">
        <v>30560</v>
      </c>
      <c r="B25" s="4">
        <v>-1.2361388388174599</v>
      </c>
      <c r="C25" s="4">
        <v>-0.31813694223647099</v>
      </c>
      <c r="D25" s="4">
        <v>-0.60695524234960896</v>
      </c>
      <c r="E25" s="4">
        <v>-0.400039348316032</v>
      </c>
      <c r="H25" s="5" t="s">
        <v>41</v>
      </c>
      <c r="I25" s="4">
        <v>4.1581789534923503</v>
      </c>
      <c r="J25" s="4">
        <v>-0.86140125155400304</v>
      </c>
      <c r="K25" s="4">
        <v>2.6899418525787402</v>
      </c>
      <c r="L25" s="4">
        <v>3.1595050273731999</v>
      </c>
      <c r="M25" s="3">
        <v>-7.8264098099352156E-2</v>
      </c>
      <c r="N25">
        <f t="shared" si="0"/>
        <v>-0.78264098099352153</v>
      </c>
      <c r="AC25" s="4">
        <v>431222400</v>
      </c>
      <c r="AD25" s="4">
        <v>-1.0675364818481199</v>
      </c>
      <c r="AE25" s="4">
        <v>-0.22933388281427899</v>
      </c>
      <c r="AF25" s="4">
        <v>-0.46097321487575599</v>
      </c>
      <c r="AG25" s="4">
        <v>-0.27244279852814202</v>
      </c>
      <c r="AH25" s="4">
        <v>0.19805827635821099</v>
      </c>
      <c r="AI25" s="4">
        <v>-0.65903149123395899</v>
      </c>
      <c r="AJ25" s="4">
        <v>0</v>
      </c>
      <c r="AK25" s="4">
        <v>0</v>
      </c>
      <c r="AL25" s="4">
        <v>0</v>
      </c>
      <c r="AM25" s="4">
        <v>0</v>
      </c>
    </row>
    <row r="26" spans="1:39" x14ac:dyDescent="0.35">
      <c r="A26" s="5">
        <v>30651</v>
      </c>
      <c r="B26" s="4">
        <v>1.545191257858</v>
      </c>
      <c r="C26" s="4">
        <v>0.29733710804622798</v>
      </c>
      <c r="D26" s="4">
        <v>0.68993228206490498</v>
      </c>
      <c r="E26" s="4">
        <v>0.40866831301060702</v>
      </c>
      <c r="H26" s="5" t="s">
        <v>42</v>
      </c>
      <c r="I26" s="4">
        <v>5.4799595609875</v>
      </c>
      <c r="J26" s="4">
        <v>-1.12596170484402</v>
      </c>
      <c r="K26" s="4">
        <v>1.4704347821909001</v>
      </c>
      <c r="L26" s="4">
        <v>2.1234055372043801</v>
      </c>
      <c r="M26" s="2">
        <v>-4.4625927639873393E-2</v>
      </c>
      <c r="N26">
        <f t="shared" si="0"/>
        <v>-0.44625927639873392</v>
      </c>
      <c r="AC26" s="4">
        <v>439084800</v>
      </c>
      <c r="AD26" s="4">
        <v>1.7179425800443899</v>
      </c>
      <c r="AE26" s="4">
        <v>0.37525334265829802</v>
      </c>
      <c r="AF26" s="4">
        <v>0.74630878733569495</v>
      </c>
      <c r="AG26" s="4">
        <v>0.44430810010133498</v>
      </c>
      <c r="AH26" s="4">
        <v>-0.30937213204858899</v>
      </c>
      <c r="AI26" s="4">
        <v>1.05568091938431</v>
      </c>
      <c r="AJ26" s="4">
        <v>0</v>
      </c>
      <c r="AK26" s="4">
        <v>0</v>
      </c>
      <c r="AL26" s="4">
        <v>0</v>
      </c>
      <c r="AM26" s="4">
        <v>0</v>
      </c>
    </row>
    <row r="27" spans="1:39" x14ac:dyDescent="0.35">
      <c r="A27" s="5">
        <v>30742</v>
      </c>
      <c r="B27" s="4">
        <v>0.185743266923699</v>
      </c>
      <c r="C27" s="4">
        <v>-0.19719475617122001</v>
      </c>
      <c r="D27" s="4">
        <v>-7.6716237236922696E-2</v>
      </c>
      <c r="E27" s="4">
        <v>-0.163029744543639</v>
      </c>
      <c r="H27" s="5" t="s">
        <v>43</v>
      </c>
      <c r="I27" s="4">
        <v>4.7021553836441896</v>
      </c>
      <c r="J27" s="4">
        <v>-1.0567660553095</v>
      </c>
      <c r="K27" s="4">
        <v>0.19758440881565301</v>
      </c>
      <c r="L27" s="4">
        <v>1.1214509216342501</v>
      </c>
      <c r="M27" s="3">
        <v>-5.4756532205344037E-2</v>
      </c>
      <c r="N27">
        <f t="shared" si="0"/>
        <v>-0.54756532205344033</v>
      </c>
      <c r="AC27" s="4">
        <v>446947200</v>
      </c>
      <c r="AD27" s="4">
        <v>0.31296038688699901</v>
      </c>
      <c r="AE27" s="4">
        <v>-0.137659311451483</v>
      </c>
      <c r="AF27" s="4">
        <v>-1.31294590540116E-2</v>
      </c>
      <c r="AG27" s="4">
        <v>-0.114483856475462</v>
      </c>
      <c r="AH27" s="4">
        <v>-0.36742634636704802</v>
      </c>
      <c r="AI27" s="4">
        <v>0.35429688731305797</v>
      </c>
      <c r="AJ27" s="4">
        <v>0</v>
      </c>
      <c r="AK27" s="4">
        <v>0</v>
      </c>
      <c r="AL27" s="4">
        <v>0</v>
      </c>
      <c r="AM27" s="4">
        <v>0</v>
      </c>
    </row>
    <row r="28" spans="1:39" x14ac:dyDescent="0.35">
      <c r="A28" s="5">
        <v>30834</v>
      </c>
      <c r="B28" s="4">
        <v>1.1980367882493601</v>
      </c>
      <c r="C28" s="4">
        <v>0.269443021119051</v>
      </c>
      <c r="D28" s="4">
        <v>0.56159369566236605</v>
      </c>
      <c r="E28" s="4">
        <v>0.35229041400756</v>
      </c>
      <c r="H28" s="5" t="s">
        <v>44</v>
      </c>
      <c r="I28" s="4">
        <v>4.3009184685407398</v>
      </c>
      <c r="J28" s="4">
        <v>-1.0954222122206301</v>
      </c>
      <c r="K28" s="4">
        <v>9.7007351623157101E-2</v>
      </c>
      <c r="L28" s="4">
        <v>0.74811656111050695</v>
      </c>
      <c r="M28" s="2">
        <v>-2.3152096162635829E-2</v>
      </c>
      <c r="N28">
        <f t="shared" si="0"/>
        <v>-0.2315209616263583</v>
      </c>
      <c r="AC28" s="4">
        <v>454896000</v>
      </c>
      <c r="AD28" s="4">
        <v>1.3096726342235401</v>
      </c>
      <c r="AE28" s="4">
        <v>0.32007648166020303</v>
      </c>
      <c r="AF28" s="4">
        <v>0.59355379138771702</v>
      </c>
      <c r="AG28" s="4">
        <v>0.37097159601656798</v>
      </c>
      <c r="AH28" s="4">
        <v>-0.18450992363171101</v>
      </c>
      <c r="AI28" s="4">
        <v>0.77806371501944005</v>
      </c>
      <c r="AJ28" s="4">
        <v>0</v>
      </c>
      <c r="AK28" s="4">
        <v>0</v>
      </c>
      <c r="AL28" s="4">
        <v>0</v>
      </c>
      <c r="AM28" s="4">
        <v>0</v>
      </c>
    </row>
    <row r="29" spans="1:39" x14ac:dyDescent="0.35">
      <c r="A29" s="5">
        <v>30926</v>
      </c>
      <c r="B29" s="4">
        <v>1.33568889755317</v>
      </c>
      <c r="C29" s="4">
        <v>0.30173980044417598</v>
      </c>
      <c r="D29" s="4">
        <v>0.62703697220676902</v>
      </c>
      <c r="E29" s="4">
        <v>0.39398679811641102</v>
      </c>
      <c r="H29" s="5" t="s">
        <v>45</v>
      </c>
      <c r="I29" s="4">
        <v>5.0217843532800996</v>
      </c>
      <c r="J29" s="4">
        <v>-1.1202600925478401</v>
      </c>
      <c r="K29" s="4">
        <v>0.22965578328849101</v>
      </c>
      <c r="L29" s="4">
        <v>-0.14165990844686099</v>
      </c>
      <c r="M29" s="3">
        <v>6.134936767453035E-2</v>
      </c>
      <c r="N29">
        <f t="shared" si="0"/>
        <v>0.61349367674530353</v>
      </c>
      <c r="AC29" s="4">
        <v>462844800</v>
      </c>
      <c r="AD29" s="4">
        <v>1.4227512776064</v>
      </c>
      <c r="AE29" s="4">
        <v>0.339818012828914</v>
      </c>
      <c r="AF29" s="4">
        <v>0.63908926110393105</v>
      </c>
      <c r="AG29" s="4">
        <v>0.39551347224272798</v>
      </c>
      <c r="AH29" s="4">
        <v>-0.21236016796704599</v>
      </c>
      <c r="AI29" s="4">
        <v>0.85144942907098597</v>
      </c>
      <c r="AJ29" s="4">
        <v>0</v>
      </c>
      <c r="AK29" s="4">
        <v>0</v>
      </c>
      <c r="AL29" s="4">
        <v>0</v>
      </c>
      <c r="AM29" s="4">
        <v>0</v>
      </c>
    </row>
    <row r="30" spans="1:39" x14ac:dyDescent="0.35">
      <c r="A30" s="5">
        <v>31017</v>
      </c>
      <c r="B30" s="4">
        <v>2.7570455989907399</v>
      </c>
      <c r="C30" s="4">
        <v>0.93848308764042399</v>
      </c>
      <c r="D30" s="4">
        <v>1.51063237745538</v>
      </c>
      <c r="E30" s="4">
        <v>1.1007318213744299</v>
      </c>
      <c r="H30" s="5" t="s">
        <v>46</v>
      </c>
      <c r="I30" s="4">
        <v>2.9640410783583899</v>
      </c>
      <c r="J30" s="4">
        <v>-1.4645791943701001</v>
      </c>
      <c r="K30" s="4">
        <v>-2.0256138855561199</v>
      </c>
      <c r="L30" s="4">
        <v>-1.2710221510039901</v>
      </c>
      <c r="M30" s="2">
        <v>8.2186218285827811E-3</v>
      </c>
      <c r="N30">
        <f t="shared" si="0"/>
        <v>8.2186218285827811E-2</v>
      </c>
      <c r="AC30" s="4">
        <v>470707200</v>
      </c>
      <c r="AD30" s="4">
        <v>2.8486748503447501</v>
      </c>
      <c r="AE30" s="4">
        <v>0.97672721888591796</v>
      </c>
      <c r="AF30" s="4">
        <v>1.4940445112744201</v>
      </c>
      <c r="AG30" s="4">
        <v>1.0730018340665</v>
      </c>
      <c r="AH30" s="4">
        <v>2.2237527504412501E-2</v>
      </c>
      <c r="AI30" s="4">
        <v>1.4718069837700301</v>
      </c>
      <c r="AJ30" s="4">
        <v>0.26521089073273302</v>
      </c>
      <c r="AK30" s="4">
        <v>0</v>
      </c>
      <c r="AL30" s="4">
        <v>0</v>
      </c>
      <c r="AM30" s="4">
        <v>0</v>
      </c>
    </row>
    <row r="31" spans="1:39" x14ac:dyDescent="0.35">
      <c r="A31" s="5">
        <v>31107</v>
      </c>
      <c r="B31" s="4">
        <v>0.49579736441991601</v>
      </c>
      <c r="C31" s="4">
        <v>0.42286242587281397</v>
      </c>
      <c r="D31" s="4">
        <v>0.44580894161366202</v>
      </c>
      <c r="E31" s="4">
        <v>0.42936954418762002</v>
      </c>
      <c r="H31" s="5" t="s">
        <v>47</v>
      </c>
      <c r="I31" s="4">
        <v>4.2508377712906897</v>
      </c>
      <c r="J31" s="4">
        <v>-0.99225794812157597</v>
      </c>
      <c r="K31" s="4">
        <v>-1.3515317355672001</v>
      </c>
      <c r="L31" s="4">
        <v>-0.70599490993318104</v>
      </c>
      <c r="M31" s="3">
        <v>9.1527888467873263E-3</v>
      </c>
      <c r="N31">
        <f t="shared" si="0"/>
        <v>9.152788846787327E-2</v>
      </c>
      <c r="AC31" s="4">
        <v>478483200</v>
      </c>
      <c r="AD31" s="4">
        <v>0.57841266541923397</v>
      </c>
      <c r="AE31" s="4">
        <v>0.46694731142080498</v>
      </c>
      <c r="AF31" s="4">
        <v>0.49775103378811802</v>
      </c>
      <c r="AG31" s="4">
        <v>0.47267999532810701</v>
      </c>
      <c r="AH31" s="4">
        <v>0.41011210430832201</v>
      </c>
      <c r="AI31" s="4">
        <v>8.7638929479813596E-2</v>
      </c>
      <c r="AJ31" s="4">
        <v>0</v>
      </c>
      <c r="AK31" s="4">
        <v>0</v>
      </c>
      <c r="AL31" s="4">
        <v>0</v>
      </c>
      <c r="AM31" s="4">
        <v>0</v>
      </c>
    </row>
    <row r="32" spans="1:39" x14ac:dyDescent="0.35">
      <c r="A32" s="5">
        <v>31199</v>
      </c>
      <c r="B32" s="4">
        <v>0.60783880794746603</v>
      </c>
      <c r="C32" s="4">
        <v>0.37894450074785502</v>
      </c>
      <c r="D32" s="4">
        <v>0.45095836581411097</v>
      </c>
      <c r="E32" s="4">
        <v>0.39936602119065101</v>
      </c>
      <c r="H32" s="5" t="s">
        <v>48</v>
      </c>
      <c r="I32" s="4">
        <v>4.3651453972825296</v>
      </c>
      <c r="J32" s="4">
        <v>-0.93081558942333897</v>
      </c>
      <c r="K32" s="4">
        <v>-0.89464709275571996</v>
      </c>
      <c r="L32" s="4">
        <v>-0.65336137849222997</v>
      </c>
      <c r="M32" s="2">
        <v>-2.256207735571053E-2</v>
      </c>
      <c r="N32">
        <f t="shared" si="0"/>
        <v>-0.2256207735571053</v>
      </c>
      <c r="AC32" s="4">
        <v>486432000</v>
      </c>
      <c r="AD32" s="4">
        <v>0.70679154858628801</v>
      </c>
      <c r="AE32" s="4">
        <v>0.430062261733752</v>
      </c>
      <c r="AF32" s="4">
        <v>0.50653707491408395</v>
      </c>
      <c r="AG32" s="4">
        <v>0.44429450047440999</v>
      </c>
      <c r="AH32" s="4">
        <v>0.28896042364533298</v>
      </c>
      <c r="AI32" s="4">
        <v>0.217576651268754</v>
      </c>
      <c r="AJ32" s="4">
        <v>0</v>
      </c>
      <c r="AK32" s="4">
        <v>0</v>
      </c>
      <c r="AL32" s="4">
        <v>0</v>
      </c>
      <c r="AM32" s="4">
        <v>0</v>
      </c>
    </row>
    <row r="33" spans="1:39" x14ac:dyDescent="0.35">
      <c r="A33" s="5">
        <v>31291</v>
      </c>
      <c r="B33" s="4">
        <v>0.138914408618111</v>
      </c>
      <c r="C33" s="4">
        <v>0.15311920225034301</v>
      </c>
      <c r="D33" s="4">
        <v>0.14865014356363301</v>
      </c>
      <c r="E33" s="4">
        <v>0.15185187722554599</v>
      </c>
      <c r="H33" s="5" t="s">
        <v>49</v>
      </c>
      <c r="I33" s="4">
        <v>4.8980756125964096</v>
      </c>
      <c r="J33" s="4">
        <v>-0.268689071219534</v>
      </c>
      <c r="K33" s="4">
        <v>-0.544318750047178</v>
      </c>
      <c r="L33" s="4">
        <v>-1.15229545651238</v>
      </c>
      <c r="M33" s="3">
        <v>-1.0888519319019289E-2</v>
      </c>
      <c r="N33">
        <f t="shared" si="0"/>
        <v>-0.10888519319019289</v>
      </c>
      <c r="AC33" s="4">
        <v>494380800</v>
      </c>
      <c r="AD33" s="4">
        <v>0.24088702265946901</v>
      </c>
      <c r="AE33" s="4">
        <v>0.20659616549234799</v>
      </c>
      <c r="AF33" s="4">
        <v>0.21607252748306799</v>
      </c>
      <c r="AG33" s="4">
        <v>0.20835975066027501</v>
      </c>
      <c r="AH33" s="4">
        <v>0.18911155795065299</v>
      </c>
      <c r="AI33" s="4">
        <v>2.6960969532421001E-2</v>
      </c>
      <c r="AJ33" s="4">
        <v>0</v>
      </c>
      <c r="AK33" s="4">
        <v>0</v>
      </c>
      <c r="AL33" s="4">
        <v>0</v>
      </c>
      <c r="AM33" s="4">
        <v>0</v>
      </c>
    </row>
    <row r="34" spans="1:39" x14ac:dyDescent="0.35">
      <c r="A34" s="5">
        <v>31382</v>
      </c>
      <c r="B34" s="4">
        <v>2.1619928158064901</v>
      </c>
      <c r="C34" s="4">
        <v>0.87738073447362497</v>
      </c>
      <c r="D34" s="4">
        <v>1.2815405505013799</v>
      </c>
      <c r="E34" s="4">
        <v>0.99199141309193095</v>
      </c>
      <c r="H34" s="5" t="s">
        <v>50</v>
      </c>
      <c r="I34" s="4">
        <v>5.7583857640478904</v>
      </c>
      <c r="J34" s="4">
        <v>-0.12965848649016301</v>
      </c>
      <c r="K34" s="4">
        <v>0.30951151476581401</v>
      </c>
      <c r="L34" s="4">
        <v>-0.95147999010845596</v>
      </c>
      <c r="M34" s="2">
        <v>3.2849600806405622E-2</v>
      </c>
      <c r="N34">
        <f t="shared" si="0"/>
        <v>0.32849600806405621</v>
      </c>
      <c r="AC34" s="4">
        <v>502243200</v>
      </c>
      <c r="AD34" s="4">
        <v>2.2407717233506999</v>
      </c>
      <c r="AE34" s="4">
        <v>0.91352710279024196</v>
      </c>
      <c r="AF34" s="4">
        <v>1.2803143899487499</v>
      </c>
      <c r="AG34" s="4">
        <v>0.98178754071465302</v>
      </c>
      <c r="AH34" s="4">
        <v>0.23677670284487901</v>
      </c>
      <c r="AI34" s="4">
        <v>1.04353768710387</v>
      </c>
      <c r="AJ34" s="4">
        <v>7.5241163547095202E-2</v>
      </c>
      <c r="AK34" s="4">
        <v>0</v>
      </c>
      <c r="AL34" s="4">
        <v>0</v>
      </c>
      <c r="AM34" s="4">
        <v>0</v>
      </c>
    </row>
    <row r="35" spans="1:39" x14ac:dyDescent="0.35">
      <c r="A35" s="5">
        <v>31472</v>
      </c>
      <c r="B35" s="4">
        <v>0.755748866746762</v>
      </c>
      <c r="C35" s="4">
        <v>2.3856161604618301E-2</v>
      </c>
      <c r="D35" s="4">
        <v>0.25412148867159301</v>
      </c>
      <c r="E35" s="4">
        <v>8.9154254959842999E-2</v>
      </c>
      <c r="H35" s="5" t="s">
        <v>51</v>
      </c>
      <c r="I35" s="4">
        <v>4.9217301863594498</v>
      </c>
      <c r="J35" s="4">
        <v>0.137817131952267</v>
      </c>
      <c r="K35" s="4">
        <v>4.0405971924725698E-2</v>
      </c>
      <c r="L35" s="4">
        <v>0.101716146661463</v>
      </c>
      <c r="M35" s="3">
        <v>6.3142934461726682E-2</v>
      </c>
      <c r="N35">
        <f t="shared" si="0"/>
        <v>0.63142934461726685</v>
      </c>
      <c r="AC35" s="4">
        <v>510019200</v>
      </c>
      <c r="AD35" s="4">
        <v>0.76371967564424703</v>
      </c>
      <c r="AE35" s="4">
        <v>2.4016093114453099E-2</v>
      </c>
      <c r="AF35" s="4">
        <v>0.22843498179148</v>
      </c>
      <c r="AG35" s="4">
        <v>6.2059186072261997E-2</v>
      </c>
      <c r="AH35" s="4">
        <v>-0.35315228079590499</v>
      </c>
      <c r="AI35" s="4">
        <v>0.58158726258737903</v>
      </c>
      <c r="AJ35" s="4">
        <v>0</v>
      </c>
      <c r="AK35" s="4">
        <v>0</v>
      </c>
      <c r="AL35" s="4">
        <v>0</v>
      </c>
      <c r="AM35" s="4">
        <v>0</v>
      </c>
    </row>
    <row r="36" spans="1:39" x14ac:dyDescent="0.35">
      <c r="A36" s="5">
        <v>31564</v>
      </c>
      <c r="B36" s="4">
        <v>0.39254681305428502</v>
      </c>
      <c r="C36" s="4">
        <v>-6.3089468867708002E-3</v>
      </c>
      <c r="D36" s="4">
        <v>0.119177550478358</v>
      </c>
      <c r="E36" s="4">
        <v>2.9276215343873899E-2</v>
      </c>
      <c r="H36" s="5" t="s">
        <v>52</v>
      </c>
      <c r="I36" s="4">
        <v>3.5715069798110002</v>
      </c>
      <c r="J36" s="4">
        <v>-4.9506148108873702E-2</v>
      </c>
      <c r="K36" s="4">
        <v>-0.327967077475396</v>
      </c>
      <c r="L36" s="4">
        <v>-0.72781404467947097</v>
      </c>
      <c r="M36" s="2">
        <v>4.1790821035783583E-2</v>
      </c>
      <c r="N36">
        <f t="shared" si="0"/>
        <v>0.41790821035783582</v>
      </c>
      <c r="AC36" s="4">
        <v>517968000</v>
      </c>
      <c r="AD36" s="4">
        <v>0.33785854495892698</v>
      </c>
      <c r="AE36" s="4">
        <v>-3.55861039259436E-2</v>
      </c>
      <c r="AF36" s="4">
        <v>6.7616235376442999E-2</v>
      </c>
      <c r="AG36" s="4">
        <v>-1.6379776110775499E-2</v>
      </c>
      <c r="AH36" s="4">
        <v>-0.22600225749345901</v>
      </c>
      <c r="AI36" s="4">
        <v>0.293618492869893</v>
      </c>
      <c r="AJ36" s="4">
        <v>0</v>
      </c>
      <c r="AK36" s="4">
        <v>0</v>
      </c>
      <c r="AL36" s="4">
        <v>0</v>
      </c>
      <c r="AM36" s="4">
        <v>0</v>
      </c>
    </row>
    <row r="37" spans="1:39" x14ac:dyDescent="0.35">
      <c r="A37" s="5">
        <v>31656</v>
      </c>
      <c r="B37" s="4">
        <v>-1.0441816047218599</v>
      </c>
      <c r="C37" s="4">
        <v>-0.54676748693733801</v>
      </c>
      <c r="D37" s="4">
        <v>-0.70326204374147205</v>
      </c>
      <c r="E37" s="4">
        <v>-0.59114584085602595</v>
      </c>
      <c r="H37" s="5" t="s">
        <v>53</v>
      </c>
      <c r="I37" s="4">
        <v>2.8076355500194601</v>
      </c>
      <c r="J37" s="4">
        <v>0.146297969927946</v>
      </c>
      <c r="K37" s="4">
        <v>-0.61999631985285997</v>
      </c>
      <c r="L37" s="4">
        <v>-0.86827560082119604</v>
      </c>
      <c r="M37" s="3">
        <v>4.3036176291263897E-2</v>
      </c>
      <c r="N37">
        <f t="shared" si="0"/>
        <v>0.43036176291263895</v>
      </c>
      <c r="AC37" s="4">
        <v>525916800</v>
      </c>
      <c r="AD37" s="4">
        <v>-1.1874267835654799</v>
      </c>
      <c r="AE37" s="4">
        <v>-0.61758450190981096</v>
      </c>
      <c r="AF37" s="4">
        <v>-0.77506180591157103</v>
      </c>
      <c r="AG37" s="4">
        <v>-0.64689159654111905</v>
      </c>
      <c r="AH37" s="4">
        <v>-0.32702691663709799</v>
      </c>
      <c r="AI37" s="4">
        <v>-0.44803488927447199</v>
      </c>
      <c r="AJ37" s="4">
        <v>0</v>
      </c>
      <c r="AK37" s="4">
        <v>0</v>
      </c>
      <c r="AL37" s="4">
        <v>0</v>
      </c>
      <c r="AM37" s="4">
        <v>0</v>
      </c>
    </row>
    <row r="38" spans="1:39" x14ac:dyDescent="0.35">
      <c r="A38" s="5">
        <v>31747</v>
      </c>
      <c r="B38" s="4">
        <v>-1.06907024137359</v>
      </c>
      <c r="C38" s="4">
        <v>-0.74160398595426702</v>
      </c>
      <c r="D38" s="4">
        <v>-0.84463018621251895</v>
      </c>
      <c r="E38" s="4">
        <v>-0.77081991059297605</v>
      </c>
      <c r="H38" s="5" t="s">
        <v>54</v>
      </c>
      <c r="I38" s="4">
        <v>2.9359597987391601</v>
      </c>
      <c r="J38" s="4">
        <v>-8.9168227673642894E-2</v>
      </c>
      <c r="K38" s="4">
        <v>-1.3638208639039699</v>
      </c>
      <c r="L38" s="4">
        <v>-1.3803442150615799</v>
      </c>
      <c r="M38" s="2">
        <v>5.0619224292971533E-2</v>
      </c>
      <c r="N38">
        <f t="shared" si="0"/>
        <v>0.50619224292971532</v>
      </c>
      <c r="AC38" s="4">
        <v>533779200</v>
      </c>
      <c r="AD38" s="4">
        <v>-1.25398639343045</v>
      </c>
      <c r="AE38" s="4">
        <v>-0.83571427123340003</v>
      </c>
      <c r="AF38" s="4">
        <v>-0.95130479208998897</v>
      </c>
      <c r="AG38" s="4">
        <v>-0.85722608434641401</v>
      </c>
      <c r="AH38" s="4">
        <v>-0.62244098189559605</v>
      </c>
      <c r="AI38" s="4">
        <v>-0.32886381019439298</v>
      </c>
      <c r="AJ38" s="4">
        <v>0</v>
      </c>
      <c r="AK38" s="4">
        <v>0</v>
      </c>
      <c r="AL38" s="4">
        <v>0</v>
      </c>
      <c r="AM38" s="4">
        <v>0</v>
      </c>
    </row>
    <row r="39" spans="1:39" x14ac:dyDescent="0.35">
      <c r="A39" s="5">
        <v>31837</v>
      </c>
      <c r="B39" s="4">
        <v>1.1481494925034601</v>
      </c>
      <c r="C39" s="4">
        <v>0.19108756483737399</v>
      </c>
      <c r="D39" s="4">
        <v>0.49219478485616103</v>
      </c>
      <c r="E39" s="4">
        <v>0.276474833572811</v>
      </c>
      <c r="H39" s="5" t="s">
        <v>55</v>
      </c>
      <c r="I39" s="4">
        <v>3.7818314652403702</v>
      </c>
      <c r="J39" s="4">
        <v>0.26319603038331002</v>
      </c>
      <c r="K39" s="4">
        <v>-6.4472340186419203E-2</v>
      </c>
      <c r="L39" s="4">
        <v>0.26680466668622699</v>
      </c>
      <c r="M39" s="3">
        <v>5.5772952002616283E-2</v>
      </c>
      <c r="N39">
        <f t="shared" si="0"/>
        <v>0.55772952002616283</v>
      </c>
      <c r="AC39" s="4">
        <v>541555200</v>
      </c>
      <c r="AD39" s="4">
        <v>0.96073683728002401</v>
      </c>
      <c r="AE39" s="4">
        <v>9.1356823103072193E-2</v>
      </c>
      <c r="AF39" s="4">
        <v>0.33161210986034301</v>
      </c>
      <c r="AG39" s="4">
        <v>0.136069199081953</v>
      </c>
      <c r="AH39" s="4">
        <v>-0.35193242680951797</v>
      </c>
      <c r="AI39" s="4">
        <v>0.68354453666985804</v>
      </c>
      <c r="AJ39" s="4">
        <v>0</v>
      </c>
      <c r="AK39" s="4">
        <v>0</v>
      </c>
      <c r="AL39" s="4">
        <v>0</v>
      </c>
      <c r="AM39" s="4">
        <v>0</v>
      </c>
    </row>
    <row r="40" spans="1:39" x14ac:dyDescent="0.35">
      <c r="A40" s="5">
        <v>31929</v>
      </c>
      <c r="B40" s="4">
        <v>1.82900824334208</v>
      </c>
      <c r="C40" s="4">
        <v>0.55684105431284503</v>
      </c>
      <c r="D40" s="4">
        <v>0.95708550518327795</v>
      </c>
      <c r="E40" s="4">
        <v>0.67034142299947097</v>
      </c>
      <c r="H40" s="5" t="s">
        <v>56</v>
      </c>
      <c r="I40" s="4">
        <v>3.57176672072928</v>
      </c>
      <c r="J40" s="4">
        <v>0.34811272889966399</v>
      </c>
      <c r="K40" s="4">
        <v>0.287233218836974</v>
      </c>
      <c r="L40" s="4">
        <v>0.946961423255542</v>
      </c>
      <c r="M40" s="2">
        <v>0.1319421972494712</v>
      </c>
      <c r="N40">
        <f t="shared" si="0"/>
        <v>1.319421972494712</v>
      </c>
      <c r="AC40" s="4">
        <v>549504000</v>
      </c>
      <c r="AD40" s="4">
        <v>1.63262851131811</v>
      </c>
      <c r="AE40" s="4">
        <v>0.45188613968147401</v>
      </c>
      <c r="AF40" s="4">
        <v>0.77818717312834795</v>
      </c>
      <c r="AG40" s="4">
        <v>0.51261193966986496</v>
      </c>
      <c r="AH40" s="4">
        <v>-0.15016404749510501</v>
      </c>
      <c r="AI40" s="4">
        <v>0.92835122062345898</v>
      </c>
      <c r="AJ40" s="4">
        <v>0</v>
      </c>
      <c r="AK40" s="4">
        <v>0</v>
      </c>
      <c r="AL40" s="4">
        <v>0</v>
      </c>
      <c r="AM40" s="4">
        <v>0</v>
      </c>
    </row>
    <row r="41" spans="1:39" x14ac:dyDescent="0.35">
      <c r="A41" s="5">
        <v>32021</v>
      </c>
      <c r="B41" s="4">
        <v>1.5785598121728199</v>
      </c>
      <c r="C41" s="4">
        <v>0.67831035727212496</v>
      </c>
      <c r="D41" s="4">
        <v>0.96154345102773997</v>
      </c>
      <c r="E41" s="4">
        <v>0.75862892382715397</v>
      </c>
      <c r="H41" s="5" t="s">
        <v>57</v>
      </c>
      <c r="I41" s="4">
        <v>3.0723281465164902</v>
      </c>
      <c r="J41" s="4">
        <v>0.85212472338164602</v>
      </c>
      <c r="K41" s="4">
        <v>0.16321667582029201</v>
      </c>
      <c r="L41" s="4">
        <v>0.36165841181775799</v>
      </c>
      <c r="M41" s="3">
        <v>0.16508467384503051</v>
      </c>
      <c r="N41">
        <f t="shared" si="0"/>
        <v>1.6508467384503049</v>
      </c>
      <c r="AC41" s="4">
        <v>557452800</v>
      </c>
      <c r="AD41" s="4">
        <v>1.3932135096696601</v>
      </c>
      <c r="AE41" s="4">
        <v>0.58162161112176003</v>
      </c>
      <c r="AF41" s="4">
        <v>0.80590701121816399</v>
      </c>
      <c r="AG41" s="4">
        <v>0.62336193355561298</v>
      </c>
      <c r="AH41" s="4">
        <v>0.167798014908739</v>
      </c>
      <c r="AI41" s="4">
        <v>0.63810899630942697</v>
      </c>
      <c r="AJ41" s="4">
        <v>0</v>
      </c>
      <c r="AK41" s="4">
        <v>0</v>
      </c>
      <c r="AL41" s="4">
        <v>0</v>
      </c>
      <c r="AM41" s="4">
        <v>0</v>
      </c>
    </row>
    <row r="42" spans="1:39" x14ac:dyDescent="0.35">
      <c r="A42" s="5">
        <v>32112</v>
      </c>
      <c r="B42" s="4">
        <v>2.2446444274908202</v>
      </c>
      <c r="C42" s="4">
        <v>1.2297658744947999</v>
      </c>
      <c r="D42" s="4">
        <v>1.5490631434756399</v>
      </c>
      <c r="E42" s="4">
        <v>1.3203114340176101</v>
      </c>
      <c r="H42" s="5" t="s">
        <v>58</v>
      </c>
      <c r="I42" s="4">
        <v>3.56473407471035</v>
      </c>
      <c r="J42" s="4">
        <v>-3.3719124600180797E-2</v>
      </c>
      <c r="K42" s="4">
        <v>0.15498528856736399</v>
      </c>
      <c r="L42" s="4">
        <v>0.46190457351964098</v>
      </c>
      <c r="M42" s="2">
        <v>0.17017273250909551</v>
      </c>
      <c r="N42">
        <f t="shared" si="0"/>
        <v>1.701727325090955</v>
      </c>
      <c r="AC42" s="4">
        <v>565315200</v>
      </c>
      <c r="AD42" s="4">
        <v>2.0998413903843201</v>
      </c>
      <c r="AE42" s="4">
        <v>1.15519415966132</v>
      </c>
      <c r="AF42" s="4">
        <v>1.4162497252377499</v>
      </c>
      <c r="AG42" s="4">
        <v>1.2037775425994399</v>
      </c>
      <c r="AH42" s="4">
        <v>0.67352681567982398</v>
      </c>
      <c r="AI42" s="4">
        <v>0.74272290955792397</v>
      </c>
      <c r="AJ42" s="4">
        <v>3.1200434495100699E-2</v>
      </c>
      <c r="AK42" s="4">
        <v>0</v>
      </c>
      <c r="AL42" s="4">
        <v>0</v>
      </c>
      <c r="AM42" s="4">
        <v>0</v>
      </c>
    </row>
    <row r="43" spans="1:39" x14ac:dyDescent="0.35">
      <c r="A43" s="5">
        <v>32203</v>
      </c>
      <c r="B43" s="4">
        <v>2.4601508398652299</v>
      </c>
      <c r="C43" s="4">
        <v>1.2222146224847501</v>
      </c>
      <c r="D43" s="4">
        <v>1.6116894539463</v>
      </c>
      <c r="E43" s="4">
        <v>1.33266096813405</v>
      </c>
      <c r="H43" s="5" t="s">
        <v>59</v>
      </c>
      <c r="I43" s="4">
        <v>4.2063158503276501</v>
      </c>
      <c r="J43" s="4">
        <v>0.51603468102833705</v>
      </c>
      <c r="K43" s="4">
        <v>1.2276226252553599</v>
      </c>
      <c r="L43" s="4">
        <v>2.0155058754195698</v>
      </c>
      <c r="M43" s="3">
        <v>0.1474440842917836</v>
      </c>
      <c r="N43">
        <f t="shared" si="0"/>
        <v>1.4744408429178359</v>
      </c>
      <c r="AC43" s="4">
        <v>573177600</v>
      </c>
      <c r="AD43" s="4">
        <v>2.3183836466187802</v>
      </c>
      <c r="AE43" s="4">
        <v>1.1474476959073701</v>
      </c>
      <c r="AF43" s="4">
        <v>1.4710387010202299</v>
      </c>
      <c r="AG43" s="4">
        <v>1.2076691498419601</v>
      </c>
      <c r="AH43" s="4">
        <v>0.550397716816317</v>
      </c>
      <c r="AI43" s="4">
        <v>0.92064098420391605</v>
      </c>
      <c r="AJ43" s="4">
        <v>9.9494889568367398E-2</v>
      </c>
      <c r="AK43" s="4">
        <v>0</v>
      </c>
      <c r="AL43" s="4">
        <v>0</v>
      </c>
      <c r="AM43" s="4">
        <v>0</v>
      </c>
    </row>
    <row r="44" spans="1:39" x14ac:dyDescent="0.35">
      <c r="A44" s="5">
        <v>32295</v>
      </c>
      <c r="B44" s="4">
        <v>2.93142080802208</v>
      </c>
      <c r="C44" s="4">
        <v>1.4253303188975699</v>
      </c>
      <c r="D44" s="4">
        <v>1.8991708376432099</v>
      </c>
      <c r="E44" s="4">
        <v>1.5597008853334899</v>
      </c>
      <c r="H44" s="5" t="s">
        <v>60</v>
      </c>
      <c r="I44" s="4">
        <v>5.0547457757769996</v>
      </c>
      <c r="J44" s="4">
        <v>0.91105616605561701</v>
      </c>
      <c r="K44" s="4">
        <v>1.8937124193955399</v>
      </c>
      <c r="L44" s="4">
        <v>2.26401288659696</v>
      </c>
      <c r="M44" s="2">
        <v>0.21465917369338389</v>
      </c>
      <c r="N44">
        <f t="shared" si="0"/>
        <v>2.1465917369338388</v>
      </c>
      <c r="AC44" s="4">
        <v>581126400</v>
      </c>
      <c r="AD44" s="4">
        <v>2.79503958126601</v>
      </c>
      <c r="AE44" s="4">
        <v>1.3521619394609901</v>
      </c>
      <c r="AF44" s="4">
        <v>1.75090469399243</v>
      </c>
      <c r="AG44" s="4">
        <v>1.4263694051950599</v>
      </c>
      <c r="AH44" s="4">
        <v>0.61645127540011302</v>
      </c>
      <c r="AI44" s="4">
        <v>1.1344534185923201</v>
      </c>
      <c r="AJ44" s="4">
        <v>0.248449869145628</v>
      </c>
      <c r="AK44" s="4">
        <v>0</v>
      </c>
      <c r="AL44" s="4">
        <v>0</v>
      </c>
      <c r="AM44" s="4">
        <v>0</v>
      </c>
    </row>
    <row r="45" spans="1:39" x14ac:dyDescent="0.35">
      <c r="A45" s="5">
        <v>32387</v>
      </c>
      <c r="B45" s="4">
        <v>3.30018191570398</v>
      </c>
      <c r="C45" s="4">
        <v>1.37949391709338</v>
      </c>
      <c r="D45" s="4">
        <v>1.9837735431729799</v>
      </c>
      <c r="E45" s="4">
        <v>1.5508540951063201</v>
      </c>
      <c r="H45" s="5" t="s">
        <v>61</v>
      </c>
      <c r="I45" s="4">
        <v>4.0763255322822403</v>
      </c>
      <c r="J45" s="4">
        <v>1.03970737710474</v>
      </c>
      <c r="K45" s="4">
        <v>0.96140944286454499</v>
      </c>
      <c r="L45" s="4">
        <v>1.1132850077199801</v>
      </c>
      <c r="M45" s="3">
        <v>0.1978947516021401</v>
      </c>
      <c r="N45">
        <f t="shared" si="0"/>
        <v>1.978947516021401</v>
      </c>
      <c r="AC45" s="4">
        <v>589075200</v>
      </c>
      <c r="AD45" s="4">
        <v>3.1645898718466801</v>
      </c>
      <c r="AE45" s="4">
        <v>1.30368696918859</v>
      </c>
      <c r="AF45" s="4">
        <v>1.8179520238422699</v>
      </c>
      <c r="AG45" s="4">
        <v>1.3993935519107801</v>
      </c>
      <c r="AH45" s="4">
        <v>0.35482888822567099</v>
      </c>
      <c r="AI45" s="4">
        <v>1.4631231356165999</v>
      </c>
      <c r="AJ45" s="4">
        <v>0.36393433495208699</v>
      </c>
      <c r="AK45" s="4">
        <v>0</v>
      </c>
      <c r="AL45" s="4">
        <v>0</v>
      </c>
      <c r="AM45" s="4">
        <v>0</v>
      </c>
    </row>
    <row r="46" spans="1:39" x14ac:dyDescent="0.35">
      <c r="A46" s="5">
        <v>32478</v>
      </c>
      <c r="B46" s="4">
        <v>5.9432393925225098</v>
      </c>
      <c r="C46" s="4">
        <v>2.3552936916697602</v>
      </c>
      <c r="D46" s="4">
        <v>3.4841196582367502</v>
      </c>
      <c r="E46" s="4">
        <v>2.6754034723544402</v>
      </c>
      <c r="H46" s="5" t="s">
        <v>62</v>
      </c>
      <c r="I46" s="4">
        <v>5.3989449404321004</v>
      </c>
      <c r="J46" s="4">
        <v>1.3437987499066599</v>
      </c>
      <c r="K46" s="4">
        <v>1.15296793546891</v>
      </c>
      <c r="L46" s="4">
        <v>0.630291291388136</v>
      </c>
      <c r="M46" s="2">
        <v>0.32177976298762162</v>
      </c>
      <c r="N46">
        <f t="shared" si="0"/>
        <v>3.2177976298762161</v>
      </c>
      <c r="AC46" s="4">
        <v>596937600</v>
      </c>
      <c r="AD46" s="4">
        <v>5.8351424145245501</v>
      </c>
      <c r="AE46" s="4">
        <v>2.2870422876374099</v>
      </c>
      <c r="AF46" s="4">
        <v>3.2675684091583501</v>
      </c>
      <c r="AG46" s="4">
        <v>2.4695217377019398</v>
      </c>
      <c r="AH46" s="4">
        <v>0.47789712877204399</v>
      </c>
      <c r="AI46" s="4">
        <v>2.78967128038629</v>
      </c>
      <c r="AJ46" s="4">
        <v>1.19848200453892</v>
      </c>
      <c r="AK46" s="4">
        <v>8.9700714886690694E-2</v>
      </c>
      <c r="AL46" s="4">
        <v>0.396115127861983</v>
      </c>
      <c r="AM46" s="4">
        <v>0.146725543031858</v>
      </c>
    </row>
    <row r="47" spans="1:39" x14ac:dyDescent="0.35">
      <c r="A47" s="5">
        <v>32568</v>
      </c>
      <c r="B47" s="4">
        <v>4.46327600870148</v>
      </c>
      <c r="C47" s="4">
        <v>1.5374741639023</v>
      </c>
      <c r="D47" s="4">
        <v>2.45797892367443</v>
      </c>
      <c r="E47" s="4">
        <v>1.7985087126255199</v>
      </c>
      <c r="H47" s="5" t="s">
        <v>63</v>
      </c>
      <c r="I47" s="4">
        <v>11.374151843154401</v>
      </c>
      <c r="J47" s="4">
        <v>4.1882857842644396</v>
      </c>
      <c r="K47" s="4">
        <v>6.7591362460715203</v>
      </c>
      <c r="L47" s="4">
        <v>0.78330617969874305</v>
      </c>
      <c r="M47" s="3">
        <v>0.76701301108157638</v>
      </c>
      <c r="N47">
        <f t="shared" si="0"/>
        <v>7.670130110815764</v>
      </c>
      <c r="AC47" s="4">
        <v>604713600</v>
      </c>
      <c r="AD47" s="4">
        <v>4.3591157154032301</v>
      </c>
      <c r="AE47" s="4">
        <v>1.4718843806633699</v>
      </c>
      <c r="AF47" s="4">
        <v>2.2697778000550799</v>
      </c>
      <c r="AG47" s="4">
        <v>1.6203752257158901</v>
      </c>
      <c r="AH47" s="4">
        <v>-2.8957299325365601E-4</v>
      </c>
      <c r="AI47" s="4">
        <v>2.2700673730483301</v>
      </c>
      <c r="AJ47" s="4">
        <v>0.73722366106350901</v>
      </c>
      <c r="AK47" s="4">
        <v>0</v>
      </c>
      <c r="AL47" s="4">
        <v>8.4305562517212704E-2</v>
      </c>
      <c r="AM47" s="4">
        <v>0</v>
      </c>
    </row>
    <row r="48" spans="1:39" x14ac:dyDescent="0.35">
      <c r="A48" s="5">
        <v>32660</v>
      </c>
      <c r="B48" s="4">
        <v>6.28963685514963</v>
      </c>
      <c r="C48" s="4">
        <v>2.2838837514911998</v>
      </c>
      <c r="D48" s="4">
        <v>3.5441587099420202</v>
      </c>
      <c r="E48" s="4">
        <v>2.6412695244097599</v>
      </c>
      <c r="H48" s="5" t="s">
        <v>64</v>
      </c>
      <c r="I48" s="4">
        <v>12.572315820497501</v>
      </c>
      <c r="J48" s="4">
        <v>5.6538420544783401</v>
      </c>
      <c r="K48" s="4">
        <v>7.8272396976899197</v>
      </c>
      <c r="L48" s="4">
        <v>1.26726668642579</v>
      </c>
      <c r="M48" s="2">
        <v>0.85649688388105993</v>
      </c>
      <c r="N48">
        <f t="shared" si="0"/>
        <v>8.5649688388106</v>
      </c>
      <c r="AC48" s="4">
        <v>612662400</v>
      </c>
      <c r="AD48" s="4">
        <v>6.2231935770599804</v>
      </c>
      <c r="AE48" s="4">
        <v>2.2338379446025498</v>
      </c>
      <c r="AF48" s="4">
        <v>3.3363061010164401</v>
      </c>
      <c r="AG48" s="4">
        <v>2.4390112474657299</v>
      </c>
      <c r="AH48" s="4">
        <v>0.19970047064556801</v>
      </c>
      <c r="AI48" s="4">
        <v>3.13660563037087</v>
      </c>
      <c r="AJ48" s="4">
        <v>1.3197479928312399</v>
      </c>
      <c r="AK48" s="4">
        <v>7.3074357688297495E-2</v>
      </c>
      <c r="AL48" s="4">
        <v>0.41759565656763797</v>
      </c>
      <c r="AM48" s="4">
        <v>0.137191014833041</v>
      </c>
    </row>
    <row r="49" spans="1:39" x14ac:dyDescent="0.35">
      <c r="A49" s="5">
        <v>32752</v>
      </c>
      <c r="B49" s="4">
        <v>5.8125371049978396</v>
      </c>
      <c r="C49" s="4">
        <v>1.9135485674510999</v>
      </c>
      <c r="D49" s="4">
        <v>3.1402336601167402</v>
      </c>
      <c r="E49" s="4">
        <v>2.2614090061833498</v>
      </c>
      <c r="H49" s="5" t="s">
        <v>65</v>
      </c>
      <c r="I49" s="4">
        <v>13.7352902457525</v>
      </c>
      <c r="J49" s="4">
        <v>6.2021494001700201</v>
      </c>
      <c r="K49" s="4">
        <v>8.5887699370575099</v>
      </c>
      <c r="L49" s="4">
        <v>1.4826182123584299</v>
      </c>
      <c r="M49" s="3">
        <v>0.83818897306555007</v>
      </c>
      <c r="N49">
        <f t="shared" si="0"/>
        <v>8.3818897306555016</v>
      </c>
      <c r="AC49" s="4">
        <v>620611200</v>
      </c>
      <c r="AD49" s="4">
        <v>5.7626222278322796</v>
      </c>
      <c r="AE49" s="4">
        <v>1.8710273303903999</v>
      </c>
      <c r="AF49" s="4">
        <v>2.9464790693093601</v>
      </c>
      <c r="AG49" s="4">
        <v>2.07117278045193</v>
      </c>
      <c r="AH49" s="4">
        <v>-0.113262801565066</v>
      </c>
      <c r="AI49" s="4">
        <v>3.0597418708744302</v>
      </c>
      <c r="AJ49" s="4">
        <v>1.1758194461975899</v>
      </c>
      <c r="AK49" s="4">
        <v>0</v>
      </c>
      <c r="AL49" s="4">
        <v>0.29577470915917597</v>
      </c>
      <c r="AM49" s="4">
        <v>2.2241493891227E-2</v>
      </c>
    </row>
    <row r="50" spans="1:39" x14ac:dyDescent="0.35">
      <c r="A50" s="5">
        <v>32843</v>
      </c>
      <c r="B50" s="4">
        <v>7.9017503320762801</v>
      </c>
      <c r="C50" s="4">
        <v>2.4491825541713701</v>
      </c>
      <c r="D50" s="4">
        <v>4.1646488976845202</v>
      </c>
      <c r="E50" s="4">
        <v>2.93565041658597</v>
      </c>
      <c r="H50" s="5" t="s">
        <v>66</v>
      </c>
      <c r="I50" s="4">
        <v>12.215236155116299</v>
      </c>
      <c r="J50" s="4">
        <v>6.1798523953123503</v>
      </c>
      <c r="K50" s="4">
        <v>6.5536454673638698</v>
      </c>
      <c r="L50" s="4">
        <v>0.38582967394075801</v>
      </c>
      <c r="M50" s="2">
        <v>0.69317713072198994</v>
      </c>
      <c r="N50">
        <f t="shared" si="0"/>
        <v>6.9317713072198996</v>
      </c>
      <c r="AC50" s="4">
        <v>628473600</v>
      </c>
      <c r="AD50" s="4">
        <v>7.9087162419654797</v>
      </c>
      <c r="AE50" s="4">
        <v>2.42818484285932</v>
      </c>
      <c r="AF50" s="4">
        <v>3.9427430583722098</v>
      </c>
      <c r="AG50" s="4">
        <v>2.7100495930087898</v>
      </c>
      <c r="AH50" s="4">
        <v>-0.366290085727698</v>
      </c>
      <c r="AI50" s="4">
        <v>4.3090331440999101</v>
      </c>
      <c r="AJ50" s="4">
        <v>1.8464738256142099</v>
      </c>
      <c r="AK50" s="4">
        <v>0.133807763393539</v>
      </c>
      <c r="AL50" s="4">
        <v>0.60710720574131705</v>
      </c>
      <c r="AM50" s="4">
        <v>0.221890497815246</v>
      </c>
    </row>
    <row r="51" spans="1:39" x14ac:dyDescent="0.35">
      <c r="A51" s="5">
        <v>32933</v>
      </c>
      <c r="B51" s="4">
        <v>7.8669539394998598</v>
      </c>
      <c r="C51" s="4">
        <v>2.5526534110032899</v>
      </c>
      <c r="D51" s="4">
        <v>4.2246186331307998</v>
      </c>
      <c r="E51" s="4">
        <v>3.02678532895992</v>
      </c>
      <c r="H51" s="5" t="s">
        <v>67</v>
      </c>
      <c r="I51" s="4">
        <v>13.356598650427401</v>
      </c>
      <c r="J51" s="4">
        <v>7.2302218811967496</v>
      </c>
      <c r="K51" s="4">
        <v>6.8579423672965403</v>
      </c>
      <c r="L51" s="4">
        <v>1.6598197775347301</v>
      </c>
      <c r="M51" s="3">
        <v>0.45225930331056291</v>
      </c>
      <c r="N51">
        <f t="shared" si="0"/>
        <v>4.522593033105629</v>
      </c>
      <c r="AC51" s="4">
        <v>636249600</v>
      </c>
      <c r="AD51" s="4">
        <v>7.93517146070901</v>
      </c>
      <c r="AE51" s="4">
        <v>2.5640258943700198</v>
      </c>
      <c r="AF51" s="4">
        <v>4.0483550682784299</v>
      </c>
      <c r="AG51" s="4">
        <v>2.8402649107762499</v>
      </c>
      <c r="AH51" s="4">
        <v>-0.17467415675523201</v>
      </c>
      <c r="AI51" s="4">
        <v>4.2230292250336596</v>
      </c>
      <c r="AJ51" s="4">
        <v>1.8547410814715699</v>
      </c>
      <c r="AK51" s="4">
        <v>0.176258091990632</v>
      </c>
      <c r="AL51" s="4">
        <v>0.64011095883700997</v>
      </c>
      <c r="AM51" s="4">
        <v>0.262582784617577</v>
      </c>
    </row>
    <row r="52" spans="1:39" x14ac:dyDescent="0.35">
      <c r="A52" s="5">
        <v>33025</v>
      </c>
      <c r="B52" s="4">
        <v>7.6459782686162097</v>
      </c>
      <c r="C52" s="4">
        <v>2.5840081559240602</v>
      </c>
      <c r="D52" s="4">
        <v>4.1765861327409697</v>
      </c>
      <c r="E52" s="4">
        <v>3.0356276278188399</v>
      </c>
      <c r="H52" s="5" t="s">
        <v>68</v>
      </c>
      <c r="I52" s="4">
        <v>9.5224448551465208</v>
      </c>
      <c r="J52" s="4">
        <v>5.6483566131369898</v>
      </c>
      <c r="K52" s="4">
        <v>4.2668720536958498</v>
      </c>
      <c r="L52" s="4">
        <v>-0.101139099830197</v>
      </c>
      <c r="M52" s="2">
        <v>0.33751081350820528</v>
      </c>
      <c r="N52">
        <f t="shared" si="0"/>
        <v>3.3751081350820527</v>
      </c>
      <c r="AC52" s="4">
        <v>644198400</v>
      </c>
      <c r="AD52" s="4">
        <v>7.7603110890760298</v>
      </c>
      <c r="AE52" s="4">
        <v>2.62059150046947</v>
      </c>
      <c r="AF52" s="4">
        <v>4.04096554113754</v>
      </c>
      <c r="AG52" s="4">
        <v>2.8849282357570698</v>
      </c>
      <c r="AH52" s="4">
        <v>-1.06472845872812E-4</v>
      </c>
      <c r="AI52" s="4">
        <v>4.0410720139834098</v>
      </c>
      <c r="AJ52" s="4">
        <v>1.80009721533626</v>
      </c>
      <c r="AK52" s="4">
        <v>0.19393484389670901</v>
      </c>
      <c r="AL52" s="4">
        <v>0.63780173160548204</v>
      </c>
      <c r="AM52" s="4">
        <v>0.27654007367408401</v>
      </c>
    </row>
    <row r="53" spans="1:39" x14ac:dyDescent="0.35">
      <c r="A53" s="5">
        <v>33117</v>
      </c>
      <c r="B53" s="4">
        <v>7.0131140397273102</v>
      </c>
      <c r="C53" s="4">
        <v>2.4148644200630498</v>
      </c>
      <c r="D53" s="4">
        <v>3.8615484014288199</v>
      </c>
      <c r="E53" s="4">
        <v>2.8251116199954001</v>
      </c>
      <c r="H53" s="5" t="s">
        <v>69</v>
      </c>
      <c r="I53" s="4">
        <v>6.7199846331014603</v>
      </c>
      <c r="J53" s="4">
        <v>4.4442858070290496</v>
      </c>
      <c r="K53" s="4">
        <v>2.45457565876809</v>
      </c>
      <c r="L53" s="4">
        <v>-1.6681772335257501</v>
      </c>
      <c r="M53" s="3">
        <v>0.33316167188838702</v>
      </c>
      <c r="N53">
        <f t="shared" si="0"/>
        <v>3.3316167188838701</v>
      </c>
      <c r="AC53" s="4">
        <v>652147200</v>
      </c>
      <c r="AD53" s="4">
        <v>7.1378225439980998</v>
      </c>
      <c r="AE53" s="4">
        <v>2.4590142662707</v>
      </c>
      <c r="AF53" s="4">
        <v>3.7520143423212602</v>
      </c>
      <c r="AG53" s="4">
        <v>2.69964624703336</v>
      </c>
      <c r="AH53" s="4">
        <v>7.3330930908907896E-2</v>
      </c>
      <c r="AI53" s="4">
        <v>3.6786834114123499</v>
      </c>
      <c r="AJ53" s="4">
        <v>1.6055695449994101</v>
      </c>
      <c r="AK53" s="4">
        <v>0.14344195820959199</v>
      </c>
      <c r="AL53" s="4">
        <v>0.54750448197539303</v>
      </c>
      <c r="AM53" s="4">
        <v>0.21863945219792599</v>
      </c>
    </row>
    <row r="54" spans="1:39" x14ac:dyDescent="0.35">
      <c r="A54" s="5">
        <v>33208</v>
      </c>
      <c r="B54" s="4">
        <v>10.9294690638184</v>
      </c>
      <c r="C54" s="4">
        <v>3.9548238921332302</v>
      </c>
      <c r="D54" s="4">
        <v>6.1491604941386999</v>
      </c>
      <c r="E54" s="4">
        <v>4.5770886426089499</v>
      </c>
      <c r="H54" s="5" t="s">
        <v>70</v>
      </c>
      <c r="I54" s="4">
        <v>3.81424352205249</v>
      </c>
      <c r="J54" s="4">
        <v>3.2855955933179799</v>
      </c>
      <c r="K54" s="4">
        <v>-0.76714889817435705</v>
      </c>
      <c r="L54" s="4">
        <v>-3.6473419288426099</v>
      </c>
      <c r="M54" s="2">
        <v>0.40730801979424758</v>
      </c>
      <c r="N54">
        <f t="shared" si="0"/>
        <v>4.0730801979424758</v>
      </c>
      <c r="AC54" s="4">
        <v>660009600</v>
      </c>
      <c r="AD54" s="4">
        <v>11.0745500583505</v>
      </c>
      <c r="AE54" s="4">
        <v>4.0003664989110304</v>
      </c>
      <c r="AF54" s="4">
        <v>5.9553343747893797</v>
      </c>
      <c r="AG54" s="4">
        <v>4.3641930763517003</v>
      </c>
      <c r="AH54" s="4">
        <v>0.39330230066557198</v>
      </c>
      <c r="AI54" s="4">
        <v>5.5620320741238203</v>
      </c>
      <c r="AJ54" s="4">
        <v>2.5</v>
      </c>
      <c r="AK54" s="4">
        <v>0.62511453090969704</v>
      </c>
      <c r="AL54" s="4">
        <v>1.2360419921216801</v>
      </c>
      <c r="AM54" s="4">
        <v>0.73881033635990501</v>
      </c>
    </row>
    <row r="55" spans="1:39" x14ac:dyDescent="0.35">
      <c r="A55" s="5">
        <v>33298</v>
      </c>
      <c r="B55" s="4">
        <v>10.522377659175</v>
      </c>
      <c r="C55" s="4">
        <v>3.69204821109096</v>
      </c>
      <c r="D55" s="4">
        <v>5.8409807435348302</v>
      </c>
      <c r="E55" s="4">
        <v>4.3014373835945099</v>
      </c>
      <c r="H55" s="5" t="s">
        <v>71</v>
      </c>
      <c r="I55" s="4">
        <v>1.6956565123137399</v>
      </c>
      <c r="J55" s="4">
        <v>2.9683327277422</v>
      </c>
      <c r="K55" s="4">
        <v>-3.14681803179703</v>
      </c>
      <c r="L55" s="4">
        <v>-5.1424919421260498</v>
      </c>
      <c r="M55" s="3">
        <v>0.44248856103630668</v>
      </c>
      <c r="N55">
        <f t="shared" ref="N55:N69" si="1">M55*10</f>
        <v>4.4248856103630665</v>
      </c>
      <c r="AC55" s="4">
        <v>667785600</v>
      </c>
      <c r="AD55" s="4">
        <v>10.633011536343</v>
      </c>
      <c r="AE55" s="4">
        <v>3.71981702563227</v>
      </c>
      <c r="AF55" s="4">
        <v>5.6302951853492704</v>
      </c>
      <c r="AG55" s="4">
        <v>4.0753639063259897</v>
      </c>
      <c r="AH55" s="4">
        <v>0.194839732412594</v>
      </c>
      <c r="AI55" s="4">
        <v>5.4354554529366803</v>
      </c>
      <c r="AJ55" s="4">
        <v>2.5</v>
      </c>
      <c r="AK55" s="4">
        <v>0.53744282051008396</v>
      </c>
      <c r="AL55" s="4">
        <v>1.13446724542165</v>
      </c>
      <c r="AM55" s="4">
        <v>0.64855122072687199</v>
      </c>
    </row>
    <row r="56" spans="1:39" x14ac:dyDescent="0.35">
      <c r="A56" s="5">
        <v>33390</v>
      </c>
      <c r="B56" s="4">
        <v>10.437682966674201</v>
      </c>
      <c r="C56" s="4">
        <v>3.6560665045196798</v>
      </c>
      <c r="D56" s="4">
        <v>5.7896731407513604</v>
      </c>
      <c r="E56" s="4">
        <v>4.2611095958552001</v>
      </c>
      <c r="H56" s="5" t="s">
        <v>72</v>
      </c>
      <c r="I56" s="4">
        <v>1.2020644189615901</v>
      </c>
      <c r="J56" s="4">
        <v>2.7256787453956699</v>
      </c>
      <c r="K56" s="4">
        <v>-3.8047008365726298</v>
      </c>
      <c r="L56" s="4">
        <v>-5.2051979226127001</v>
      </c>
      <c r="M56" s="2">
        <v>0.58940259283307017</v>
      </c>
      <c r="N56">
        <f t="shared" si="1"/>
        <v>5.8940259283307022</v>
      </c>
      <c r="AC56" s="4">
        <v>675734400</v>
      </c>
      <c r="AD56" s="4">
        <v>10.500250100738601</v>
      </c>
      <c r="AE56" s="4">
        <v>3.6595641992203398</v>
      </c>
      <c r="AF56" s="4">
        <v>5.5500044279867602</v>
      </c>
      <c r="AG56" s="4">
        <v>4.0113819486445799</v>
      </c>
      <c r="AH56" s="4">
        <v>0.171558410356624</v>
      </c>
      <c r="AI56" s="4">
        <v>5.3784460176301296</v>
      </c>
      <c r="AJ56" s="4">
        <v>2.5</v>
      </c>
      <c r="AK56" s="4">
        <v>0.51861381225635705</v>
      </c>
      <c r="AL56" s="4">
        <v>1.1093763837458599</v>
      </c>
      <c r="AM56" s="4">
        <v>0.62855685895143198</v>
      </c>
    </row>
    <row r="57" spans="1:39" x14ac:dyDescent="0.35">
      <c r="A57" s="5">
        <v>33482</v>
      </c>
      <c r="B57" s="4">
        <v>9.7438508563227906</v>
      </c>
      <c r="C57" s="4">
        <v>3.4148458094780998</v>
      </c>
      <c r="D57" s="4">
        <v>5.4060535464608304</v>
      </c>
      <c r="E57" s="4">
        <v>3.9795077599129201</v>
      </c>
      <c r="H57" s="5" t="s">
        <v>73</v>
      </c>
      <c r="I57" s="4">
        <v>-0.957725930423731</v>
      </c>
      <c r="J57" s="4">
        <v>1.93439618067784</v>
      </c>
      <c r="K57" s="4">
        <v>-4.4137205298003899</v>
      </c>
      <c r="L57" s="4">
        <v>-5.62685369576693</v>
      </c>
      <c r="M57" s="3">
        <v>0.57137871713900823</v>
      </c>
      <c r="N57">
        <f t="shared" si="1"/>
        <v>5.7137871713900825</v>
      </c>
      <c r="AC57" s="4">
        <v>683683200</v>
      </c>
      <c r="AD57" s="4">
        <v>9.7763319134152997</v>
      </c>
      <c r="AE57" s="4">
        <v>3.4048574500332398</v>
      </c>
      <c r="AF57" s="4">
        <v>5.1656299537761896</v>
      </c>
      <c r="AG57" s="4">
        <v>3.7325435678425198</v>
      </c>
      <c r="AH57" s="4">
        <v>0.156098461268487</v>
      </c>
      <c r="AI57" s="4">
        <v>5.0095314925077004</v>
      </c>
      <c r="AJ57" s="4">
        <v>2.4301037229422802</v>
      </c>
      <c r="AK57" s="4">
        <v>0.439017953135387</v>
      </c>
      <c r="AL57" s="4">
        <v>0.98925936055505803</v>
      </c>
      <c r="AM57" s="4">
        <v>0.54141986495078798</v>
      </c>
    </row>
    <row r="58" spans="1:39" x14ac:dyDescent="0.35">
      <c r="A58" s="5">
        <v>33573</v>
      </c>
      <c r="B58" s="4">
        <v>10.547395879091599</v>
      </c>
      <c r="C58" s="4">
        <v>3.6541887906905801</v>
      </c>
      <c r="D58" s="4">
        <v>5.8229036495753004</v>
      </c>
      <c r="E58" s="4">
        <v>4.2691877882388898</v>
      </c>
      <c r="H58" s="5" t="s">
        <v>74</v>
      </c>
      <c r="I58" s="4">
        <v>-3.5505089478962701</v>
      </c>
      <c r="J58" s="4">
        <v>0.100978111743249</v>
      </c>
      <c r="K58" s="4">
        <v>-6.2685646591426103</v>
      </c>
      <c r="L58" s="4">
        <v>-6.60868700165899</v>
      </c>
      <c r="M58" s="2">
        <v>0.50753772089007376</v>
      </c>
      <c r="N58">
        <f t="shared" si="1"/>
        <v>5.0753772089007381</v>
      </c>
      <c r="AC58" s="4">
        <v>691545600</v>
      </c>
      <c r="AD58" s="4">
        <v>10.5796116115304</v>
      </c>
      <c r="AE58" s="4">
        <v>3.6415491378624698</v>
      </c>
      <c r="AF58" s="4">
        <v>5.5588996197791198</v>
      </c>
      <c r="AG58" s="4">
        <v>3.99837498252068</v>
      </c>
      <c r="AH58" s="4">
        <v>0.103891888275763</v>
      </c>
      <c r="AI58" s="4">
        <v>5.4550077315033603</v>
      </c>
      <c r="AJ58" s="4">
        <v>2.5</v>
      </c>
      <c r="AK58" s="4">
        <v>0.51298410558202101</v>
      </c>
      <c r="AL58" s="4">
        <v>1.11215613118098</v>
      </c>
      <c r="AM58" s="4">
        <v>0.62449218203771395</v>
      </c>
    </row>
    <row r="59" spans="1:39" x14ac:dyDescent="0.35">
      <c r="A59" s="5">
        <v>33664</v>
      </c>
      <c r="B59" s="4">
        <v>10.426756547405899</v>
      </c>
      <c r="C59" s="4">
        <v>3.3024541408817099</v>
      </c>
      <c r="D59" s="4">
        <v>5.5438753386018798</v>
      </c>
      <c r="E59" s="4">
        <v>3.9380710289360299</v>
      </c>
      <c r="H59" s="5" t="s">
        <v>75</v>
      </c>
      <c r="I59" s="4">
        <v>-7.0813935359790898</v>
      </c>
      <c r="J59" s="4">
        <v>-2.0487998536743</v>
      </c>
      <c r="K59" s="4">
        <v>-8.7784123447197207</v>
      </c>
      <c r="L59" s="4">
        <v>-7.1308113454460598</v>
      </c>
      <c r="M59" s="3">
        <v>0.43800567700671073</v>
      </c>
      <c r="N59">
        <f t="shared" si="1"/>
        <v>4.3800567700671076</v>
      </c>
      <c r="AC59" s="4">
        <v>699408000</v>
      </c>
      <c r="AD59" s="4">
        <v>10.448634230493401</v>
      </c>
      <c r="AE59" s="4">
        <v>3.2817895628669702</v>
      </c>
      <c r="AF59" s="4">
        <v>5.2623645619316299</v>
      </c>
      <c r="AG59" s="4">
        <v>3.6503817183521301</v>
      </c>
      <c r="AH59" s="4">
        <v>-0.37252172235368802</v>
      </c>
      <c r="AI59" s="4">
        <v>5.6348862842853098</v>
      </c>
      <c r="AJ59" s="4">
        <v>2.5</v>
      </c>
      <c r="AK59" s="4">
        <v>0.400559238395928</v>
      </c>
      <c r="AL59" s="4">
        <v>1.0194889256036399</v>
      </c>
      <c r="AM59" s="4">
        <v>0.51574428698504005</v>
      </c>
    </row>
    <row r="60" spans="1:39" x14ac:dyDescent="0.35">
      <c r="A60" s="5">
        <v>33756</v>
      </c>
      <c r="B60" s="4">
        <v>9.7699226693077499</v>
      </c>
      <c r="C60" s="4">
        <v>3.0019500724143602</v>
      </c>
      <c r="D60" s="4">
        <v>5.1312641271313604</v>
      </c>
      <c r="E60" s="4">
        <v>3.6057758837014902</v>
      </c>
      <c r="H60" s="5" t="s">
        <v>76</v>
      </c>
      <c r="I60" s="4">
        <v>-9.8681290033248299</v>
      </c>
      <c r="J60" s="4">
        <v>-3.8993081332136201</v>
      </c>
      <c r="K60" s="4">
        <v>-10.797119437938999</v>
      </c>
      <c r="L60" s="4">
        <v>-8.6070690102234106</v>
      </c>
      <c r="M60" s="2">
        <v>0.32428276062550587</v>
      </c>
      <c r="N60">
        <f t="shared" si="1"/>
        <v>3.2428276062550587</v>
      </c>
      <c r="AC60" s="4">
        <v>707356800</v>
      </c>
      <c r="AD60" s="4">
        <v>9.8186382545411792</v>
      </c>
      <c r="AE60" s="4">
        <v>2.9957499366751299</v>
      </c>
      <c r="AF60" s="4">
        <v>4.8812717598028099</v>
      </c>
      <c r="AG60" s="4">
        <v>3.3466523530588601</v>
      </c>
      <c r="AH60" s="4">
        <v>-0.48318102026373599</v>
      </c>
      <c r="AI60" s="4">
        <v>5.36445278006655</v>
      </c>
      <c r="AJ60" s="4">
        <v>2.4433244545441202</v>
      </c>
      <c r="AK60" s="4">
        <v>0.31117185521098001</v>
      </c>
      <c r="AL60" s="4">
        <v>0.90039742493837904</v>
      </c>
      <c r="AM60" s="4">
        <v>0.42082886033089201</v>
      </c>
    </row>
    <row r="61" spans="1:39" x14ac:dyDescent="0.35">
      <c r="A61" s="5">
        <v>33848</v>
      </c>
      <c r="B61" s="4">
        <v>8.0852659938762397</v>
      </c>
      <c r="C61" s="4">
        <v>2.2386492923361501</v>
      </c>
      <c r="D61" s="4">
        <v>4.0780898244752501</v>
      </c>
      <c r="E61" s="4">
        <v>2.7602734600688499</v>
      </c>
      <c r="H61" s="5" t="s">
        <v>77</v>
      </c>
      <c r="I61" s="4">
        <v>-11.795923536544899</v>
      </c>
      <c r="J61" s="4">
        <v>-5.3872601901033397</v>
      </c>
      <c r="K61" s="4">
        <v>-10.9800643852017</v>
      </c>
      <c r="L61" s="4">
        <v>-8.8108217883264999</v>
      </c>
      <c r="M61" s="3">
        <v>0.20482338334737191</v>
      </c>
      <c r="N61">
        <f t="shared" si="1"/>
        <v>2.0482338334737191</v>
      </c>
      <c r="AC61" s="4">
        <v>715305600</v>
      </c>
      <c r="AD61" s="4">
        <v>8.1685479267678307</v>
      </c>
      <c r="AE61" s="4">
        <v>2.2523720113463201</v>
      </c>
      <c r="AF61" s="4">
        <v>3.88732165119016</v>
      </c>
      <c r="AG61" s="4">
        <v>2.5566420400725201</v>
      </c>
      <c r="AH61" s="4">
        <v>-0.76423423808638002</v>
      </c>
      <c r="AI61" s="4">
        <v>4.6515558892765503</v>
      </c>
      <c r="AJ61" s="4">
        <v>1.9276712271149501</v>
      </c>
      <c r="AK61" s="4">
        <v>7.8866253545726406E-2</v>
      </c>
      <c r="AL61" s="4">
        <v>0.58978801599692599</v>
      </c>
      <c r="AM61" s="4">
        <v>0.17395063752266299</v>
      </c>
    </row>
    <row r="62" spans="1:39" x14ac:dyDescent="0.35">
      <c r="A62" s="5">
        <v>33939</v>
      </c>
      <c r="B62" s="4">
        <v>10.234400538303699</v>
      </c>
      <c r="C62" s="4">
        <v>2.99683504201096</v>
      </c>
      <c r="D62" s="4">
        <v>5.2738906465601003</v>
      </c>
      <c r="E62" s="4">
        <v>3.6425570503342102</v>
      </c>
      <c r="H62" s="5" t="s">
        <v>78</v>
      </c>
      <c r="I62" s="4">
        <v>-14.4382356915945</v>
      </c>
      <c r="J62" s="4">
        <v>-7.10792839627468</v>
      </c>
      <c r="K62" s="4">
        <v>-13.2951084083046</v>
      </c>
      <c r="L62" s="4">
        <v>-10.545830823967</v>
      </c>
      <c r="M62" s="2">
        <v>2.6292112708842439E-2</v>
      </c>
      <c r="N62">
        <f t="shared" si="1"/>
        <v>0.26292112708842441</v>
      </c>
      <c r="AC62" s="4">
        <v>723168000</v>
      </c>
      <c r="AD62" s="4">
        <v>10.325359552642</v>
      </c>
      <c r="AE62" s="4">
        <v>3.0089439239354099</v>
      </c>
      <c r="AF62" s="4">
        <v>5.0308532227986698</v>
      </c>
      <c r="AG62" s="4">
        <v>3.3852285417941101</v>
      </c>
      <c r="AH62" s="4">
        <v>-0.72163228348809105</v>
      </c>
      <c r="AI62" s="4">
        <v>5.7524855062867699</v>
      </c>
      <c r="AJ62" s="4">
        <v>2.5</v>
      </c>
      <c r="AK62" s="4">
        <v>0.315294976229816</v>
      </c>
      <c r="AL62" s="4">
        <v>0.94714163212458402</v>
      </c>
      <c r="AM62" s="4">
        <v>0.432883919310659</v>
      </c>
    </row>
    <row r="63" spans="1:39" x14ac:dyDescent="0.35">
      <c r="A63" s="5">
        <v>34029</v>
      </c>
      <c r="B63" s="4">
        <v>11.8262983329438</v>
      </c>
      <c r="C63" s="4">
        <v>4.0666740909523202</v>
      </c>
      <c r="D63" s="4">
        <v>6.50797785234455</v>
      </c>
      <c r="E63" s="4">
        <v>4.7589732006376204</v>
      </c>
      <c r="H63" s="5" t="s">
        <v>79</v>
      </c>
      <c r="I63" s="4">
        <v>-14.5543022185733</v>
      </c>
      <c r="J63" s="4">
        <v>-7.5770006431461301</v>
      </c>
      <c r="K63" s="4">
        <v>-13.0928707887707</v>
      </c>
      <c r="L63" s="4">
        <v>-9.6628918875334406</v>
      </c>
      <c r="M63" s="3">
        <v>3.2894639875163429E-3</v>
      </c>
      <c r="N63">
        <f t="shared" si="1"/>
        <v>3.2894639875163431E-2</v>
      </c>
      <c r="AC63" s="4">
        <v>730944000</v>
      </c>
      <c r="AD63" s="4">
        <v>11.902863172165</v>
      </c>
      <c r="AE63" s="4">
        <v>4.0728084900958397</v>
      </c>
      <c r="AF63" s="4">
        <v>6.2366631937797496</v>
      </c>
      <c r="AG63" s="4">
        <v>4.47550966009155</v>
      </c>
      <c r="AH63" s="4">
        <v>8.0332230936670093E-2</v>
      </c>
      <c r="AI63" s="4">
        <v>6.1563309628431</v>
      </c>
      <c r="AJ63" s="4">
        <v>2.5</v>
      </c>
      <c r="AK63" s="4">
        <v>0.64775265315495101</v>
      </c>
      <c r="AL63" s="4">
        <v>1.3239572480561701</v>
      </c>
      <c r="AM63" s="4">
        <v>0.77359676877860895</v>
      </c>
    </row>
    <row r="64" spans="1:39" x14ac:dyDescent="0.35">
      <c r="A64" s="5">
        <v>34121</v>
      </c>
      <c r="B64" s="4">
        <v>12.6450995304437</v>
      </c>
      <c r="C64" s="4">
        <v>4.2688962220348303</v>
      </c>
      <c r="D64" s="4">
        <v>6.9041857676735097</v>
      </c>
      <c r="E64" s="4">
        <v>5.0162053586775404</v>
      </c>
      <c r="H64" s="5" t="s">
        <v>80</v>
      </c>
      <c r="I64" s="4">
        <v>-15.4853743927809</v>
      </c>
      <c r="J64" s="4">
        <v>-8.2313798054636695</v>
      </c>
      <c r="K64" s="4">
        <v>-13.663489298762901</v>
      </c>
      <c r="L64" s="4">
        <v>-9.2681748224653902</v>
      </c>
      <c r="M64" s="2">
        <v>-9.0483395258744541E-4</v>
      </c>
      <c r="N64">
        <f t="shared" si="1"/>
        <v>-9.0483395258744541E-3</v>
      </c>
      <c r="AC64" s="4">
        <v>738892800</v>
      </c>
      <c r="AD64" s="4">
        <v>12.6539659877836</v>
      </c>
      <c r="AE64" s="4">
        <v>4.2382911373646701</v>
      </c>
      <c r="AF64" s="4">
        <v>6.5639834025100496</v>
      </c>
      <c r="AG64" s="4">
        <v>4.6711108616416803</v>
      </c>
      <c r="AH64" s="4">
        <v>-5.2787713213898801E-2</v>
      </c>
      <c r="AI64" s="4">
        <v>6.6167711157239504</v>
      </c>
      <c r="AJ64" s="4">
        <v>2.5</v>
      </c>
      <c r="AK64" s="4">
        <v>0.69946598042645902</v>
      </c>
      <c r="AL64" s="4">
        <v>1.4262448132843899</v>
      </c>
      <c r="AM64" s="4">
        <v>0.83472214426302604</v>
      </c>
    </row>
    <row r="65" spans="1:39" x14ac:dyDescent="0.35">
      <c r="A65" s="5">
        <v>34213</v>
      </c>
      <c r="B65" s="4">
        <v>11.920534460293601</v>
      </c>
      <c r="C65" s="4">
        <v>3.98141631459427</v>
      </c>
      <c r="D65" s="4">
        <v>6.4791917721154997</v>
      </c>
      <c r="E65" s="4">
        <v>4.6897295334497597</v>
      </c>
      <c r="H65" s="5" t="s">
        <v>81</v>
      </c>
      <c r="I65" s="4">
        <v>-15.243580234913001</v>
      </c>
      <c r="J65" s="4">
        <v>-8.2380194755820497</v>
      </c>
      <c r="K65" s="4">
        <v>-13.7248551001857</v>
      </c>
      <c r="L65" s="4">
        <v>-9.9975083734561192</v>
      </c>
      <c r="M65" s="3">
        <v>-2.258287284056466E-2</v>
      </c>
      <c r="N65">
        <f t="shared" si="1"/>
        <v>-0.22582872840564661</v>
      </c>
      <c r="AC65" s="4">
        <v>746841600</v>
      </c>
      <c r="AD65" s="4">
        <v>11.8320460724643</v>
      </c>
      <c r="AE65" s="4">
        <v>3.90361724872615</v>
      </c>
      <c r="AF65" s="4">
        <v>6.0946578863294203</v>
      </c>
      <c r="AG65" s="4">
        <v>4.3113778191419101</v>
      </c>
      <c r="AH65" s="4">
        <v>-0.13901912311122</v>
      </c>
      <c r="AI65" s="4">
        <v>6.2336770094406599</v>
      </c>
      <c r="AJ65" s="4">
        <v>2.5</v>
      </c>
      <c r="AK65" s="4">
        <v>0.59488039022692296</v>
      </c>
      <c r="AL65" s="4">
        <v>1.27958058947794</v>
      </c>
      <c r="AM65" s="4">
        <v>0.72230556848184702</v>
      </c>
    </row>
    <row r="66" spans="1:39" x14ac:dyDescent="0.35">
      <c r="A66" s="5">
        <v>34304</v>
      </c>
      <c r="B66" s="4">
        <v>9.3451541353026109</v>
      </c>
      <c r="C66" s="4">
        <v>3.3905331568686399</v>
      </c>
      <c r="D66" s="4">
        <v>5.2639535879313</v>
      </c>
      <c r="E66" s="4">
        <v>3.9217932634566601</v>
      </c>
      <c r="H66" s="5" t="s">
        <v>82</v>
      </c>
      <c r="I66" s="4">
        <v>-14.4880153985857</v>
      </c>
      <c r="J66" s="4">
        <v>-8.7272474775658697</v>
      </c>
      <c r="K66" s="4">
        <v>-12.8275442577993</v>
      </c>
      <c r="L66" s="4">
        <v>-8.4416507862255905</v>
      </c>
      <c r="M66" s="2">
        <v>-2.028639339436095E-2</v>
      </c>
      <c r="N66">
        <f t="shared" si="1"/>
        <v>-0.20286393394360949</v>
      </c>
      <c r="AC66" s="4">
        <v>754704000</v>
      </c>
      <c r="AD66" s="4">
        <v>9.2035971320497403</v>
      </c>
      <c r="AE66" s="4">
        <v>3.2946976671489501</v>
      </c>
      <c r="AF66" s="4">
        <v>4.9276364421489998</v>
      </c>
      <c r="AG66" s="4">
        <v>3.5985934666702399</v>
      </c>
      <c r="AH66" s="4">
        <v>0.28180161606533899</v>
      </c>
      <c r="AI66" s="4">
        <v>4.6458348260836804</v>
      </c>
      <c r="AJ66" s="4">
        <v>2.2511241037655401</v>
      </c>
      <c r="AK66" s="4">
        <v>0.40459302098404598</v>
      </c>
      <c r="AL66" s="4">
        <v>0.91488638817156298</v>
      </c>
      <c r="AM66" s="4">
        <v>0.49956045833445101</v>
      </c>
    </row>
    <row r="67" spans="1:39" x14ac:dyDescent="0.35">
      <c r="A67" s="5">
        <v>34394</v>
      </c>
      <c r="B67" s="4">
        <v>6.9838945748995398</v>
      </c>
      <c r="C67" s="4">
        <v>2.2915628865537099</v>
      </c>
      <c r="D67" s="4">
        <v>3.7678466141171598</v>
      </c>
      <c r="E67" s="4">
        <v>2.71020391205735</v>
      </c>
      <c r="H67" s="5" t="s">
        <v>83</v>
      </c>
      <c r="I67" s="4">
        <v>-14.307145860455201</v>
      </c>
      <c r="J67" s="4">
        <v>-8.8638236798240992</v>
      </c>
      <c r="K67" s="4">
        <v>-12.8744940495602</v>
      </c>
      <c r="L67" s="4">
        <v>-8.1896378171637796</v>
      </c>
      <c r="M67" s="3">
        <v>-2.98889365716185E-2</v>
      </c>
      <c r="N67">
        <f t="shared" si="1"/>
        <v>-0.29888936571618502</v>
      </c>
      <c r="AC67" s="4">
        <v>762480000</v>
      </c>
      <c r="AD67" s="4">
        <v>6.8287515682994604</v>
      </c>
      <c r="AE67" s="4">
        <v>2.1919980942160402</v>
      </c>
      <c r="AF67" s="4">
        <v>3.4733762227359901</v>
      </c>
      <c r="AG67" s="4">
        <v>2.4304671885981399</v>
      </c>
      <c r="AH67" s="4">
        <v>-0.17224186533941899</v>
      </c>
      <c r="AI67" s="4">
        <v>3.6456180880754201</v>
      </c>
      <c r="AJ67" s="4">
        <v>1.50898486509358</v>
      </c>
      <c r="AK67" s="4">
        <v>5.9999404442512498E-2</v>
      </c>
      <c r="AL67" s="4">
        <v>0.46043006960499799</v>
      </c>
      <c r="AM67" s="4">
        <v>0.13452099643691801</v>
      </c>
    </row>
    <row r="68" spans="1:39" x14ac:dyDescent="0.35">
      <c r="A68" s="5">
        <v>34486</v>
      </c>
      <c r="B68" s="4">
        <v>3.9100079302800799</v>
      </c>
      <c r="C68" s="4">
        <v>1.0858716259530199</v>
      </c>
      <c r="D68" s="4">
        <v>1.9743907561871901</v>
      </c>
      <c r="E68" s="4">
        <v>1.3378357659864299</v>
      </c>
      <c r="H68" s="5" t="s">
        <v>84</v>
      </c>
      <c r="I68" s="4">
        <v>-14.281997692433199</v>
      </c>
      <c r="J68" s="4">
        <v>-8.7635023976940492</v>
      </c>
      <c r="K68" s="4">
        <v>-13.2770420226899</v>
      </c>
      <c r="L68" s="4">
        <v>-9.1533922695726204</v>
      </c>
      <c r="M68" s="2">
        <v>-1.6851023988750779E-2</v>
      </c>
      <c r="N68">
        <f t="shared" si="1"/>
        <v>-0.1685102398875078</v>
      </c>
      <c r="AC68" s="4">
        <v>770428800</v>
      </c>
      <c r="AD68" s="4">
        <v>3.7400155157844601</v>
      </c>
      <c r="AE68" s="4">
        <v>0.984679489036419</v>
      </c>
      <c r="AF68" s="4">
        <v>1.7461233184598</v>
      </c>
      <c r="AG68" s="4">
        <v>1.1263869338444401</v>
      </c>
      <c r="AH68" s="4">
        <v>-0.420242203016296</v>
      </c>
      <c r="AI68" s="4">
        <v>2.1663655214761</v>
      </c>
      <c r="AJ68" s="4">
        <v>0.54375484868264201</v>
      </c>
      <c r="AK68" s="4">
        <v>0</v>
      </c>
      <c r="AL68" s="4">
        <v>0</v>
      </c>
      <c r="AM68" s="4">
        <v>0</v>
      </c>
    </row>
    <row r="69" spans="1:39" x14ac:dyDescent="0.35">
      <c r="A69" s="5">
        <v>34578</v>
      </c>
      <c r="B69" s="4">
        <v>1.0618883019460501</v>
      </c>
      <c r="C69" s="4">
        <v>-0.235264400370648</v>
      </c>
      <c r="D69" s="4">
        <v>0.17284089861138899</v>
      </c>
      <c r="E69" s="4">
        <v>-0.119534871087455</v>
      </c>
      <c r="H69" s="5" t="s">
        <v>85</v>
      </c>
      <c r="I69" s="4">
        <v>-15.607993545981399</v>
      </c>
      <c r="J69" s="4">
        <v>-9.3277791881024399</v>
      </c>
      <c r="K69" s="4">
        <v>-13.1444928108192</v>
      </c>
      <c r="L69" s="4">
        <v>-9.3852018235611698</v>
      </c>
      <c r="M69" s="3">
        <v>-5.0762753288923212E-2</v>
      </c>
      <c r="N69">
        <f t="shared" si="1"/>
        <v>-0.50762753288923212</v>
      </c>
      <c r="AC69" s="4">
        <v>778377600</v>
      </c>
      <c r="AD69" s="4">
        <v>0.88700610694408699</v>
      </c>
      <c r="AE69" s="4">
        <v>-0.33514934547305097</v>
      </c>
      <c r="AF69" s="4">
        <v>2.5962938265816902E-3</v>
      </c>
      <c r="AG69" s="4">
        <v>-0.27229366303031199</v>
      </c>
      <c r="AH69" s="4">
        <v>-0.95831569959209995</v>
      </c>
      <c r="AI69" s="4">
        <v>0.96091199341870304</v>
      </c>
      <c r="AJ69" s="4">
        <v>0</v>
      </c>
      <c r="AK69" s="4">
        <v>0</v>
      </c>
      <c r="AL69" s="4">
        <v>0</v>
      </c>
      <c r="AM69" s="4">
        <v>0</v>
      </c>
    </row>
    <row r="70" spans="1:39" x14ac:dyDescent="0.35">
      <c r="A70" s="5">
        <v>34669</v>
      </c>
      <c r="B70" s="4">
        <v>1.1569338702590499</v>
      </c>
      <c r="C70" s="4">
        <v>-0.441359854274264</v>
      </c>
      <c r="D70" s="4">
        <v>6.1489299219244002E-2</v>
      </c>
      <c r="E70" s="4">
        <v>-0.29876308824498299</v>
      </c>
      <c r="M70" s="2"/>
      <c r="AC70" s="4">
        <v>786240000</v>
      </c>
      <c r="AD70" s="4">
        <v>0.97269087707970903</v>
      </c>
      <c r="AE70" s="4">
        <v>-0.54810749078401499</v>
      </c>
      <c r="AF70" s="4">
        <v>-0.12783115360931799</v>
      </c>
      <c r="AG70" s="4">
        <v>-0.46989254760242399</v>
      </c>
      <c r="AH70" s="4">
        <v>-1.32354925015877</v>
      </c>
      <c r="AI70" s="4">
        <v>1.19571809654947</v>
      </c>
      <c r="AJ70" s="4">
        <v>0</v>
      </c>
      <c r="AK70" s="4">
        <v>0</v>
      </c>
      <c r="AL70" s="4">
        <v>0</v>
      </c>
      <c r="AM70" s="4">
        <v>0</v>
      </c>
    </row>
    <row r="71" spans="1:39" x14ac:dyDescent="0.35">
      <c r="A71" s="5">
        <v>34759</v>
      </c>
      <c r="B71" s="4">
        <v>-1.13771956664416</v>
      </c>
      <c r="C71" s="4">
        <v>-1.4891524409867201</v>
      </c>
      <c r="D71" s="4">
        <v>-1.37858595332525</v>
      </c>
      <c r="E71" s="4">
        <v>-1.4577982595941099</v>
      </c>
      <c r="M71" s="3"/>
      <c r="AC71" s="4">
        <v>794016000</v>
      </c>
      <c r="AD71" s="4">
        <v>-1.4067552323239301</v>
      </c>
      <c r="AE71" s="4">
        <v>-1.6357996095093601</v>
      </c>
      <c r="AF71" s="4">
        <v>-1.5725026373872</v>
      </c>
      <c r="AG71" s="4">
        <v>-1.6240198145501801</v>
      </c>
      <c r="AH71" s="4">
        <v>-1.75258733007297</v>
      </c>
      <c r="AI71" s="4">
        <v>0.180084692685784</v>
      </c>
      <c r="AJ71" s="4">
        <v>0</v>
      </c>
      <c r="AK71" s="4">
        <v>0</v>
      </c>
      <c r="AL71" s="4">
        <v>0</v>
      </c>
      <c r="AM71" s="4">
        <v>0</v>
      </c>
    </row>
    <row r="72" spans="1:39" x14ac:dyDescent="0.35">
      <c r="A72" s="5">
        <v>34851</v>
      </c>
      <c r="B72" s="4">
        <v>-0.65614723627465299</v>
      </c>
      <c r="C72" s="4">
        <v>-1.41666847228594</v>
      </c>
      <c r="D72" s="4">
        <v>-1.1773961446330099</v>
      </c>
      <c r="E72" s="4">
        <v>-1.3488161951436299</v>
      </c>
      <c r="AC72" s="4">
        <v>801964800</v>
      </c>
      <c r="AD72" s="4">
        <v>-0.97065346292959598</v>
      </c>
      <c r="AE72" s="4">
        <v>-1.5879752256113699</v>
      </c>
      <c r="AF72" s="4">
        <v>-1.4173768512570599</v>
      </c>
      <c r="AG72" s="4">
        <v>-1.5562262524317101</v>
      </c>
      <c r="AH72" s="4">
        <v>-1.90274218214539</v>
      </c>
      <c r="AI72" s="4">
        <v>0.48536533088834399</v>
      </c>
      <c r="AJ72" s="4">
        <v>0</v>
      </c>
      <c r="AK72" s="4">
        <v>0</v>
      </c>
      <c r="AL72" s="4">
        <v>0</v>
      </c>
      <c r="AM72" s="4">
        <v>0</v>
      </c>
    </row>
    <row r="73" spans="1:39" x14ac:dyDescent="0.35">
      <c r="A73" s="5">
        <v>34943</v>
      </c>
      <c r="B73" s="4">
        <v>-1.7851187384715499</v>
      </c>
      <c r="C73" s="4">
        <v>-2.02495813353503</v>
      </c>
      <c r="D73" s="4">
        <v>-1.9495007661369499</v>
      </c>
      <c r="E73" s="4">
        <v>-2.0035601128974001</v>
      </c>
      <c r="AC73" s="4">
        <v>809913600</v>
      </c>
      <c r="AD73" s="4">
        <v>-2.1496764396319001</v>
      </c>
      <c r="AE73" s="4">
        <v>-2.2206523685642701</v>
      </c>
      <c r="AF73" s="4">
        <v>-2.20103799754061</v>
      </c>
      <c r="AG73" s="4">
        <v>-2.2170020633258298</v>
      </c>
      <c r="AH73" s="4">
        <v>-2.2568423726882099</v>
      </c>
      <c r="AI73" s="4">
        <v>5.5804375147612703E-2</v>
      </c>
      <c r="AJ73" s="4">
        <v>0</v>
      </c>
      <c r="AK73" s="4">
        <v>0</v>
      </c>
      <c r="AL73" s="4">
        <v>0</v>
      </c>
      <c r="AM73" s="4">
        <v>0</v>
      </c>
    </row>
    <row r="74" spans="1:39" x14ac:dyDescent="0.35">
      <c r="A74" s="5">
        <v>35034</v>
      </c>
      <c r="B74" s="4">
        <v>-2.4941487222219498</v>
      </c>
      <c r="C74" s="4">
        <v>-2.3385393032841999</v>
      </c>
      <c r="D74" s="4">
        <v>-2.3874965527479701</v>
      </c>
      <c r="E74" s="4">
        <v>-2.3524224835554501</v>
      </c>
      <c r="AC74" s="4">
        <v>817776000</v>
      </c>
      <c r="AD74" s="4">
        <v>-2.8872852887008902</v>
      </c>
      <c r="AE74" s="4">
        <v>-2.5476387056646601</v>
      </c>
      <c r="AF74" s="4">
        <v>-2.6415008670586602</v>
      </c>
      <c r="AG74" s="4">
        <v>-2.5651067926611102</v>
      </c>
      <c r="AH74" s="4">
        <v>-2.3744558896644898</v>
      </c>
      <c r="AI74" s="4">
        <v>-0.26704497739414201</v>
      </c>
      <c r="AJ74" s="4">
        <v>0</v>
      </c>
      <c r="AK74" s="4">
        <v>0</v>
      </c>
      <c r="AL74" s="4">
        <v>0</v>
      </c>
      <c r="AM74" s="4">
        <v>0</v>
      </c>
    </row>
    <row r="75" spans="1:39" x14ac:dyDescent="0.35">
      <c r="A75" s="5">
        <v>35125</v>
      </c>
      <c r="B75" s="4">
        <v>-3.7138922376179901</v>
      </c>
      <c r="C75" s="4">
        <v>-2.8800273122865701</v>
      </c>
      <c r="D75" s="4">
        <v>-3.1423747553093602</v>
      </c>
      <c r="E75" s="4">
        <v>-2.9544231757202999</v>
      </c>
      <c r="AC75" s="4">
        <v>825638400</v>
      </c>
      <c r="AD75" s="4">
        <v>-4.0579027510033603</v>
      </c>
      <c r="AE75" s="4">
        <v>-3.06252353580029</v>
      </c>
      <c r="AF75" s="4">
        <v>-3.3375990089892098</v>
      </c>
      <c r="AG75" s="4">
        <v>-3.1137160741447598</v>
      </c>
      <c r="AH75" s="4">
        <v>-2.5549883975516798</v>
      </c>
      <c r="AI75" s="4">
        <v>-0.78261061143751098</v>
      </c>
      <c r="AJ75" s="4">
        <v>0</v>
      </c>
      <c r="AK75" s="4">
        <v>0</v>
      </c>
      <c r="AL75" s="4">
        <v>0</v>
      </c>
      <c r="AM75" s="4">
        <v>0</v>
      </c>
    </row>
    <row r="76" spans="1:39" x14ac:dyDescent="0.35">
      <c r="A76" s="5">
        <v>35217</v>
      </c>
      <c r="B76" s="4">
        <v>-4.2478106786651502</v>
      </c>
      <c r="C76" s="4">
        <v>-3.2202513954505001</v>
      </c>
      <c r="D76" s="4">
        <v>-3.54353822802541</v>
      </c>
      <c r="E76" s="4">
        <v>-3.3119283059210001</v>
      </c>
      <c r="AC76" s="4">
        <v>833587200</v>
      </c>
      <c r="AD76" s="4">
        <v>-4.5629680847280296</v>
      </c>
      <c r="AE76" s="4">
        <v>-3.3879203101880702</v>
      </c>
      <c r="AF76" s="4">
        <v>-3.7126476278418199</v>
      </c>
      <c r="AG76" s="4">
        <v>-3.4483532359875699</v>
      </c>
      <c r="AH76" s="4">
        <v>-2.7887737481632602</v>
      </c>
      <c r="AI76" s="4">
        <v>-0.92387387967854395</v>
      </c>
      <c r="AJ76" s="4">
        <v>0</v>
      </c>
      <c r="AK76" s="4">
        <v>0</v>
      </c>
      <c r="AL76" s="4">
        <v>0</v>
      </c>
      <c r="AM76" s="4">
        <v>0</v>
      </c>
    </row>
    <row r="77" spans="1:39" x14ac:dyDescent="0.35">
      <c r="A77" s="5">
        <v>35309</v>
      </c>
      <c r="B77" s="4">
        <v>-5.5098375648168396</v>
      </c>
      <c r="C77" s="4">
        <v>-3.5148839217935901</v>
      </c>
      <c r="D77" s="4">
        <v>-4.1425287252828502</v>
      </c>
      <c r="E77" s="4">
        <v>-3.6928699412007999</v>
      </c>
      <c r="AC77" s="4">
        <v>841536000</v>
      </c>
      <c r="AD77" s="4">
        <v>-5.7696546210478203</v>
      </c>
      <c r="AE77" s="4">
        <v>-3.6511060837234401</v>
      </c>
      <c r="AF77" s="4">
        <v>-4.2365721377433196</v>
      </c>
      <c r="AG77" s="4">
        <v>-3.76006342940153</v>
      </c>
      <c r="AH77" s="4">
        <v>-2.5708767516713</v>
      </c>
      <c r="AI77" s="4">
        <v>-1.6656953860720101</v>
      </c>
      <c r="AJ77" s="4">
        <v>0</v>
      </c>
      <c r="AK77" s="4">
        <v>0</v>
      </c>
      <c r="AL77" s="4">
        <v>0</v>
      </c>
      <c r="AM77" s="4">
        <v>0</v>
      </c>
    </row>
    <row r="78" spans="1:39" x14ac:dyDescent="0.35">
      <c r="A78" s="5">
        <v>35400</v>
      </c>
      <c r="B78" s="4">
        <v>-4.9153112216951804</v>
      </c>
      <c r="C78" s="4">
        <v>-3.2352608112765902</v>
      </c>
      <c r="D78" s="4">
        <v>-3.7638319454414999</v>
      </c>
      <c r="E78" s="4">
        <v>-3.3851517553592201</v>
      </c>
      <c r="AC78" s="4">
        <v>849398400</v>
      </c>
      <c r="AD78" s="4">
        <v>-5.1467839995865301</v>
      </c>
      <c r="AE78" s="4">
        <v>-3.3577259522630301</v>
      </c>
      <c r="AF78" s="4">
        <v>-3.8521365059630699</v>
      </c>
      <c r="AG78" s="4">
        <v>-3.4497375407001698</v>
      </c>
      <c r="AH78" s="4">
        <v>-2.4455009333812199</v>
      </c>
      <c r="AI78" s="4">
        <v>-1.40663557258182</v>
      </c>
      <c r="AJ78" s="4">
        <v>0</v>
      </c>
      <c r="AK78" s="4">
        <v>0</v>
      </c>
      <c r="AL78" s="4">
        <v>0</v>
      </c>
      <c r="AM78" s="4">
        <v>0</v>
      </c>
    </row>
    <row r="79" spans="1:39" x14ac:dyDescent="0.35">
      <c r="A79" s="5">
        <v>35490</v>
      </c>
      <c r="B79" s="4">
        <v>-4.5012198656066804</v>
      </c>
      <c r="C79" s="4">
        <v>-3.23980595941969</v>
      </c>
      <c r="D79" s="4">
        <v>-3.6366672529320101</v>
      </c>
      <c r="E79" s="4">
        <v>-3.3523469403954902</v>
      </c>
      <c r="AC79" s="4">
        <v>857174400</v>
      </c>
      <c r="AD79" s="4">
        <v>-4.7646081026009499</v>
      </c>
      <c r="AE79" s="4">
        <v>-3.38006461001414</v>
      </c>
      <c r="AF79" s="4">
        <v>-3.7626865801708398</v>
      </c>
      <c r="AG79" s="4">
        <v>-3.4512719395939602</v>
      </c>
      <c r="AH79" s="4">
        <v>-2.6740980173945399</v>
      </c>
      <c r="AI79" s="4">
        <v>-1.0885885627762799</v>
      </c>
      <c r="AJ79" s="4">
        <v>0</v>
      </c>
      <c r="AK79" s="4">
        <v>0</v>
      </c>
      <c r="AL79" s="4">
        <v>0</v>
      </c>
      <c r="AM79" s="4">
        <v>0</v>
      </c>
    </row>
    <row r="80" spans="1:39" x14ac:dyDescent="0.35">
      <c r="A80" s="5">
        <v>35582</v>
      </c>
      <c r="B80" s="4">
        <v>-4.5651424118229498</v>
      </c>
      <c r="C80" s="4">
        <v>-3.17609832842526</v>
      </c>
      <c r="D80" s="4">
        <v>-3.6131141477206201</v>
      </c>
      <c r="E80" s="4">
        <v>-3.3000262342438602</v>
      </c>
      <c r="AC80" s="4">
        <v>865123200</v>
      </c>
      <c r="AD80" s="4">
        <v>-4.8550184830347298</v>
      </c>
      <c r="AE80" s="4">
        <v>-3.3290849862713299</v>
      </c>
      <c r="AF80" s="4">
        <v>-3.7507804288383602</v>
      </c>
      <c r="AG80" s="4">
        <v>-3.4075640300880798</v>
      </c>
      <c r="AH80" s="4">
        <v>-2.5510248696754201</v>
      </c>
      <c r="AI80" s="4">
        <v>-1.1997555591629301</v>
      </c>
      <c r="AJ80" s="4">
        <v>0</v>
      </c>
      <c r="AK80" s="4">
        <v>0</v>
      </c>
      <c r="AL80" s="4">
        <v>0</v>
      </c>
      <c r="AM80" s="4">
        <v>0</v>
      </c>
    </row>
    <row r="81" spans="1:39" x14ac:dyDescent="0.35">
      <c r="A81" s="5">
        <v>35674</v>
      </c>
      <c r="B81" s="4">
        <v>-5.4201594088383498</v>
      </c>
      <c r="C81" s="4">
        <v>-3.49733753832917</v>
      </c>
      <c r="D81" s="4">
        <v>-4.10228851515072</v>
      </c>
      <c r="E81" s="4">
        <v>-3.6688880963874801</v>
      </c>
      <c r="AC81" s="4">
        <v>873072000</v>
      </c>
      <c r="AD81" s="4">
        <v>-5.7766372109263404</v>
      </c>
      <c r="AE81" s="4">
        <v>-3.68264806805694</v>
      </c>
      <c r="AF81" s="4">
        <v>-4.2613270735351696</v>
      </c>
      <c r="AG81" s="4">
        <v>-3.7903423195060699</v>
      </c>
      <c r="AH81" s="4">
        <v>-2.6149413559968799</v>
      </c>
      <c r="AI81" s="4">
        <v>-1.6463857175382699</v>
      </c>
      <c r="AJ81" s="4">
        <v>0</v>
      </c>
      <c r="AK81" s="4">
        <v>0</v>
      </c>
      <c r="AL81" s="4">
        <v>0</v>
      </c>
      <c r="AM81" s="4">
        <v>0</v>
      </c>
    </row>
    <row r="82" spans="1:39" x14ac:dyDescent="0.35">
      <c r="A82" s="5">
        <v>35765</v>
      </c>
      <c r="B82" s="4">
        <v>-5.8678671938436402</v>
      </c>
      <c r="C82" s="4">
        <v>-3.5498064135093799</v>
      </c>
      <c r="D82" s="4">
        <v>-4.2791059679312102</v>
      </c>
      <c r="E82" s="4">
        <v>-3.7566194452199602</v>
      </c>
      <c r="AC82" s="4">
        <v>880934400</v>
      </c>
      <c r="AD82" s="4">
        <v>-6.2212208676390004</v>
      </c>
      <c r="AE82" s="4">
        <v>-3.7322313035855599</v>
      </c>
      <c r="AF82" s="4">
        <v>-4.4200696386012197</v>
      </c>
      <c r="AG82" s="4">
        <v>-3.8602405002321798</v>
      </c>
      <c r="AH82" s="4">
        <v>-2.4631173385791598</v>
      </c>
      <c r="AI82" s="4">
        <v>-1.9569523000220601</v>
      </c>
      <c r="AJ82" s="4">
        <v>0</v>
      </c>
      <c r="AK82" s="4">
        <v>0</v>
      </c>
      <c r="AL82" s="4">
        <v>0</v>
      </c>
      <c r="AM82" s="4">
        <v>0</v>
      </c>
    </row>
    <row r="83" spans="1:39" x14ac:dyDescent="0.35">
      <c r="A83" s="5">
        <v>35855</v>
      </c>
      <c r="B83" s="4">
        <v>-6.2220271197224202</v>
      </c>
      <c r="C83" s="4">
        <v>-4.2030636043475198</v>
      </c>
      <c r="D83" s="4">
        <v>-4.8382623034707297</v>
      </c>
      <c r="E83" s="4">
        <v>-4.3831917394982902</v>
      </c>
      <c r="O83" s="8"/>
      <c r="P83" s="3"/>
      <c r="AC83" s="4">
        <v>888710400</v>
      </c>
      <c r="AD83" s="4">
        <v>-6.5383793929629297</v>
      </c>
      <c r="AE83" s="4">
        <v>-4.36836254782484</v>
      </c>
      <c r="AF83" s="4">
        <v>-4.96805199420601</v>
      </c>
      <c r="AG83" s="4">
        <v>-4.4799669181554798</v>
      </c>
      <c r="AH83" s="4">
        <v>-3.26188997669085</v>
      </c>
      <c r="AI83" s="4">
        <v>-1.70616201751513</v>
      </c>
      <c r="AJ83" s="4">
        <v>0</v>
      </c>
      <c r="AK83" s="4">
        <v>0</v>
      </c>
      <c r="AL83" s="4">
        <v>0</v>
      </c>
      <c r="AM83" s="4">
        <v>0</v>
      </c>
    </row>
    <row r="84" spans="1:39" x14ac:dyDescent="0.35">
      <c r="A84" s="5">
        <v>35947</v>
      </c>
      <c r="B84" s="4">
        <v>-6.76829040350247</v>
      </c>
      <c r="C84" s="4">
        <v>-4.26739009974703</v>
      </c>
      <c r="D84" s="4">
        <v>-5.0542139365746896</v>
      </c>
      <c r="E84" s="4">
        <v>-4.4905157305387302</v>
      </c>
      <c r="AC84" s="4">
        <v>896659200</v>
      </c>
      <c r="AD84" s="4">
        <v>-7.00382885048323</v>
      </c>
      <c r="AE84" s="4">
        <v>-4.3901105494201103</v>
      </c>
      <c r="AF84" s="4">
        <v>-5.1124179750388201</v>
      </c>
      <c r="AG84" s="4">
        <v>-4.5245345682314904</v>
      </c>
      <c r="AH84" s="4">
        <v>-3.0573984945451298</v>
      </c>
      <c r="AI84" s="4">
        <v>-2.0550194804936699</v>
      </c>
      <c r="AJ84" s="4">
        <v>0</v>
      </c>
      <c r="AK84" s="4">
        <v>0</v>
      </c>
      <c r="AL84" s="4">
        <v>0</v>
      </c>
      <c r="AM84" s="4">
        <v>0</v>
      </c>
    </row>
    <row r="85" spans="1:39" x14ac:dyDescent="0.35">
      <c r="A85" s="5">
        <v>36039</v>
      </c>
      <c r="B85" s="4">
        <v>-7.47850157125752</v>
      </c>
      <c r="C85" s="4">
        <v>-4.4539595097032603</v>
      </c>
      <c r="D85" s="4">
        <v>-5.4055295446803502</v>
      </c>
      <c r="E85" s="4">
        <v>-4.7238034752251901</v>
      </c>
      <c r="AC85" s="4">
        <v>904608000</v>
      </c>
      <c r="AD85" s="4">
        <v>-7.6014027573562801</v>
      </c>
      <c r="AE85" s="4">
        <v>-4.5177960508688901</v>
      </c>
      <c r="AF85" s="4">
        <v>-5.3699582830718002</v>
      </c>
      <c r="AG85" s="4">
        <v>-4.6763865178488899</v>
      </c>
      <c r="AH85" s="4">
        <v>-2.94549201620779</v>
      </c>
      <c r="AI85" s="4">
        <v>-2.4244662668639898</v>
      </c>
      <c r="AJ85" s="4">
        <v>0</v>
      </c>
      <c r="AK85" s="4">
        <v>0</v>
      </c>
      <c r="AL85" s="4">
        <v>0</v>
      </c>
      <c r="AM85" s="4">
        <v>0</v>
      </c>
    </row>
    <row r="86" spans="1:39" x14ac:dyDescent="0.35">
      <c r="A86" s="5">
        <v>36130</v>
      </c>
      <c r="B86" s="4">
        <v>-8.1731889410598004</v>
      </c>
      <c r="C86" s="4">
        <v>-4.7488794992976899</v>
      </c>
      <c r="D86" s="4">
        <v>-5.8262228421756799</v>
      </c>
      <c r="E86" s="4">
        <v>-5.0543899600993196</v>
      </c>
      <c r="AC86" s="4">
        <v>912470400</v>
      </c>
      <c r="AD86" s="4">
        <v>-8.2340193346855095</v>
      </c>
      <c r="AE86" s="4">
        <v>-4.7800625241918704</v>
      </c>
      <c r="AF86" s="4">
        <v>-5.73457191067443</v>
      </c>
      <c r="AG86" s="4">
        <v>-4.9577001659678404</v>
      </c>
      <c r="AH86" s="4">
        <v>-3.0189202172760399</v>
      </c>
      <c r="AI86" s="4">
        <v>-2.7156516933983599</v>
      </c>
      <c r="AJ86" s="4">
        <v>0</v>
      </c>
      <c r="AK86" s="4">
        <v>0</v>
      </c>
      <c r="AL86" s="4">
        <v>0</v>
      </c>
      <c r="AM86" s="4">
        <v>0</v>
      </c>
    </row>
    <row r="87" spans="1:39" x14ac:dyDescent="0.35">
      <c r="A87" s="5">
        <v>36220</v>
      </c>
      <c r="B87" s="4">
        <v>-7.8163604219819298</v>
      </c>
      <c r="C87" s="4">
        <v>-4.55542712948467</v>
      </c>
      <c r="D87" s="4">
        <v>-7.8558506360536704</v>
      </c>
      <c r="E87" s="4">
        <v>-7.0925563323799201</v>
      </c>
      <c r="AC87" s="4">
        <v>920246400</v>
      </c>
      <c r="AD87" s="4">
        <v>-8.3649477447925307</v>
      </c>
      <c r="AE87" s="4">
        <v>-4.7188480363119796</v>
      </c>
      <c r="AF87" s="4">
        <v>-5.7264565811619104</v>
      </c>
      <c r="AG87" s="4">
        <v>-4.9063676231020699</v>
      </c>
      <c r="AH87" s="4">
        <v>-2.8597337496684001</v>
      </c>
      <c r="AI87" s="4">
        <v>-2.8667228314934898</v>
      </c>
      <c r="AJ87" s="4">
        <v>0</v>
      </c>
      <c r="AK87" s="4">
        <v>0</v>
      </c>
      <c r="AL87" s="4">
        <v>0</v>
      </c>
      <c r="AM87" s="4">
        <v>0</v>
      </c>
    </row>
    <row r="88" spans="1:39" x14ac:dyDescent="0.35">
      <c r="A88" s="5">
        <v>36312</v>
      </c>
      <c r="B88" s="4">
        <v>-5.1037995719372002</v>
      </c>
      <c r="C88" s="4">
        <v>-4.0534067014261197</v>
      </c>
      <c r="D88" s="4">
        <v>-5.8295962328875701</v>
      </c>
      <c r="E88" s="4">
        <v>-5.8620409595068299</v>
      </c>
      <c r="AC88" s="4">
        <v>928195200</v>
      </c>
      <c r="AD88" s="4">
        <v>-5.6112354862843903</v>
      </c>
      <c r="AE88" s="4">
        <v>-4.2025568467828798</v>
      </c>
      <c r="AF88" s="4">
        <v>-3.8112130978382099</v>
      </c>
      <c r="AG88" s="4">
        <v>-3.79125880347241</v>
      </c>
      <c r="AH88" s="4">
        <v>-2.2450477408356502</v>
      </c>
      <c r="AI88" s="4">
        <v>-1.56616535700255</v>
      </c>
      <c r="AJ88" s="4">
        <v>0</v>
      </c>
      <c r="AK88" s="4">
        <v>0</v>
      </c>
      <c r="AL88" s="4">
        <v>0</v>
      </c>
      <c r="AM88" s="4">
        <v>0</v>
      </c>
    </row>
    <row r="89" spans="1:39" x14ac:dyDescent="0.35">
      <c r="A89" s="5">
        <v>36404</v>
      </c>
      <c r="B89" s="4">
        <v>-4.2380065049778599</v>
      </c>
      <c r="C89" s="4">
        <v>-3.26073551379115</v>
      </c>
      <c r="D89" s="4">
        <v>-5.0753275707063601</v>
      </c>
      <c r="E89" s="4">
        <v>-4.8266877710165899</v>
      </c>
      <c r="AC89" s="4">
        <v>936144000</v>
      </c>
      <c r="AD89" s="4">
        <v>-4.70593258549592</v>
      </c>
      <c r="AE89" s="4">
        <v>-3.39622114123677</v>
      </c>
      <c r="AF89" s="4">
        <v>-3.1644222009594598</v>
      </c>
      <c r="AG89" s="4">
        <v>-2.8676011816538902</v>
      </c>
      <c r="AH89" s="4">
        <v>-1.8525491802554901</v>
      </c>
      <c r="AI89" s="4">
        <v>-1.3118730207039599</v>
      </c>
      <c r="AJ89" s="4">
        <v>0</v>
      </c>
      <c r="AK89" s="4">
        <v>0</v>
      </c>
      <c r="AL89" s="4">
        <v>0</v>
      </c>
      <c r="AM89" s="4">
        <v>0</v>
      </c>
    </row>
    <row r="90" spans="1:39" x14ac:dyDescent="0.35">
      <c r="A90" s="5">
        <v>36495</v>
      </c>
      <c r="B90" s="4">
        <v>-1.90544655811746</v>
      </c>
      <c r="C90" s="4">
        <v>-2.6273476502577102</v>
      </c>
      <c r="D90" s="4">
        <v>-3.2366367072325599</v>
      </c>
      <c r="E90" s="4">
        <v>-2.5221429617087199</v>
      </c>
      <c r="AC90" s="4">
        <v>944006400</v>
      </c>
      <c r="AD90" s="4">
        <v>-2.33545471608682</v>
      </c>
      <c r="AE90" s="4">
        <v>-2.7497558511692599</v>
      </c>
      <c r="AF90" s="4">
        <v>-1.4297631945923801</v>
      </c>
      <c r="AG90" s="4">
        <v>-0.67113363336828602</v>
      </c>
      <c r="AH90" s="4">
        <v>-1.6322710534448901</v>
      </c>
      <c r="AI90" s="4">
        <v>0.20250785885253</v>
      </c>
      <c r="AJ90" s="4">
        <v>0</v>
      </c>
      <c r="AK90" s="4">
        <v>0</v>
      </c>
      <c r="AL90" s="4">
        <v>0</v>
      </c>
      <c r="AM90" s="4">
        <v>0</v>
      </c>
    </row>
    <row r="91" spans="1:39" x14ac:dyDescent="0.35">
      <c r="A91" s="5">
        <v>36586</v>
      </c>
      <c r="B91" s="4">
        <v>-2.2205089972732499</v>
      </c>
      <c r="C91" s="4">
        <v>-2.41106597561956</v>
      </c>
      <c r="D91" s="4">
        <v>-3.6902745738017799</v>
      </c>
      <c r="E91" s="4">
        <v>-3.9084926823377</v>
      </c>
      <c r="AC91" s="4">
        <v>951868800</v>
      </c>
      <c r="AD91" s="4">
        <v>-2.6346518016547198</v>
      </c>
      <c r="AE91" s="4">
        <v>-2.5312742126461401</v>
      </c>
      <c r="AF91" s="4">
        <v>-1.9973120341750299</v>
      </c>
      <c r="AG91" s="4">
        <v>-2.1729515492626201</v>
      </c>
      <c r="AH91" s="4">
        <v>-1.7172304440435999</v>
      </c>
      <c r="AI91" s="4">
        <v>-0.28008159013142098</v>
      </c>
      <c r="AJ91" s="4">
        <v>0</v>
      </c>
      <c r="AK91" s="4">
        <v>0</v>
      </c>
      <c r="AL91" s="4">
        <v>0</v>
      </c>
      <c r="AM91" s="4">
        <v>0</v>
      </c>
    </row>
    <row r="92" spans="1:39" x14ac:dyDescent="0.35">
      <c r="A92" s="5">
        <v>36678</v>
      </c>
      <c r="B92" s="4">
        <v>-1.1600783787678199</v>
      </c>
      <c r="C92" s="4">
        <v>-2.0435216597034498</v>
      </c>
      <c r="D92" s="4">
        <v>-2.5440411585853702</v>
      </c>
      <c r="E92" s="4">
        <v>-2.4965769591896199</v>
      </c>
      <c r="AC92" s="4">
        <v>959817600</v>
      </c>
      <c r="AD92" s="4">
        <v>-1.5229571694836599</v>
      </c>
      <c r="AE92" s="4">
        <v>-2.1435249289072602</v>
      </c>
      <c r="AF92" s="4">
        <v>-0.93789304610845903</v>
      </c>
      <c r="AG92" s="4">
        <v>-0.85343610837307404</v>
      </c>
      <c r="AH92" s="4">
        <v>-1.70478410000187</v>
      </c>
      <c r="AI92" s="4">
        <v>0.76689105389343204</v>
      </c>
      <c r="AJ92" s="4">
        <v>0</v>
      </c>
      <c r="AK92" s="4">
        <v>0</v>
      </c>
      <c r="AL92" s="4">
        <v>0</v>
      </c>
      <c r="AM92" s="4">
        <v>0</v>
      </c>
    </row>
    <row r="93" spans="1:39" x14ac:dyDescent="0.35">
      <c r="A93" s="5">
        <v>36770</v>
      </c>
      <c r="B93" s="4">
        <v>0.37548409787742298</v>
      </c>
      <c r="C93" s="4">
        <v>-1.9238123968918399</v>
      </c>
      <c r="D93" s="4">
        <v>-1.2152259862763899</v>
      </c>
      <c r="E93" s="4">
        <v>-1.38950530325559</v>
      </c>
      <c r="AC93" s="4">
        <v>967766400</v>
      </c>
      <c r="AD93" s="4">
        <v>3.8732754143330703E-2</v>
      </c>
      <c r="AE93" s="4">
        <v>-2.0159752315391102</v>
      </c>
      <c r="AF93" s="4">
        <v>0.291998449156678</v>
      </c>
      <c r="AG93" s="4">
        <v>0.15196321514414901</v>
      </c>
      <c r="AH93" s="4">
        <v>-1.6368847028539999</v>
      </c>
      <c r="AI93" s="4">
        <v>1.9288831520106999</v>
      </c>
      <c r="AJ93" s="4">
        <v>0</v>
      </c>
      <c r="AK93" s="4">
        <v>0</v>
      </c>
      <c r="AL93" s="4">
        <v>0</v>
      </c>
      <c r="AM93" s="4">
        <v>0</v>
      </c>
    </row>
    <row r="94" spans="1:39" x14ac:dyDescent="0.35">
      <c r="A94" s="5">
        <v>36861</v>
      </c>
      <c r="B94" s="4">
        <v>0.66392781522854705</v>
      </c>
      <c r="C94" s="4">
        <v>-1.7881659014792199</v>
      </c>
      <c r="D94" s="4">
        <v>-1.10013559526534</v>
      </c>
      <c r="E94" s="4">
        <v>-1.52182617895175</v>
      </c>
      <c r="AC94" s="4">
        <v>975628800</v>
      </c>
      <c r="AD94" s="4">
        <v>0.38159226262215301</v>
      </c>
      <c r="AE94" s="4">
        <v>-1.8583262998830601</v>
      </c>
      <c r="AF94" s="4">
        <v>0.33061564878398497</v>
      </c>
      <c r="AG94" s="4">
        <v>-6.2732978594748495E-2</v>
      </c>
      <c r="AH94" s="4">
        <v>-1.7498391322633799</v>
      </c>
      <c r="AI94" s="4">
        <v>2.0804547810473899</v>
      </c>
      <c r="AJ94" s="4">
        <v>0</v>
      </c>
      <c r="AK94" s="4">
        <v>0</v>
      </c>
      <c r="AL94" s="4">
        <v>0</v>
      </c>
      <c r="AM94" s="4">
        <v>0</v>
      </c>
    </row>
    <row r="95" spans="1:39" x14ac:dyDescent="0.35">
      <c r="A95" s="5">
        <v>36951</v>
      </c>
      <c r="B95" s="4">
        <v>1.67761231110955</v>
      </c>
      <c r="C95" s="4">
        <v>-1.5953989534076101</v>
      </c>
      <c r="D95" s="4">
        <v>-0.360699927780751</v>
      </c>
      <c r="E95" s="4">
        <v>-1.1718876775854501</v>
      </c>
      <c r="AC95" s="4">
        <v>983404800</v>
      </c>
      <c r="AD95" s="4">
        <v>1.4341663884123499</v>
      </c>
      <c r="AE95" s="4">
        <v>-1.65112670593988</v>
      </c>
      <c r="AF95" s="4">
        <v>0.98744708513056101</v>
      </c>
      <c r="AG95" s="4">
        <v>0.20037733005174699</v>
      </c>
      <c r="AH95" s="4">
        <v>-1.7728922802746601</v>
      </c>
      <c r="AI95" s="4">
        <v>2.7603393654052399</v>
      </c>
      <c r="AJ95" s="4">
        <v>0</v>
      </c>
      <c r="AK95" s="4">
        <v>0</v>
      </c>
      <c r="AL95" s="4">
        <v>0</v>
      </c>
      <c r="AM95" s="4">
        <v>0</v>
      </c>
    </row>
    <row r="96" spans="1:39" x14ac:dyDescent="0.35">
      <c r="A96" s="5">
        <v>37043</v>
      </c>
      <c r="B96" s="4">
        <v>3.05703411237107</v>
      </c>
      <c r="C96" s="4">
        <v>-1.15183460149985</v>
      </c>
      <c r="D96" s="4">
        <v>0.78084285971316503</v>
      </c>
      <c r="E96" s="4">
        <v>-0.58117077540949003</v>
      </c>
      <c r="AC96" s="4">
        <v>991353600</v>
      </c>
      <c r="AD96" s="4">
        <v>2.8265534371930299</v>
      </c>
      <c r="AE96" s="4">
        <v>-1.2056828987630801</v>
      </c>
      <c r="AF96" s="4">
        <v>2.03343590708797</v>
      </c>
      <c r="AG96" s="4">
        <v>0.69429101020788597</v>
      </c>
      <c r="AH96" s="4">
        <v>-1.6070343155100599</v>
      </c>
      <c r="AI96" s="4">
        <v>3.6404702225980499</v>
      </c>
      <c r="AJ96" s="4">
        <v>0.258297949122821</v>
      </c>
      <c r="AK96" s="4">
        <v>0</v>
      </c>
      <c r="AL96" s="4">
        <v>1.04487209649899E-2</v>
      </c>
      <c r="AM96" s="4">
        <v>0</v>
      </c>
    </row>
    <row r="97" spans="1:39" x14ac:dyDescent="0.35">
      <c r="A97" s="5">
        <v>37135</v>
      </c>
      <c r="B97" s="4">
        <v>3.2203695790154998</v>
      </c>
      <c r="C97" s="4">
        <v>-1.3673999491270901</v>
      </c>
      <c r="D97" s="4">
        <v>0.72304057732370497</v>
      </c>
      <c r="E97" s="4">
        <v>-0.85533672103935698</v>
      </c>
      <c r="AC97" s="4">
        <v>999302400</v>
      </c>
      <c r="AD97" s="4">
        <v>3.0294350537236499</v>
      </c>
      <c r="AE97" s="4">
        <v>-1.4062059935396001</v>
      </c>
      <c r="AF97" s="4">
        <v>1.9010994255134499</v>
      </c>
      <c r="AG97" s="4">
        <v>0.34123283687717998</v>
      </c>
      <c r="AH97" s="4">
        <v>-1.5517009860434201</v>
      </c>
      <c r="AI97" s="4">
        <v>3.4528004115568902</v>
      </c>
      <c r="AJ97" s="4">
        <v>0.32169845428864202</v>
      </c>
      <c r="AK97" s="4">
        <v>0</v>
      </c>
      <c r="AL97" s="4">
        <v>0</v>
      </c>
      <c r="AM97" s="4">
        <v>0</v>
      </c>
    </row>
    <row r="98" spans="1:39" x14ac:dyDescent="0.35">
      <c r="A98" s="5">
        <v>37226</v>
      </c>
      <c r="B98" s="4">
        <v>3.48235463782204</v>
      </c>
      <c r="C98" s="4">
        <v>-1.53738159736692</v>
      </c>
      <c r="D98" s="4">
        <v>0.66733778365534502</v>
      </c>
      <c r="E98" s="4">
        <v>-1.2824229866266901</v>
      </c>
      <c r="AC98" s="4">
        <v>1007164800</v>
      </c>
      <c r="AD98" s="4">
        <v>3.3015859492297301</v>
      </c>
      <c r="AE98" s="4">
        <v>-1.57525016363842</v>
      </c>
      <c r="AF98" s="4">
        <v>1.75551699493139</v>
      </c>
      <c r="AG98" s="4">
        <v>-0.17658410655839901</v>
      </c>
      <c r="AH98" s="4">
        <v>-1.47251551766031</v>
      </c>
      <c r="AI98" s="4">
        <v>3.2280325125917102</v>
      </c>
      <c r="AJ98" s="4">
        <v>0.40674560913429197</v>
      </c>
      <c r="AK98" s="4">
        <v>0</v>
      </c>
      <c r="AL98" s="4">
        <v>0</v>
      </c>
      <c r="AM98" s="4">
        <v>0</v>
      </c>
    </row>
    <row r="99" spans="1:39" x14ac:dyDescent="0.35">
      <c r="A99" s="5">
        <v>37316</v>
      </c>
      <c r="B99" s="4">
        <v>3.35488149057525</v>
      </c>
      <c r="C99" s="4">
        <v>-2.0683782324257098</v>
      </c>
      <c r="D99" s="4">
        <v>0.12988381175004099</v>
      </c>
      <c r="E99" s="4">
        <v>-1.7056130736984201</v>
      </c>
      <c r="AC99" s="4">
        <v>1014940800</v>
      </c>
      <c r="AD99" s="4">
        <v>3.2144354907900401</v>
      </c>
      <c r="AE99" s="4">
        <v>-2.0906258485373499</v>
      </c>
      <c r="AF99" s="4">
        <v>1.1512629739920699</v>
      </c>
      <c r="AG99" s="4">
        <v>-0.67109129088997999</v>
      </c>
      <c r="AH99" s="4">
        <v>-1.39498122293091</v>
      </c>
      <c r="AI99" s="4">
        <v>2.5462441969229799</v>
      </c>
      <c r="AJ99" s="4">
        <v>0.379511090871887</v>
      </c>
      <c r="AK99" s="4">
        <v>0</v>
      </c>
      <c r="AL99" s="4">
        <v>0</v>
      </c>
      <c r="AM99" s="4">
        <v>0</v>
      </c>
    </row>
    <row r="100" spans="1:39" x14ac:dyDescent="0.35">
      <c r="A100" s="5">
        <v>37408</v>
      </c>
      <c r="B100" s="4">
        <v>2.5268015482735602</v>
      </c>
      <c r="C100" s="4">
        <v>-1.84572367208098</v>
      </c>
      <c r="D100" s="4">
        <v>-0.32784790963157101</v>
      </c>
      <c r="E100" s="4">
        <v>-1.72789294540395</v>
      </c>
      <c r="AC100" s="4">
        <v>1022889600</v>
      </c>
      <c r="AD100" s="4">
        <v>2.40821968267747</v>
      </c>
      <c r="AE100" s="4">
        <v>-1.8610052967988899</v>
      </c>
      <c r="AF100" s="4">
        <v>0.61839362755579697</v>
      </c>
      <c r="AG100" s="4">
        <v>-0.77076302783649797</v>
      </c>
      <c r="AH100" s="4">
        <v>-1.19599835556445</v>
      </c>
      <c r="AI100" s="4">
        <v>1.81439198312026</v>
      </c>
      <c r="AJ100" s="4">
        <v>0.12756865083670799</v>
      </c>
      <c r="AK100" s="4">
        <v>0</v>
      </c>
      <c r="AL100" s="4">
        <v>0</v>
      </c>
      <c r="AM100" s="4">
        <v>0</v>
      </c>
    </row>
    <row r="101" spans="1:39" x14ac:dyDescent="0.35">
      <c r="A101" s="5">
        <v>37500</v>
      </c>
      <c r="B101" s="4">
        <v>1.5075215437571201</v>
      </c>
      <c r="C101" s="4">
        <v>-1.8758338427721699</v>
      </c>
      <c r="D101" s="4">
        <v>-0.606692018464288</v>
      </c>
      <c r="E101" s="4">
        <v>-2.3507398194819298</v>
      </c>
      <c r="AC101" s="4">
        <v>1030838400</v>
      </c>
      <c r="AD101" s="4">
        <v>1.4108269104990701</v>
      </c>
      <c r="AE101" s="4">
        <v>-1.8840200912893299</v>
      </c>
      <c r="AF101" s="4">
        <v>0.26789922386291998</v>
      </c>
      <c r="AG101" s="4">
        <v>-1.4675993033657999</v>
      </c>
      <c r="AH101" s="4">
        <v>-0.99771879541436803</v>
      </c>
      <c r="AI101" s="4">
        <v>1.2656180192773001</v>
      </c>
      <c r="AJ101" s="4">
        <v>0</v>
      </c>
      <c r="AK101" s="4">
        <v>0</v>
      </c>
      <c r="AL101" s="4">
        <v>0</v>
      </c>
      <c r="AM101" s="4">
        <v>0</v>
      </c>
    </row>
    <row r="102" spans="1:39" x14ac:dyDescent="0.35">
      <c r="A102" s="5">
        <v>37591</v>
      </c>
      <c r="B102" s="4">
        <v>1.27389981774779</v>
      </c>
      <c r="C102" s="4">
        <v>-2.2234005851278602</v>
      </c>
      <c r="D102" s="4">
        <v>-0.80056357169002801</v>
      </c>
      <c r="E102" s="4">
        <v>-2.2811976791661799</v>
      </c>
      <c r="AC102" s="4">
        <v>1038700800</v>
      </c>
      <c r="AD102" s="4">
        <v>1.1934770297767401</v>
      </c>
      <c r="AE102" s="4">
        <v>-2.2271064311319999</v>
      </c>
      <c r="AF102" s="4">
        <v>2.1073444018642699E-3</v>
      </c>
      <c r="AG102" s="4">
        <v>-1.4715842677208499</v>
      </c>
      <c r="AH102" s="4">
        <v>-0.90489327874966696</v>
      </c>
      <c r="AI102" s="4">
        <v>0.90700062315154095</v>
      </c>
      <c r="AJ102" s="4">
        <v>0</v>
      </c>
      <c r="AK102" s="4">
        <v>0</v>
      </c>
      <c r="AL102" s="4">
        <v>0</v>
      </c>
      <c r="AM102" s="4">
        <v>0</v>
      </c>
    </row>
    <row r="103" spans="1:39" x14ac:dyDescent="0.35">
      <c r="A103" s="5">
        <v>37681</v>
      </c>
      <c r="B103" s="4">
        <v>1.5078078838064199</v>
      </c>
      <c r="C103" s="4">
        <v>-2.61695860027642</v>
      </c>
      <c r="D103" s="4">
        <v>-0.82179216493214402</v>
      </c>
      <c r="E103" s="4">
        <v>-2.9349944860327999</v>
      </c>
      <c r="AC103" s="4">
        <v>1046476800</v>
      </c>
      <c r="AD103" s="4">
        <v>1.45742915829174</v>
      </c>
      <c r="AE103" s="4">
        <v>-2.60948344578886</v>
      </c>
      <c r="AF103" s="4">
        <v>-7.8913433398308794E-2</v>
      </c>
      <c r="AG103" s="4">
        <v>-2.1885813082651202</v>
      </c>
      <c r="AH103" s="4">
        <v>-0.88517321457674403</v>
      </c>
      <c r="AI103" s="4">
        <v>0.80625978117845098</v>
      </c>
      <c r="AJ103" s="4">
        <v>0</v>
      </c>
      <c r="AK103" s="4">
        <v>0</v>
      </c>
      <c r="AL103" s="4">
        <v>0</v>
      </c>
      <c r="AM103" s="4">
        <v>0</v>
      </c>
    </row>
    <row r="104" spans="1:39" x14ac:dyDescent="0.35">
      <c r="A104" s="5">
        <v>37773</v>
      </c>
      <c r="B104" s="4">
        <v>1.27098722961417</v>
      </c>
      <c r="C104" s="4">
        <v>-2.5835014221857899</v>
      </c>
      <c r="D104" s="4">
        <v>-0.96594146686752402</v>
      </c>
      <c r="E104" s="4">
        <v>-3.56543032934648</v>
      </c>
      <c r="AC104" s="4">
        <v>1054425600</v>
      </c>
      <c r="AD104" s="4">
        <v>1.2398340369268701</v>
      </c>
      <c r="AE104" s="4">
        <v>-2.5698393230733898</v>
      </c>
      <c r="AF104" s="4">
        <v>-0.28656567989219001</v>
      </c>
      <c r="AG104" s="4">
        <v>-2.8846016775428698</v>
      </c>
      <c r="AH104" s="4">
        <v>-0.64405453984180705</v>
      </c>
      <c r="AI104" s="4">
        <v>0.35748885994962598</v>
      </c>
      <c r="AJ104" s="4">
        <v>0</v>
      </c>
      <c r="AK104" s="4">
        <v>0</v>
      </c>
      <c r="AL104" s="4">
        <v>0</v>
      </c>
      <c r="AM104" s="4">
        <v>0</v>
      </c>
    </row>
    <row r="105" spans="1:39" x14ac:dyDescent="0.35">
      <c r="A105" s="5">
        <v>37865</v>
      </c>
      <c r="B105" s="4">
        <v>0.21086770318604101</v>
      </c>
      <c r="C105" s="4">
        <v>-2.7280361721850102</v>
      </c>
      <c r="D105" s="4">
        <v>-1.5423306730364199</v>
      </c>
      <c r="E105" s="4">
        <v>-4.2654273592885596</v>
      </c>
      <c r="AC105" s="4">
        <v>1062374400</v>
      </c>
      <c r="AD105" s="4">
        <v>0.20336636136139799</v>
      </c>
      <c r="AE105" s="4">
        <v>-2.70593607403248</v>
      </c>
      <c r="AF105" s="4">
        <v>-0.92047053090070796</v>
      </c>
      <c r="AG105" s="4">
        <v>-3.64479877584054</v>
      </c>
      <c r="AH105" s="4">
        <v>-0.19219718355236701</v>
      </c>
      <c r="AI105" s="4">
        <v>-0.72827334734833205</v>
      </c>
      <c r="AJ105" s="4">
        <v>0</v>
      </c>
      <c r="AK105" s="4">
        <v>0</v>
      </c>
      <c r="AL105" s="4">
        <v>0</v>
      </c>
      <c r="AM105" s="4">
        <v>0</v>
      </c>
    </row>
    <row r="106" spans="1:39" x14ac:dyDescent="0.35">
      <c r="A106" s="5">
        <v>37956</v>
      </c>
      <c r="B106" s="4">
        <v>-1.53512559700436</v>
      </c>
      <c r="C106" s="4">
        <v>-2.8549798859107902</v>
      </c>
      <c r="D106" s="4">
        <v>-3.1861949481857201</v>
      </c>
      <c r="E106" s="4">
        <v>-5.9318939481376196</v>
      </c>
      <c r="AC106" s="4">
        <v>1070236800</v>
      </c>
      <c r="AD106" s="4">
        <v>-1.5440997606114499</v>
      </c>
      <c r="AE106" s="4">
        <v>-2.83628844382421</v>
      </c>
      <c r="AF106" s="4">
        <v>-2.6348573252029501</v>
      </c>
      <c r="AG106" s="4">
        <v>-5.3810500668436498</v>
      </c>
      <c r="AH106" s="4">
        <v>9.3559919096621799E-2</v>
      </c>
      <c r="AI106" s="4">
        <v>-2.7284172442995498</v>
      </c>
      <c r="AJ106" s="4">
        <v>0</v>
      </c>
      <c r="AK106" s="4">
        <v>0</v>
      </c>
      <c r="AL106" s="4">
        <v>0</v>
      </c>
      <c r="AM106" s="4">
        <v>0</v>
      </c>
    </row>
    <row r="107" spans="1:39" x14ac:dyDescent="0.35">
      <c r="A107" s="5">
        <v>38047</v>
      </c>
      <c r="B107" s="4">
        <v>-1.6592356670322901</v>
      </c>
      <c r="C107" s="4">
        <v>-3.01782527391833</v>
      </c>
      <c r="D107" s="4">
        <v>-3.4173377230474502</v>
      </c>
      <c r="E107" s="4">
        <v>-6.5435979142709204</v>
      </c>
      <c r="AC107" s="4">
        <v>1078099200</v>
      </c>
      <c r="AD107" s="4">
        <v>-1.6409121448431501</v>
      </c>
      <c r="AE107" s="4">
        <v>-2.9887303679649699</v>
      </c>
      <c r="AF107" s="4">
        <v>-2.9151832517756899</v>
      </c>
      <c r="AG107" s="4">
        <v>-6.0452103990197301</v>
      </c>
      <c r="AH107" s="4">
        <v>0.198054462922893</v>
      </c>
      <c r="AI107" s="4">
        <v>-3.1132377146985601</v>
      </c>
      <c r="AJ107" s="4">
        <v>0</v>
      </c>
      <c r="AK107" s="4">
        <v>0</v>
      </c>
      <c r="AL107" s="4">
        <v>0</v>
      </c>
      <c r="AM107" s="4">
        <v>0</v>
      </c>
    </row>
    <row r="108" spans="1:39" x14ac:dyDescent="0.35">
      <c r="A108" s="5">
        <v>38139</v>
      </c>
      <c r="B108" s="4">
        <v>-0.55813800369392697</v>
      </c>
      <c r="C108" s="4">
        <v>-2.1131679398409799</v>
      </c>
      <c r="D108" s="4">
        <v>-2.1525753541375399</v>
      </c>
      <c r="E108" s="4">
        <v>-5.0819419138010202</v>
      </c>
      <c r="AC108" s="4">
        <v>1086048000</v>
      </c>
      <c r="AD108" s="4">
        <v>-0.52004334979292899</v>
      </c>
      <c r="AE108" s="4">
        <v>-2.0771191137426901</v>
      </c>
      <c r="AF108" s="4">
        <v>-1.7013858556802099</v>
      </c>
      <c r="AG108" s="4">
        <v>-4.6367203902601597</v>
      </c>
      <c r="AH108" s="4">
        <v>0.87072322070387098</v>
      </c>
      <c r="AI108" s="4">
        <v>-2.5721090763840699</v>
      </c>
      <c r="AJ108" s="4">
        <v>0</v>
      </c>
      <c r="AK108" s="4">
        <v>0</v>
      </c>
      <c r="AL108" s="4">
        <v>0</v>
      </c>
      <c r="AM108" s="4">
        <v>0</v>
      </c>
    </row>
    <row r="109" spans="1:39" x14ac:dyDescent="0.35">
      <c r="A109" s="5">
        <v>38231</v>
      </c>
      <c r="B109" s="4">
        <v>-0.302193870895414</v>
      </c>
      <c r="C109" s="4">
        <v>-1.7145387624716999</v>
      </c>
      <c r="D109" s="4">
        <v>-2.0799278208470202</v>
      </c>
      <c r="E109" s="4">
        <v>-4.8050472339863601</v>
      </c>
      <c r="AC109" s="4">
        <v>1093996800</v>
      </c>
      <c r="AD109" s="4">
        <v>-0.26283520984012498</v>
      </c>
      <c r="AE109" s="4">
        <v>-1.6803123303907801</v>
      </c>
      <c r="AF109" s="4">
        <v>-1.6886580432661</v>
      </c>
      <c r="AG109" s="4">
        <v>-4.4193649716107899</v>
      </c>
      <c r="AH109" s="4">
        <v>1.0963975552123999</v>
      </c>
      <c r="AI109" s="4">
        <v>-2.7850555984784902</v>
      </c>
      <c r="AJ109" s="4">
        <v>0</v>
      </c>
      <c r="AK109" s="4">
        <v>0</v>
      </c>
      <c r="AL109" s="4">
        <v>0</v>
      </c>
      <c r="AM109" s="4">
        <v>0</v>
      </c>
    </row>
    <row r="110" spans="1:39" x14ac:dyDescent="0.35">
      <c r="A110" s="5">
        <v>38322</v>
      </c>
      <c r="B110" s="4">
        <v>-0.45768516092607803</v>
      </c>
      <c r="C110" s="4">
        <v>-1.5195567379328601</v>
      </c>
      <c r="D110" s="4">
        <v>-2.24815448256324</v>
      </c>
      <c r="E110" s="4">
        <v>-5.0577052124951596</v>
      </c>
      <c r="AC110" s="4">
        <v>1101859200</v>
      </c>
      <c r="AD110" s="4">
        <v>-0.40856352490604703</v>
      </c>
      <c r="AE110" s="4">
        <v>-1.48297632765934</v>
      </c>
      <c r="AF110" s="4">
        <v>-1.9085999111418901</v>
      </c>
      <c r="AG110" s="4">
        <v>-4.7245976617179801</v>
      </c>
      <c r="AH110" s="4">
        <v>1.1858502747749</v>
      </c>
      <c r="AI110" s="4">
        <v>-3.0944501859167701</v>
      </c>
      <c r="AJ110" s="4">
        <v>0</v>
      </c>
      <c r="AK110" s="4">
        <v>0</v>
      </c>
      <c r="AL110" s="4">
        <v>0</v>
      </c>
      <c r="AM110" s="4">
        <v>0</v>
      </c>
    </row>
    <row r="111" spans="1:39" x14ac:dyDescent="0.35">
      <c r="A111" s="5">
        <v>38412</v>
      </c>
      <c r="B111" s="4">
        <v>-0.88799193339985305</v>
      </c>
      <c r="C111" s="4">
        <v>-1.4127238672214</v>
      </c>
      <c r="D111" s="4">
        <v>-2.4750909090716799</v>
      </c>
      <c r="E111" s="4">
        <v>-5.4044864006452897</v>
      </c>
      <c r="AC111" s="4">
        <v>1109635200</v>
      </c>
      <c r="AD111" s="4">
        <v>-0.83054075979901898</v>
      </c>
      <c r="AE111" s="4">
        <v>-1.3743818556558001</v>
      </c>
      <c r="AF111" s="4">
        <v>-2.1854320697321601</v>
      </c>
      <c r="AG111" s="4">
        <v>-5.1219364959543503</v>
      </c>
      <c r="AH111" s="4">
        <v>1.37336035999916</v>
      </c>
      <c r="AI111" s="4">
        <v>-3.5587924297313198</v>
      </c>
      <c r="AJ111" s="4">
        <v>0</v>
      </c>
      <c r="AK111" s="4">
        <v>0</v>
      </c>
      <c r="AL111" s="4">
        <v>0</v>
      </c>
      <c r="AM111" s="4">
        <v>0</v>
      </c>
    </row>
    <row r="112" spans="1:39" x14ac:dyDescent="0.35">
      <c r="A112" s="5">
        <v>38504</v>
      </c>
      <c r="B112" s="4">
        <v>0.73392235757803503</v>
      </c>
      <c r="C112" s="4">
        <v>-0.19712416447405701</v>
      </c>
      <c r="D112" s="4">
        <v>-0.571024557614214</v>
      </c>
      <c r="E112" s="4">
        <v>-3.48317241456455</v>
      </c>
      <c r="AC112" s="4">
        <v>1117584000</v>
      </c>
      <c r="AD112" s="4">
        <v>0.80402975085074102</v>
      </c>
      <c r="AE112" s="4">
        <v>-0.15483625024766101</v>
      </c>
      <c r="AF112" s="4">
        <v>-0.32590910499389703</v>
      </c>
      <c r="AG112" s="4">
        <v>-3.2464952161067502</v>
      </c>
      <c r="AH112" s="4">
        <v>2.03163358954889</v>
      </c>
      <c r="AI112" s="4">
        <v>-2.35754269454277</v>
      </c>
      <c r="AJ112" s="4">
        <v>0</v>
      </c>
      <c r="AK112" s="4">
        <v>0</v>
      </c>
      <c r="AL112" s="4">
        <v>0</v>
      </c>
      <c r="AM112" s="4">
        <v>0</v>
      </c>
    </row>
    <row r="113" spans="1:39" x14ac:dyDescent="0.35">
      <c r="A113" s="5">
        <v>38596</v>
      </c>
      <c r="B113" s="4">
        <v>0.37777724200221302</v>
      </c>
      <c r="C113" s="4">
        <v>0.181791102294525</v>
      </c>
      <c r="D113" s="4">
        <v>-0.51213849448099302</v>
      </c>
      <c r="E113" s="4">
        <v>-3.6342794679454702</v>
      </c>
      <c r="AC113" s="4">
        <v>1125532800</v>
      </c>
      <c r="AD113" s="4">
        <v>0.47778440351773299</v>
      </c>
      <c r="AE113" s="4">
        <v>0.23655199704857399</v>
      </c>
      <c r="AF113" s="4">
        <v>-0.29795271788876398</v>
      </c>
      <c r="AG113" s="4">
        <v>-3.4324444686240798</v>
      </c>
      <c r="AH113" s="4">
        <v>2.3948604650109702</v>
      </c>
      <c r="AI113" s="4">
        <v>-2.6928131828997199</v>
      </c>
      <c r="AJ113" s="4">
        <v>0</v>
      </c>
      <c r="AK113" s="4">
        <v>0</v>
      </c>
      <c r="AL113" s="4">
        <v>0</v>
      </c>
      <c r="AM113" s="4">
        <v>0</v>
      </c>
    </row>
    <row r="114" spans="1:39" x14ac:dyDescent="0.35">
      <c r="A114" s="5">
        <v>38687</v>
      </c>
      <c r="B114" s="4">
        <v>1.16348407685619</v>
      </c>
      <c r="C114" s="4">
        <v>1.2572976793717301</v>
      </c>
      <c r="D114" s="4">
        <v>0.14332371687057399</v>
      </c>
      <c r="E114" s="4">
        <v>-2.98068387374322</v>
      </c>
      <c r="AC114" s="4">
        <v>1133395200</v>
      </c>
      <c r="AD114" s="4">
        <v>1.2626081987821001</v>
      </c>
      <c r="AE114" s="4">
        <v>1.30962536363497</v>
      </c>
      <c r="AF114" s="4">
        <v>0.30945219119596101</v>
      </c>
      <c r="AG114" s="4">
        <v>-2.8262827436287798</v>
      </c>
      <c r="AH114" s="4">
        <v>2.9479508721930099</v>
      </c>
      <c r="AI114" s="4">
        <v>-2.6384986809970301</v>
      </c>
      <c r="AJ114" s="4">
        <v>0</v>
      </c>
      <c r="AK114" s="4">
        <v>0</v>
      </c>
      <c r="AL114" s="4">
        <v>0</v>
      </c>
      <c r="AM114" s="4">
        <v>0</v>
      </c>
    </row>
    <row r="115" spans="1:39" x14ac:dyDescent="0.35">
      <c r="Z115" s="4"/>
      <c r="AB115" s="4">
        <v>1141171200</v>
      </c>
      <c r="AC115" s="4">
        <v>1.4087226049933099</v>
      </c>
      <c r="AD115" s="4">
        <v>2.18441696725053</v>
      </c>
      <c r="AE115" s="4">
        <v>0.83285386677620399</v>
      </c>
      <c r="AF115" s="4">
        <v>-2.11164601385883</v>
      </c>
      <c r="AG115" s="4">
        <v>3.1116785178187798</v>
      </c>
      <c r="AH115" s="4">
        <v>-2.27882465104256</v>
      </c>
      <c r="AI115" s="4">
        <v>0</v>
      </c>
      <c r="AJ115" s="4">
        <v>5.7630302265790898E-2</v>
      </c>
      <c r="AK115" s="4">
        <v>0</v>
      </c>
      <c r="AL115" s="4">
        <v>0</v>
      </c>
    </row>
    <row r="116" spans="1:39" x14ac:dyDescent="0.35">
      <c r="Z116" s="4"/>
      <c r="AB116" s="4">
        <v>1149120000</v>
      </c>
      <c r="AC116" s="4">
        <v>2.4356947122046502</v>
      </c>
      <c r="AD116" s="4">
        <v>3.3853409593534001</v>
      </c>
      <c r="AE116" s="4">
        <v>1.8585696753744601</v>
      </c>
      <c r="AF116" s="4">
        <v>-1.3815658900801699</v>
      </c>
      <c r="AG116" s="4">
        <v>3.6676103244965299</v>
      </c>
      <c r="AH116" s="4">
        <v>-1.8090406491220501</v>
      </c>
      <c r="AI116" s="4">
        <v>0.13615459756395401</v>
      </c>
      <c r="AJ116" s="4">
        <v>0.43291904979793799</v>
      </c>
      <c r="AK116" s="4">
        <v>0</v>
      </c>
      <c r="AL116" s="4">
        <v>0</v>
      </c>
    </row>
    <row r="117" spans="1:39" x14ac:dyDescent="0.35">
      <c r="Z117" s="4"/>
      <c r="AB117" s="4">
        <v>1157068800</v>
      </c>
      <c r="AC117" s="4">
        <v>2.3352541821464801</v>
      </c>
      <c r="AD117" s="4">
        <v>3.2522027836991598</v>
      </c>
      <c r="AE117" s="4">
        <v>1.6395780860401601</v>
      </c>
      <c r="AF117" s="4">
        <v>-1.5256816049530999</v>
      </c>
      <c r="AG117" s="4">
        <v>3.79907731707809</v>
      </c>
      <c r="AH117" s="4">
        <v>-2.15949923103791</v>
      </c>
      <c r="AI117" s="4">
        <v>0.10476693192077401</v>
      </c>
      <c r="AJ117" s="4">
        <v>0.39131336990598597</v>
      </c>
      <c r="AK117" s="4">
        <v>0</v>
      </c>
      <c r="AL117" s="4">
        <v>0</v>
      </c>
    </row>
    <row r="118" spans="1:39" x14ac:dyDescent="0.35">
      <c r="Z118" s="4"/>
      <c r="AB118" s="4">
        <v>1164931200</v>
      </c>
      <c r="AC118" s="4">
        <v>2.8849831728350699</v>
      </c>
      <c r="AD118" s="4">
        <v>3.7059290302847501</v>
      </c>
      <c r="AE118" s="4">
        <v>1.9364401188160301</v>
      </c>
      <c r="AF118" s="4">
        <v>-0.64945091278073297</v>
      </c>
      <c r="AG118" s="4">
        <v>3.9460003186306598</v>
      </c>
      <c r="AH118" s="4">
        <v>-2.00956019981462</v>
      </c>
      <c r="AI118" s="4">
        <v>0.27655724151096001</v>
      </c>
      <c r="AJ118" s="4">
        <v>0.53310282196398495</v>
      </c>
      <c r="AK118" s="4">
        <v>0</v>
      </c>
      <c r="AL118" s="4">
        <v>0</v>
      </c>
    </row>
    <row r="119" spans="1:39" x14ac:dyDescent="0.35">
      <c r="Z119" s="4"/>
      <c r="AB119" s="4">
        <v>1172707200</v>
      </c>
      <c r="AC119" s="4">
        <v>2.8952603761091402</v>
      </c>
      <c r="AD119" s="4">
        <v>3.8552433463140301</v>
      </c>
      <c r="AE119" s="4">
        <v>2.1493242457572102</v>
      </c>
      <c r="AF119" s="4">
        <v>-0.36680723464931198</v>
      </c>
      <c r="AG119" s="4">
        <v>3.9707191551742</v>
      </c>
      <c r="AH119" s="4">
        <v>-1.8213949094169699</v>
      </c>
      <c r="AI119" s="4">
        <v>0.27976886753410601</v>
      </c>
      <c r="AJ119" s="4">
        <v>0.57976354572313404</v>
      </c>
      <c r="AK119" s="4">
        <v>4.6663826799129303E-2</v>
      </c>
      <c r="AL119" s="4">
        <v>0</v>
      </c>
    </row>
    <row r="120" spans="1:39" x14ac:dyDescent="0.35">
      <c r="Z120" s="4"/>
      <c r="AB120" s="4">
        <v>1180656000</v>
      </c>
      <c r="AC120" s="4">
        <v>4.4316404839601304</v>
      </c>
      <c r="AD120" s="4">
        <v>4.7930156962607802</v>
      </c>
      <c r="AE120" s="4">
        <v>3.5122630056592801</v>
      </c>
      <c r="AF120" s="4">
        <v>0.94027629598187101</v>
      </c>
      <c r="AG120" s="4">
        <v>4.3512552314441004</v>
      </c>
      <c r="AH120" s="4">
        <v>-0.83899222578480004</v>
      </c>
      <c r="AI120" s="4">
        <v>0.75988765123754198</v>
      </c>
      <c r="AJ120" s="4">
        <v>0.87281740508149497</v>
      </c>
      <c r="AK120" s="4">
        <v>0.47258218926852602</v>
      </c>
      <c r="AL120" s="4">
        <v>0</v>
      </c>
    </row>
    <row r="121" spans="1:39" x14ac:dyDescent="0.35">
      <c r="Z121" s="4"/>
      <c r="AB121" s="4">
        <v>1188604800</v>
      </c>
      <c r="AC121" s="4">
        <v>4.6184736822730699</v>
      </c>
      <c r="AD121" s="4">
        <v>5.6156349511466699</v>
      </c>
      <c r="AE121" s="4">
        <v>3.3481027761212001</v>
      </c>
      <c r="AF121" s="4">
        <v>1.74891323970886</v>
      </c>
      <c r="AG121" s="4">
        <v>4.5377255293840504</v>
      </c>
      <c r="AH121" s="4">
        <v>-1.1896227532628401</v>
      </c>
      <c r="AI121" s="4">
        <v>0.818273025710335</v>
      </c>
      <c r="AJ121" s="4">
        <v>1.12988592223333</v>
      </c>
      <c r="AK121" s="4">
        <v>0.42128211753787498</v>
      </c>
      <c r="AL121" s="4">
        <v>0</v>
      </c>
    </row>
    <row r="122" spans="1:39" x14ac:dyDescent="0.35">
      <c r="Z122" s="4"/>
      <c r="AB122" s="4">
        <v>1196467200</v>
      </c>
      <c r="AC122" s="4">
        <v>3.9360380900580401</v>
      </c>
      <c r="AD122" s="4">
        <v>6.4992307464727297</v>
      </c>
      <c r="AE122" s="4">
        <v>2.7502959716481601</v>
      </c>
      <c r="AF122" s="4">
        <v>1.7649235916161801</v>
      </c>
      <c r="AG122" s="4">
        <v>4.7233951825080203</v>
      </c>
      <c r="AH122" s="4">
        <v>-1.97309921085986</v>
      </c>
      <c r="AI122" s="4">
        <v>0.60501190314313602</v>
      </c>
      <c r="AJ122" s="4">
        <v>1.40600960827273</v>
      </c>
      <c r="AK122" s="4">
        <v>0.234467491140049</v>
      </c>
      <c r="AL122" s="4">
        <v>0</v>
      </c>
    </row>
    <row r="123" spans="1:39" x14ac:dyDescent="0.35">
      <c r="Z123" s="4"/>
      <c r="AB123" s="4">
        <v>1204329600</v>
      </c>
      <c r="AC123" s="4">
        <v>3.9216146043905802</v>
      </c>
      <c r="AD123" s="4">
        <v>6.9877257498088996</v>
      </c>
      <c r="AE123" s="4">
        <v>2.9459305966971101</v>
      </c>
      <c r="AF123" s="4">
        <v>1.8680720157497199</v>
      </c>
      <c r="AG123" s="4">
        <v>4.5632634011779398</v>
      </c>
      <c r="AH123" s="4">
        <v>-1.61733280448082</v>
      </c>
      <c r="AI123" s="4">
        <v>0.60050456387205597</v>
      </c>
      <c r="AJ123" s="4">
        <v>1.55866429681528</v>
      </c>
      <c r="AK123" s="4">
        <v>0.29560331146784802</v>
      </c>
      <c r="AL123" s="4">
        <v>0</v>
      </c>
    </row>
    <row r="124" spans="1:39" x14ac:dyDescent="0.35">
      <c r="Z124" s="4"/>
      <c r="AB124" s="4">
        <v>1212278400</v>
      </c>
      <c r="AC124" s="4">
        <v>5.9315949445940896</v>
      </c>
      <c r="AD124" s="4">
        <v>7.70377550979482</v>
      </c>
      <c r="AE124" s="4">
        <v>4.1721354129874602</v>
      </c>
      <c r="AF124" s="4">
        <v>3.02186149170296</v>
      </c>
      <c r="AG124" s="4">
        <v>4.6769669366228204</v>
      </c>
      <c r="AH124" s="4">
        <v>-0.50483152363535599</v>
      </c>
      <c r="AI124" s="4">
        <v>1.2286234201856501</v>
      </c>
      <c r="AJ124" s="4">
        <v>1.7824298468108799</v>
      </c>
      <c r="AK124" s="4">
        <v>0.67879231655857997</v>
      </c>
      <c r="AL124" s="4">
        <v>0.31933171615717598</v>
      </c>
    </row>
    <row r="125" spans="1:39" x14ac:dyDescent="0.35">
      <c r="Z125" s="4"/>
      <c r="AB125" s="4">
        <v>1220227200</v>
      </c>
      <c r="AC125" s="4">
        <v>7.3547106965834104</v>
      </c>
      <c r="AD125" s="4">
        <v>8.2609562292256999</v>
      </c>
      <c r="AE125" s="4">
        <v>5.1056168434233502</v>
      </c>
      <c r="AF125" s="4">
        <v>3.78636420348117</v>
      </c>
      <c r="AG125" s="4">
        <v>4.88860708390773</v>
      </c>
      <c r="AH125" s="4">
        <v>0.21700975951563201</v>
      </c>
      <c r="AI125" s="4">
        <v>1.67334709268232</v>
      </c>
      <c r="AJ125" s="4">
        <v>1.95654882163303</v>
      </c>
      <c r="AK125" s="4">
        <v>0.97050526356979805</v>
      </c>
      <c r="AL125" s="4">
        <v>0.55823881358786498</v>
      </c>
    </row>
    <row r="126" spans="1:39" x14ac:dyDescent="0.35">
      <c r="Z126" s="4"/>
      <c r="AB126" s="4">
        <v>1228089600</v>
      </c>
      <c r="AC126" s="4">
        <v>7.4122913959791896</v>
      </c>
      <c r="AD126" s="4">
        <v>8.9906433885980199</v>
      </c>
      <c r="AE126" s="4">
        <v>5.9680944227246302</v>
      </c>
      <c r="AF126" s="4">
        <v>4.0882263846827396</v>
      </c>
      <c r="AG126" s="4">
        <v>5.0089129928070903</v>
      </c>
      <c r="AH126" s="4">
        <v>0.95918142991754396</v>
      </c>
      <c r="AI126" s="4">
        <v>1.6913410612435</v>
      </c>
      <c r="AJ126" s="4">
        <v>2.1845760589368801</v>
      </c>
      <c r="AK126" s="4">
        <v>1.24002950710145</v>
      </c>
      <c r="AL126" s="4">
        <v>0.65257074521335701</v>
      </c>
    </row>
    <row r="127" spans="1:39" x14ac:dyDescent="0.35">
      <c r="Z127" s="4"/>
      <c r="AB127" s="4">
        <v>1235865600</v>
      </c>
      <c r="AC127" s="4">
        <v>8.7844434513447993</v>
      </c>
      <c r="AD127" s="4">
        <v>9.6299499881477502</v>
      </c>
      <c r="AE127" s="4">
        <v>6.9066829303380599</v>
      </c>
      <c r="AF127" s="4">
        <v>5.1475648044810898</v>
      </c>
      <c r="AG127" s="4">
        <v>5.4888857832260198</v>
      </c>
      <c r="AH127" s="4">
        <v>1.4177971471120501</v>
      </c>
      <c r="AI127" s="4">
        <v>2.1201385785452498</v>
      </c>
      <c r="AJ127" s="4">
        <v>2.3843593712961701</v>
      </c>
      <c r="AK127" s="4">
        <v>1.53333841573064</v>
      </c>
      <c r="AL127" s="4">
        <v>0.98361400140033906</v>
      </c>
    </row>
    <row r="128" spans="1:39" x14ac:dyDescent="0.35">
      <c r="Z128" s="4"/>
      <c r="AB128" s="4">
        <v>1243814400</v>
      </c>
      <c r="AC128" s="4">
        <v>9.7122909201529009</v>
      </c>
      <c r="AD128" s="4">
        <v>9.3847733700556706</v>
      </c>
      <c r="AE128" s="4">
        <v>8.5000222284383593</v>
      </c>
      <c r="AF128" s="4">
        <v>5.8684362897846798</v>
      </c>
      <c r="AG128" s="4">
        <v>5.6341602135658597</v>
      </c>
      <c r="AH128" s="4">
        <v>2.8658620148725</v>
      </c>
      <c r="AI128" s="4">
        <v>2.4100909125477799</v>
      </c>
      <c r="AJ128" s="4">
        <v>2.3077416781424001</v>
      </c>
      <c r="AK128" s="4">
        <v>2.0312569463869901</v>
      </c>
      <c r="AL128" s="4">
        <v>1.2088863405577099</v>
      </c>
    </row>
    <row r="129" spans="26:38" x14ac:dyDescent="0.35">
      <c r="Z129" s="4"/>
      <c r="AB129" s="4">
        <v>1251763200</v>
      </c>
      <c r="AC129" s="4">
        <v>10.0889590073142</v>
      </c>
      <c r="AD129" s="4">
        <v>9.1532665239249393</v>
      </c>
      <c r="AE129" s="4">
        <v>9.4615457077764002</v>
      </c>
      <c r="AF129" s="4">
        <v>6.7498933398747596</v>
      </c>
      <c r="AG129" s="4">
        <v>5.9290229779123997</v>
      </c>
      <c r="AH129" s="4">
        <v>3.5325227298640001</v>
      </c>
      <c r="AI129" s="4">
        <v>2.5</v>
      </c>
      <c r="AJ129" s="4">
        <v>2.2353957887265401</v>
      </c>
      <c r="AK129" s="4">
        <v>2.3317330336801199</v>
      </c>
      <c r="AL129" s="4">
        <v>1.4843416687108599</v>
      </c>
    </row>
    <row r="130" spans="26:38" x14ac:dyDescent="0.35">
      <c r="Z130" s="4"/>
      <c r="AB130" s="4">
        <v>1259625600</v>
      </c>
      <c r="AC130" s="4">
        <v>10.017763724333401</v>
      </c>
      <c r="AD130" s="4">
        <v>9.4824089802940392</v>
      </c>
      <c r="AE130" s="4">
        <v>10.050240373839101</v>
      </c>
      <c r="AF130" s="4">
        <v>6.4382946895336097</v>
      </c>
      <c r="AG130" s="4">
        <v>6.4908137652708797</v>
      </c>
      <c r="AH130" s="4">
        <v>3.5594266085682502</v>
      </c>
      <c r="AI130" s="4">
        <v>2.5</v>
      </c>
      <c r="AJ130" s="4">
        <v>2.3382528063418899</v>
      </c>
      <c r="AK130" s="4">
        <v>2.5</v>
      </c>
      <c r="AL130" s="4">
        <v>1.3869670904792499</v>
      </c>
    </row>
    <row r="131" spans="26:38" x14ac:dyDescent="0.35">
      <c r="Z131" s="4"/>
      <c r="AB131" s="4">
        <v>1267401600</v>
      </c>
      <c r="AC131" s="4">
        <v>8.5426640112856909</v>
      </c>
      <c r="AD131" s="4">
        <v>8.5216862969162701</v>
      </c>
      <c r="AE131" s="4">
        <v>9.2501753145036005</v>
      </c>
      <c r="AF131" s="4">
        <v>7.2012291483501203</v>
      </c>
      <c r="AG131" s="4">
        <v>5.8418212847919397</v>
      </c>
      <c r="AH131" s="4">
        <v>3.4083540297116599</v>
      </c>
      <c r="AI131" s="4">
        <v>2.0445825035267799</v>
      </c>
      <c r="AJ131" s="4">
        <v>2.0380269677863398</v>
      </c>
      <c r="AK131" s="4">
        <v>2.2656797857823698</v>
      </c>
      <c r="AL131" s="4">
        <v>1.6253841088594101</v>
      </c>
    </row>
    <row r="132" spans="26:38" x14ac:dyDescent="0.35">
      <c r="Z132" s="4"/>
      <c r="AB132" s="4">
        <v>1275350400</v>
      </c>
      <c r="AC132" s="4">
        <v>6.9124364843018</v>
      </c>
      <c r="AD132" s="4">
        <v>7.8814832003420303</v>
      </c>
      <c r="AE132" s="4">
        <v>7.8697321345619002</v>
      </c>
      <c r="AF132" s="4">
        <v>6.6704279694701603</v>
      </c>
      <c r="AG132" s="4">
        <v>5.4791565543834002</v>
      </c>
      <c r="AH132" s="4">
        <v>2.3905755801785</v>
      </c>
      <c r="AI132" s="4">
        <v>1.5351364013443101</v>
      </c>
      <c r="AJ132" s="4">
        <v>1.8379635001068799</v>
      </c>
      <c r="AK132" s="4">
        <v>1.83429129205059</v>
      </c>
      <c r="AL132" s="4">
        <v>1.45950874045943</v>
      </c>
    </row>
    <row r="133" spans="26:38" x14ac:dyDescent="0.35">
      <c r="Z133" s="4"/>
      <c r="AB133" s="4">
        <v>1283299200</v>
      </c>
      <c r="AC133" s="4">
        <v>5.5674279253757897</v>
      </c>
      <c r="AD133" s="4">
        <v>6.8050142045624202</v>
      </c>
      <c r="AE133" s="4">
        <v>7.2199421512765598</v>
      </c>
      <c r="AF133" s="4">
        <v>5.5407406697866799</v>
      </c>
      <c r="AG133" s="4">
        <v>4.9864064860961799</v>
      </c>
      <c r="AH133" s="4">
        <v>2.2335356651803902</v>
      </c>
      <c r="AI133" s="4">
        <v>1.11482122667993</v>
      </c>
      <c r="AJ133" s="4">
        <v>1.50156693892576</v>
      </c>
      <c r="AK133" s="4">
        <v>1.63123192227392</v>
      </c>
      <c r="AL133" s="4">
        <v>1.1064814593083401</v>
      </c>
    </row>
    <row r="134" spans="26:38" x14ac:dyDescent="0.35">
      <c r="Z134" s="4"/>
      <c r="AB134" s="4">
        <v>1291161600</v>
      </c>
      <c r="AC134" s="4">
        <v>6.0842312261306501</v>
      </c>
      <c r="AD134" s="4">
        <v>6.8555409898141502</v>
      </c>
      <c r="AE134" s="4">
        <v>7.6628870292185596</v>
      </c>
      <c r="AF134" s="4">
        <v>4.9937875349405703</v>
      </c>
      <c r="AG134" s="4">
        <v>5.2377809702539997</v>
      </c>
      <c r="AH134" s="4">
        <v>2.4251060589645599</v>
      </c>
      <c r="AI134" s="4">
        <v>1.27632225816583</v>
      </c>
      <c r="AJ134" s="4">
        <v>1.51735655931692</v>
      </c>
      <c r="AK134" s="4">
        <v>1.7696521966308001</v>
      </c>
      <c r="AL134" s="4">
        <v>0.93555860466892904</v>
      </c>
    </row>
    <row r="135" spans="26:38" x14ac:dyDescent="0.35">
      <c r="Z135" s="4"/>
      <c r="AB135" s="4">
        <v>1298937600</v>
      </c>
      <c r="AC135" s="4">
        <v>5.5036810459156698</v>
      </c>
      <c r="AD135" s="4">
        <v>6.09097043560035</v>
      </c>
      <c r="AE135" s="4">
        <v>6.4292587056019697</v>
      </c>
      <c r="AF135" s="4">
        <v>4.1836504427811603</v>
      </c>
      <c r="AG135" s="4">
        <v>4.7563946906871504</v>
      </c>
      <c r="AH135" s="4">
        <v>1.67286401491482</v>
      </c>
      <c r="AI135" s="4">
        <v>1.0949003268486499</v>
      </c>
      <c r="AJ135" s="4">
        <v>1.2784282611251101</v>
      </c>
      <c r="AK135" s="4">
        <v>1.38414334550062</v>
      </c>
      <c r="AL135" s="4">
        <v>0.68239076336911098</v>
      </c>
    </row>
    <row r="136" spans="26:38" x14ac:dyDescent="0.35">
      <c r="Z136" s="4"/>
      <c r="AB136" s="4">
        <v>1306886400</v>
      </c>
      <c r="AC136" s="4">
        <v>7.0793225173266601</v>
      </c>
      <c r="AD136" s="4">
        <v>6.4157531020273497</v>
      </c>
      <c r="AE136" s="4">
        <v>7.5950921115015504</v>
      </c>
      <c r="AF136" s="4">
        <v>5.5867475912739302</v>
      </c>
      <c r="AG136" s="4">
        <v>4.7775363510252102</v>
      </c>
      <c r="AH136" s="4">
        <v>2.8175557604763601</v>
      </c>
      <c r="AI136" s="4">
        <v>1.5872882866645801</v>
      </c>
      <c r="AJ136" s="4">
        <v>1.3799228443835501</v>
      </c>
      <c r="AK136" s="4">
        <v>1.7484662848442301</v>
      </c>
      <c r="AL136" s="4">
        <v>1.1208586222731001</v>
      </c>
    </row>
    <row r="137" spans="26:38" x14ac:dyDescent="0.35">
      <c r="Z137" s="4"/>
      <c r="AB137" s="4">
        <v>1314835200</v>
      </c>
      <c r="AC137" s="4">
        <v>8.2062726219024604</v>
      </c>
      <c r="AD137" s="4">
        <v>6.0643371424966199</v>
      </c>
      <c r="AE137" s="4">
        <v>7.9159064472909302</v>
      </c>
      <c r="AF137" s="4">
        <v>6.5536940751028103</v>
      </c>
      <c r="AG137" s="4">
        <v>4.37365398298342</v>
      </c>
      <c r="AH137" s="4">
        <v>3.5422524643075102</v>
      </c>
      <c r="AI137" s="4">
        <v>1.93946019434452</v>
      </c>
      <c r="AJ137" s="4">
        <v>1.2701053570301899</v>
      </c>
      <c r="AK137" s="4">
        <v>1.8487207647784201</v>
      </c>
      <c r="AL137" s="4">
        <v>1.4230293984696301</v>
      </c>
    </row>
    <row r="138" spans="26:38" x14ac:dyDescent="0.35">
      <c r="Z138" s="4"/>
      <c r="AB138" s="4">
        <v>1322697600</v>
      </c>
      <c r="AC138" s="4">
        <v>8.2210661135763292</v>
      </c>
      <c r="AD138" s="4">
        <v>5.4974839506557496</v>
      </c>
      <c r="AE138" s="4">
        <v>7.38224540556413</v>
      </c>
      <c r="AF138" s="4">
        <v>6.2793241421539898</v>
      </c>
      <c r="AG138" s="4">
        <v>4.0394083115223696</v>
      </c>
      <c r="AH138" s="4">
        <v>3.34283709404178</v>
      </c>
      <c r="AI138" s="4">
        <v>1.9440831604926001</v>
      </c>
      <c r="AJ138" s="4">
        <v>1.0929637345799199</v>
      </c>
      <c r="AK138" s="4">
        <v>1.68195168923879</v>
      </c>
      <c r="AL138" s="4">
        <v>1.33728879442312</v>
      </c>
    </row>
    <row r="139" spans="26:38" x14ac:dyDescent="0.35">
      <c r="Z139" s="4"/>
      <c r="AB139" s="4">
        <v>1330560000</v>
      </c>
      <c r="AC139" s="4">
        <v>8.9845861183012197</v>
      </c>
      <c r="AD139" s="4">
        <v>4.6272123787011399</v>
      </c>
      <c r="AE139" s="4">
        <v>7.7070642763498096</v>
      </c>
      <c r="AF139" s="4">
        <v>7.2315569317799602</v>
      </c>
      <c r="AG139" s="4">
        <v>3.5272888211389599</v>
      </c>
      <c r="AH139" s="4">
        <v>4.1797754552108604</v>
      </c>
      <c r="AI139" s="4">
        <v>2.18268316196913</v>
      </c>
      <c r="AJ139" s="4">
        <v>0.82100386834410699</v>
      </c>
      <c r="AK139" s="4">
        <v>1.7834575863593201</v>
      </c>
      <c r="AL139" s="4">
        <v>1.6348615411812399</v>
      </c>
    </row>
    <row r="140" spans="26:38" x14ac:dyDescent="0.35">
      <c r="Z140" s="4"/>
      <c r="AB140" s="4">
        <v>1338508800</v>
      </c>
      <c r="AC140" s="4">
        <v>9.7351682067277494</v>
      </c>
      <c r="AD140" s="4">
        <v>3.9303111239413302</v>
      </c>
      <c r="AE140" s="4">
        <v>8.2812576860698908</v>
      </c>
      <c r="AF140" s="4">
        <v>8.0898366020910792</v>
      </c>
      <c r="AG140" s="4">
        <v>3.1369378009280799</v>
      </c>
      <c r="AH140" s="4">
        <v>5.1443198851418197</v>
      </c>
      <c r="AI140" s="4">
        <v>2.4172400646024199</v>
      </c>
      <c r="AJ140" s="4">
        <v>0.60322222623166599</v>
      </c>
      <c r="AK140" s="4">
        <v>1.9628930268968401</v>
      </c>
      <c r="AL140" s="4">
        <v>1.90307393815346</v>
      </c>
    </row>
    <row r="141" spans="26:38" x14ac:dyDescent="0.35">
      <c r="Z141" s="4"/>
      <c r="AB141" s="4">
        <v>1346457600</v>
      </c>
      <c r="AC141" s="4">
        <v>8.5553797642890004</v>
      </c>
      <c r="AD141" s="4">
        <v>2.9956589198249199</v>
      </c>
      <c r="AE141" s="4">
        <v>7.6809363473426799</v>
      </c>
      <c r="AF141" s="4">
        <v>7.6944321698871097</v>
      </c>
      <c r="AG141" s="4">
        <v>2.5587282864544001</v>
      </c>
      <c r="AH141" s="4">
        <v>5.1222080608882798</v>
      </c>
      <c r="AI141" s="4">
        <v>2.04855617634031</v>
      </c>
      <c r="AJ141" s="4">
        <v>0.31114341244528698</v>
      </c>
      <c r="AK141" s="4">
        <v>1.7752926085445899</v>
      </c>
      <c r="AL141" s="4">
        <v>1.7795100530897201</v>
      </c>
    </row>
    <row r="142" spans="26:38" x14ac:dyDescent="0.35">
      <c r="Z142" s="4"/>
      <c r="AB142" s="4">
        <v>1354320000</v>
      </c>
      <c r="AC142" s="4">
        <v>7.7742745109309501</v>
      </c>
      <c r="AD142" s="4">
        <v>2.7384796449978399</v>
      </c>
      <c r="AE142" s="4">
        <v>6.8457066486196299</v>
      </c>
      <c r="AF142" s="4">
        <v>6.20021528871965</v>
      </c>
      <c r="AG142" s="4">
        <v>2.4708555553535798</v>
      </c>
      <c r="AH142" s="4">
        <v>4.3748510932660496</v>
      </c>
      <c r="AI142" s="4">
        <v>1.80446078466592</v>
      </c>
      <c r="AJ142" s="4">
        <v>0.230774889061823</v>
      </c>
      <c r="AK142" s="4">
        <v>1.5142833276936301</v>
      </c>
      <c r="AL142" s="4">
        <v>1.31256727772489</v>
      </c>
    </row>
    <row r="143" spans="26:38" x14ac:dyDescent="0.35">
      <c r="Z143" s="4"/>
      <c r="AB143" s="4">
        <v>1362096000</v>
      </c>
      <c r="AC143" s="4">
        <v>6.4265062965459796</v>
      </c>
      <c r="AD143" s="4">
        <v>2.0392845495004601</v>
      </c>
      <c r="AE143" s="4">
        <v>5.9042510835888402</v>
      </c>
      <c r="AF143" s="4">
        <v>5.8789777850484803</v>
      </c>
      <c r="AG143" s="4">
        <v>2.01277946945652</v>
      </c>
      <c r="AH143" s="4">
        <v>3.89147161413233</v>
      </c>
      <c r="AI143" s="4">
        <v>1.38328321767062</v>
      </c>
      <c r="AJ143" s="4">
        <v>1.22764217188941E-2</v>
      </c>
      <c r="AK143" s="4">
        <v>1.2200784636215101</v>
      </c>
      <c r="AL143" s="4">
        <v>1.2121805578276501</v>
      </c>
    </row>
    <row r="144" spans="26:38" x14ac:dyDescent="0.35">
      <c r="Z144" s="4"/>
      <c r="AB144" s="4">
        <v>1370044800</v>
      </c>
      <c r="AC144" s="4">
        <v>3.7213082787995</v>
      </c>
      <c r="AD144" s="4">
        <v>1.3256775109350001</v>
      </c>
      <c r="AE144" s="4">
        <v>4.0593771996953896</v>
      </c>
      <c r="AF144" s="4">
        <v>4.6368053889013998</v>
      </c>
      <c r="AG144" s="4">
        <v>1.57344895547996</v>
      </c>
      <c r="AH144" s="4">
        <v>2.4859282442154398</v>
      </c>
      <c r="AI144" s="4">
        <v>0.53790883712484405</v>
      </c>
      <c r="AJ144" s="4">
        <v>0</v>
      </c>
      <c r="AK144" s="4">
        <v>0.64355537490480996</v>
      </c>
      <c r="AL144" s="4">
        <v>0.82400168403168705</v>
      </c>
    </row>
    <row r="145" spans="26:38" x14ac:dyDescent="0.35">
      <c r="Z145" s="4"/>
      <c r="AB145" s="4">
        <v>1377993600</v>
      </c>
      <c r="AC145" s="4">
        <v>2.99223584018161</v>
      </c>
      <c r="AD145" s="4">
        <v>0.61092627276966505</v>
      </c>
      <c r="AE145" s="4">
        <v>3.77133677781638</v>
      </c>
      <c r="AF145" s="4">
        <v>4.3957014072937302</v>
      </c>
      <c r="AG145" s="4">
        <v>1.31054658656962</v>
      </c>
      <c r="AH145" s="4">
        <v>2.4607901912467698</v>
      </c>
      <c r="AI145" s="4">
        <v>0.310073700056754</v>
      </c>
      <c r="AJ145" s="4">
        <v>0</v>
      </c>
      <c r="AK145" s="4">
        <v>0.55354274306761997</v>
      </c>
      <c r="AL145" s="4">
        <v>0.74865668977929201</v>
      </c>
    </row>
    <row r="146" spans="26:38" x14ac:dyDescent="0.35">
      <c r="Z146" s="4"/>
      <c r="AB146" s="4">
        <v>1385856000</v>
      </c>
      <c r="AC146" s="4">
        <v>1.4206375155900099</v>
      </c>
      <c r="AD146" s="4">
        <v>-1.42037073211621E-2</v>
      </c>
      <c r="AE146" s="4">
        <v>2.4465112404144</v>
      </c>
      <c r="AF146" s="4">
        <v>2.12347594875065</v>
      </c>
      <c r="AG146" s="4">
        <v>0.86397034947794304</v>
      </c>
      <c r="AH146" s="4">
        <v>1.58254089093647</v>
      </c>
      <c r="AI146" s="4">
        <v>0</v>
      </c>
      <c r="AJ146" s="4">
        <v>0</v>
      </c>
      <c r="AK146" s="4">
        <v>0.13953476262950101</v>
      </c>
      <c r="AL146" s="4">
        <v>3.8586233984578597E-2</v>
      </c>
    </row>
    <row r="147" spans="26:38" x14ac:dyDescent="0.35">
      <c r="Z147" s="4"/>
      <c r="AB147" s="4">
        <v>1393632000</v>
      </c>
      <c r="AC147" s="4">
        <v>2.2821969051292701</v>
      </c>
      <c r="AD147" s="4">
        <v>-0.30218155733943702</v>
      </c>
      <c r="AE147" s="4">
        <v>2.0608159290258001</v>
      </c>
      <c r="AF147" s="4">
        <v>2.9774631154887801</v>
      </c>
      <c r="AG147" s="4">
        <v>0.63401823100617805</v>
      </c>
      <c r="AH147" s="4">
        <v>1.42679769801962</v>
      </c>
      <c r="AI147" s="4">
        <v>8.8186532852895294E-2</v>
      </c>
      <c r="AJ147" s="4">
        <v>0</v>
      </c>
      <c r="AK147" s="4">
        <v>1.90049778205632E-2</v>
      </c>
      <c r="AL147" s="4">
        <v>0.30545722359024402</v>
      </c>
    </row>
    <row r="148" spans="26:38" x14ac:dyDescent="0.35">
      <c r="Z148" s="4"/>
      <c r="AB148" s="4">
        <v>1401580800</v>
      </c>
      <c r="AC148" s="4">
        <v>3.51429094644566</v>
      </c>
      <c r="AD148" s="4">
        <v>-0.45916715727073099</v>
      </c>
      <c r="AE148" s="4">
        <v>2.5841569145074401</v>
      </c>
      <c r="AF148" s="4">
        <v>3.3349230120493001</v>
      </c>
      <c r="AG148" s="4">
        <v>0.38991627632856302</v>
      </c>
      <c r="AH148" s="4">
        <v>2.1942406381788802</v>
      </c>
      <c r="AI148" s="4">
        <v>0.47321592076426799</v>
      </c>
      <c r="AJ148" s="4">
        <v>0</v>
      </c>
      <c r="AK148" s="4">
        <v>0.18254903578357601</v>
      </c>
      <c r="AL148" s="4">
        <v>0.417163441265405</v>
      </c>
    </row>
    <row r="149" spans="26:38" x14ac:dyDescent="0.35">
      <c r="Z149" s="4"/>
      <c r="AB149" s="4">
        <v>1409529600</v>
      </c>
      <c r="AC149" s="4">
        <v>3.8072827962101199</v>
      </c>
      <c r="AD149" s="4">
        <v>-0.96003030172797199</v>
      </c>
      <c r="AE149" s="4">
        <v>2.51922879393164</v>
      </c>
      <c r="AF149" s="4">
        <v>3.95077724806375</v>
      </c>
      <c r="AG149" s="4">
        <v>-9.0115341144362295E-3</v>
      </c>
      <c r="AH149" s="4">
        <v>2.5282403280460799</v>
      </c>
      <c r="AI149" s="4">
        <v>0.56477587381566097</v>
      </c>
      <c r="AJ149" s="4">
        <v>0</v>
      </c>
      <c r="AK149" s="4">
        <v>0.162258998103639</v>
      </c>
      <c r="AL149" s="4">
        <v>0.60961789001992095</v>
      </c>
    </row>
    <row r="150" spans="26:38" x14ac:dyDescent="0.35">
      <c r="Z150" s="4"/>
      <c r="AB150" s="4">
        <v>1417392000</v>
      </c>
      <c r="AC150" s="4">
        <v>3.8842336062779901</v>
      </c>
      <c r="AD150" s="4">
        <v>-1.03374987022617</v>
      </c>
      <c r="AE150" s="4">
        <v>2.0488797474664602</v>
      </c>
      <c r="AF150" s="4">
        <v>2.5679085836207101</v>
      </c>
      <c r="AG150" s="4">
        <v>-0.18841808515716299</v>
      </c>
      <c r="AH150" s="4">
        <v>2.2372978326236201</v>
      </c>
      <c r="AI150" s="4">
        <v>0.58882300196187198</v>
      </c>
      <c r="AJ150" s="4">
        <v>0</v>
      </c>
      <c r="AK150" s="4">
        <v>1.5274921083268099E-2</v>
      </c>
      <c r="AL150" s="4">
        <v>0.17747143238147201</v>
      </c>
    </row>
    <row r="151" spans="26:38" x14ac:dyDescent="0.35">
      <c r="Z151" s="4"/>
      <c r="AB151" s="4">
        <v>1425168000</v>
      </c>
      <c r="AC151" s="4">
        <v>5.2584338221733598</v>
      </c>
      <c r="AD151" s="4">
        <v>-1.2712956516887</v>
      </c>
      <c r="AE151" s="4">
        <v>0.86779671544465697</v>
      </c>
      <c r="AF151" s="4">
        <v>1.56228994458281</v>
      </c>
      <c r="AG151" s="4">
        <v>-0.681570985022387</v>
      </c>
      <c r="AH151" s="4">
        <v>1.5493677004670501</v>
      </c>
      <c r="AI151" s="4">
        <v>1.01826056942917</v>
      </c>
      <c r="AJ151" s="4">
        <v>0</v>
      </c>
      <c r="AK151" s="4">
        <v>0</v>
      </c>
      <c r="AL151" s="4">
        <v>0</v>
      </c>
    </row>
    <row r="152" spans="26:38" x14ac:dyDescent="0.35">
      <c r="Z152" s="4"/>
      <c r="AB152" s="4">
        <v>1433116800</v>
      </c>
      <c r="AC152" s="4">
        <v>4.50070216525517</v>
      </c>
      <c r="AD152" s="4">
        <v>-1.1911845712906599</v>
      </c>
      <c r="AE152" s="4">
        <v>-0.387503779453299</v>
      </c>
      <c r="AF152" s="4">
        <v>0.57472888306708203</v>
      </c>
      <c r="AG152" s="4">
        <v>-0.80593289887974995</v>
      </c>
      <c r="AH152" s="4">
        <v>0.41842911942644501</v>
      </c>
      <c r="AI152" s="4">
        <v>0.78146942664224095</v>
      </c>
      <c r="AJ152" s="4">
        <v>0</v>
      </c>
      <c r="AK152" s="4">
        <v>0</v>
      </c>
      <c r="AL152" s="4">
        <v>0</v>
      </c>
    </row>
    <row r="153" spans="26:38" x14ac:dyDescent="0.35">
      <c r="Z153" s="4"/>
      <c r="AB153" s="4">
        <v>1441065600</v>
      </c>
      <c r="AC153" s="4">
        <v>4.0856549840848899</v>
      </c>
      <c r="AD153" s="4">
        <v>-1.2358238389054801</v>
      </c>
      <c r="AE153" s="4">
        <v>-0.49189240100000597</v>
      </c>
      <c r="AF153" s="4">
        <v>0.199339026182238</v>
      </c>
      <c r="AG153" s="4">
        <v>-0.81592848839820298</v>
      </c>
      <c r="AH153" s="4">
        <v>0.32403608739819001</v>
      </c>
      <c r="AI153" s="4">
        <v>0.65176718252652699</v>
      </c>
      <c r="AJ153" s="4">
        <v>0</v>
      </c>
      <c r="AK153" s="4">
        <v>0</v>
      </c>
      <c r="AL153" s="4">
        <v>0</v>
      </c>
    </row>
    <row r="154" spans="26:38" x14ac:dyDescent="0.35">
      <c r="Z154" s="4"/>
      <c r="AB154" s="4">
        <v>1448928000</v>
      </c>
      <c r="AC154" s="4">
        <v>4.83472986813209</v>
      </c>
      <c r="AD154" s="4">
        <v>-1.24574932231199</v>
      </c>
      <c r="AE154" s="4">
        <v>-0.33550260209389898</v>
      </c>
      <c r="AF154" s="4">
        <v>-0.671124129816982</v>
      </c>
      <c r="AG154" s="4">
        <v>-0.97354157130574104</v>
      </c>
      <c r="AH154" s="4">
        <v>0.638038969211847</v>
      </c>
      <c r="AI154" s="4">
        <v>0.88585308379127803</v>
      </c>
      <c r="AJ154" s="4">
        <v>0</v>
      </c>
      <c r="AK154" s="4">
        <v>0</v>
      </c>
      <c r="AL154" s="4">
        <v>0</v>
      </c>
    </row>
    <row r="155" spans="26:38" x14ac:dyDescent="0.35">
      <c r="Z155" s="4"/>
      <c r="AB155" s="4">
        <v>1456790400</v>
      </c>
      <c r="AC155" s="4">
        <v>2.7692357541300701</v>
      </c>
      <c r="AD155" s="4">
        <v>-1.5930040288823599</v>
      </c>
      <c r="AE155" s="4">
        <v>-2.5897560655565899</v>
      </c>
      <c r="AF155" s="4">
        <v>-1.79850159575267</v>
      </c>
      <c r="AG155" s="4">
        <v>-1.60944332566473</v>
      </c>
      <c r="AH155" s="4">
        <v>-0.98031273989186196</v>
      </c>
      <c r="AI155" s="4">
        <v>0.24038617316564601</v>
      </c>
      <c r="AJ155" s="4">
        <v>0</v>
      </c>
      <c r="AK155" s="4">
        <v>0</v>
      </c>
      <c r="AL155" s="4">
        <v>0</v>
      </c>
    </row>
    <row r="156" spans="26:38" x14ac:dyDescent="0.35">
      <c r="Z156" s="4"/>
      <c r="AB156" s="4">
        <v>1464739200</v>
      </c>
      <c r="AC156" s="4">
        <v>4.0749998673061798</v>
      </c>
      <c r="AD156" s="4">
        <v>-1.11033190819811</v>
      </c>
      <c r="AE156" s="4">
        <v>-1.8971792580190501</v>
      </c>
      <c r="AF156" s="4">
        <v>-1.21800733546115</v>
      </c>
      <c r="AG156" s="4">
        <v>-1.50535763821061</v>
      </c>
      <c r="AH156" s="4">
        <v>-0.39182161980843799</v>
      </c>
      <c r="AI156" s="4">
        <v>0.64843745853318002</v>
      </c>
      <c r="AJ156" s="4">
        <v>0</v>
      </c>
      <c r="AK156" s="4">
        <v>0</v>
      </c>
      <c r="AL156" s="4">
        <v>0</v>
      </c>
    </row>
    <row r="157" spans="26:38" x14ac:dyDescent="0.35">
      <c r="Z157" s="4"/>
      <c r="AB157" s="4">
        <v>1472688000</v>
      </c>
      <c r="AC157" s="4">
        <v>4.1893308436984897</v>
      </c>
      <c r="AD157" s="4">
        <v>-1.0479472172459401</v>
      </c>
      <c r="AE157" s="4">
        <v>-1.4335895468409501</v>
      </c>
      <c r="AF157" s="4">
        <v>-1.15885428661029</v>
      </c>
      <c r="AG157" s="4">
        <v>-1.29771934207104</v>
      </c>
      <c r="AH157" s="4">
        <v>-0.13587020476991399</v>
      </c>
      <c r="AI157" s="4">
        <v>0.68416588865577899</v>
      </c>
      <c r="AJ157" s="4">
        <v>0</v>
      </c>
      <c r="AK157" s="4">
        <v>0</v>
      </c>
      <c r="AL157" s="4">
        <v>0</v>
      </c>
    </row>
    <row r="158" spans="26:38" x14ac:dyDescent="0.35">
      <c r="Z158" s="4"/>
      <c r="AB158" s="4">
        <v>1480550400</v>
      </c>
      <c r="AC158" s="4">
        <v>4.7701064141535401</v>
      </c>
      <c r="AD158" s="4">
        <v>-0.36117676165323997</v>
      </c>
      <c r="AE158" s="4">
        <v>-1.04577004915573</v>
      </c>
      <c r="AF158" s="4">
        <v>-1.6276925177228501</v>
      </c>
      <c r="AG158" s="4">
        <v>-0.80029075750113998</v>
      </c>
      <c r="AH158" s="4">
        <v>-0.245479291654598</v>
      </c>
      <c r="AI158" s="4">
        <v>0.86565825442298205</v>
      </c>
      <c r="AJ158" s="4">
        <v>0</v>
      </c>
      <c r="AK158" s="4">
        <v>0</v>
      </c>
      <c r="AL158" s="4">
        <v>0</v>
      </c>
    </row>
    <row r="159" spans="26:38" x14ac:dyDescent="0.35">
      <c r="Z159" s="4"/>
      <c r="AB159" s="4">
        <v>1488326400</v>
      </c>
      <c r="AC159" s="4">
        <v>5.7224941006874399</v>
      </c>
      <c r="AD159" s="4">
        <v>-0.17570434043070399</v>
      </c>
      <c r="AE159" s="4">
        <v>-0.12597594714257099</v>
      </c>
      <c r="AF159" s="4">
        <v>-1.3754710386058999</v>
      </c>
      <c r="AG159" s="4">
        <v>-0.93040731125571097</v>
      </c>
      <c r="AH159" s="4">
        <v>0.80443136411312099</v>
      </c>
      <c r="AI159" s="4">
        <v>1.16327940646482</v>
      </c>
      <c r="AJ159" s="4">
        <v>0</v>
      </c>
      <c r="AK159" s="4">
        <v>0</v>
      </c>
      <c r="AL159" s="4">
        <v>0</v>
      </c>
    </row>
    <row r="160" spans="26:38" x14ac:dyDescent="0.35">
      <c r="Z160" s="4"/>
      <c r="AB160" s="4">
        <v>1496275200</v>
      </c>
      <c r="AC160" s="4">
        <v>4.8674954591558697</v>
      </c>
      <c r="AD160" s="4">
        <v>8.3803256880015803E-2</v>
      </c>
      <c r="AE160" s="4">
        <v>-0.39924980120732201</v>
      </c>
      <c r="AF160" s="4">
        <v>-0.32329209232761302</v>
      </c>
      <c r="AG160" s="4">
        <v>-0.69055205380936802</v>
      </c>
      <c r="AH160" s="4">
        <v>0.29130225260204101</v>
      </c>
      <c r="AI160" s="4">
        <v>0.896092330986209</v>
      </c>
      <c r="AJ160" s="4">
        <v>0</v>
      </c>
      <c r="AK160" s="4">
        <v>0</v>
      </c>
      <c r="AL160" s="4">
        <v>0</v>
      </c>
    </row>
    <row r="161" spans="26:38" x14ac:dyDescent="0.35">
      <c r="Z161" s="4"/>
      <c r="AB161" s="4">
        <v>1504224000</v>
      </c>
      <c r="AC161" s="4">
        <v>3.4958648548021101</v>
      </c>
      <c r="AD161" s="4">
        <v>-0.11321859557724701</v>
      </c>
      <c r="AE161" s="4">
        <v>-0.77351560142097497</v>
      </c>
      <c r="AF161" s="4">
        <v>-1.15580852200174</v>
      </c>
      <c r="AG161" s="4">
        <v>-0.84181284006866497</v>
      </c>
      <c r="AH161" s="4">
        <v>6.8297238647649694E-2</v>
      </c>
      <c r="AI161" s="4">
        <v>0.46745776712565801</v>
      </c>
      <c r="AJ161" s="4">
        <v>0</v>
      </c>
      <c r="AK161" s="4">
        <v>0</v>
      </c>
      <c r="AL161" s="4">
        <v>0</v>
      </c>
    </row>
    <row r="162" spans="26:38" x14ac:dyDescent="0.35">
      <c r="Z162" s="4"/>
      <c r="AB162" s="4">
        <v>1512086400</v>
      </c>
      <c r="AC162" s="4">
        <v>2.69344063693431</v>
      </c>
      <c r="AD162" s="4">
        <v>6.4157732548764695E-2</v>
      </c>
      <c r="AE162" s="4">
        <v>-1.0823426138101899</v>
      </c>
      <c r="AF162" s="4">
        <v>-1.3072669681814599</v>
      </c>
      <c r="AG162" s="4">
        <v>-0.785034970451155</v>
      </c>
      <c r="AH162" s="4">
        <v>-0.297307643359077</v>
      </c>
      <c r="AI162" s="4">
        <v>0.21670019904196999</v>
      </c>
      <c r="AJ162" s="4">
        <v>0</v>
      </c>
      <c r="AK162" s="4">
        <v>0</v>
      </c>
      <c r="AL162" s="4">
        <v>0</v>
      </c>
    </row>
    <row r="163" spans="26:38" x14ac:dyDescent="0.35">
      <c r="Z163" s="4"/>
      <c r="AB163" s="4">
        <v>1519862400</v>
      </c>
      <c r="AC163" s="4">
        <v>2.7448622332769999</v>
      </c>
      <c r="AD163" s="4">
        <v>-0.208897274559532</v>
      </c>
      <c r="AE163" s="4">
        <v>-1.8668613521828701</v>
      </c>
      <c r="AF163" s="4">
        <v>-1.8484207445841201</v>
      </c>
      <c r="AG163" s="4">
        <v>-1.01816555403346</v>
      </c>
      <c r="AH163" s="4">
        <v>-0.84869579814944895</v>
      </c>
      <c r="AI163" s="4">
        <v>0.23276944789906101</v>
      </c>
      <c r="AJ163" s="4">
        <v>0</v>
      </c>
      <c r="AK163" s="4">
        <v>0</v>
      </c>
      <c r="AL163" s="4">
        <v>0</v>
      </c>
    </row>
    <row r="164" spans="26:38" x14ac:dyDescent="0.35">
      <c r="Z164" s="4"/>
      <c r="AB164" s="4">
        <v>1527811200</v>
      </c>
      <c r="AC164" s="4">
        <v>3.6537517158634198</v>
      </c>
      <c r="AD164" s="4">
        <v>0.17583781418436401</v>
      </c>
      <c r="AE164" s="4">
        <v>-0.51941560804894804</v>
      </c>
      <c r="AF164" s="4">
        <v>-0.16310111629416599</v>
      </c>
      <c r="AG164" s="4">
        <v>-0.82378823469511497</v>
      </c>
      <c r="AH164" s="4">
        <v>0.304372626646084</v>
      </c>
      <c r="AI164" s="4">
        <v>0.51679741120732003</v>
      </c>
      <c r="AJ164" s="4">
        <v>0</v>
      </c>
      <c r="AK164" s="4">
        <v>0</v>
      </c>
      <c r="AL164" s="4">
        <v>0</v>
      </c>
    </row>
    <row r="165" spans="26:38" x14ac:dyDescent="0.35">
      <c r="Z165" s="4"/>
      <c r="AB165" s="4">
        <v>1535760000</v>
      </c>
      <c r="AC165" s="4">
        <v>3.4838585929439501</v>
      </c>
      <c r="AD165" s="4">
        <v>0.28161610411928101</v>
      </c>
      <c r="AE165" s="4">
        <v>-0.13379289003938599</v>
      </c>
      <c r="AF165" s="4">
        <v>0.54469853322092299</v>
      </c>
      <c r="AG165" s="4">
        <v>-0.75925962552832904</v>
      </c>
      <c r="AH165" s="4">
        <v>0.625466735488864</v>
      </c>
      <c r="AI165" s="4">
        <v>0.46370581029498398</v>
      </c>
      <c r="AJ165" s="4">
        <v>0</v>
      </c>
      <c r="AK165" s="4">
        <v>0</v>
      </c>
      <c r="AL165" s="4">
        <v>0</v>
      </c>
    </row>
    <row r="166" spans="26:38" x14ac:dyDescent="0.35">
      <c r="Z166" s="4"/>
      <c r="AB166" s="4">
        <v>1543622400</v>
      </c>
      <c r="AC166" s="4">
        <v>3.01861005008214</v>
      </c>
      <c r="AD166" s="4">
        <v>0.80351601212493795</v>
      </c>
      <c r="AE166" s="4">
        <v>-0.227517422220127</v>
      </c>
      <c r="AF166" s="4">
        <v>-1.56075830287364E-2</v>
      </c>
      <c r="AG166" s="4">
        <v>-0.50458726685958699</v>
      </c>
      <c r="AH166" s="4">
        <v>0.27706984463936501</v>
      </c>
      <c r="AI166" s="4">
        <v>0.31831564065066997</v>
      </c>
      <c r="AJ166" s="4">
        <v>0</v>
      </c>
      <c r="AK166" s="4">
        <v>0</v>
      </c>
      <c r="AL166" s="4">
        <v>0</v>
      </c>
    </row>
    <row r="167" spans="26:38" x14ac:dyDescent="0.35">
      <c r="Z167" s="4"/>
      <c r="AB167" s="4">
        <v>1551398400</v>
      </c>
      <c r="AC167" s="4">
        <v>3.5701620308553701</v>
      </c>
      <c r="AD167" s="4">
        <v>-5.2107327971459803E-2</v>
      </c>
      <c r="AE167" s="4">
        <v>-0.18949278251267901</v>
      </c>
      <c r="AF167" s="4">
        <v>0.12178172969962001</v>
      </c>
      <c r="AG167" s="4">
        <v>-1.3088694363992801</v>
      </c>
      <c r="AH167" s="4">
        <v>1.11937665388651</v>
      </c>
      <c r="AI167" s="4">
        <v>0.49067563464230302</v>
      </c>
      <c r="AJ167" s="4">
        <v>0</v>
      </c>
      <c r="AK167" s="4">
        <v>0</v>
      </c>
      <c r="AL167" s="4">
        <v>0</v>
      </c>
    </row>
    <row r="168" spans="26:38" x14ac:dyDescent="0.35">
      <c r="Z168" s="4"/>
      <c r="AB168" s="4">
        <v>1559347200</v>
      </c>
      <c r="AC168" s="4">
        <v>4.1890177747110799</v>
      </c>
      <c r="AD168" s="4">
        <v>0.487174437233867</v>
      </c>
      <c r="AE168" s="4">
        <v>0.87729124886122101</v>
      </c>
      <c r="AF168" s="4">
        <v>1.67285373427703</v>
      </c>
      <c r="AG168" s="4">
        <v>-0.97758484236263299</v>
      </c>
      <c r="AH168" s="4">
        <v>1.8548760912237501</v>
      </c>
      <c r="AI168" s="4">
        <v>0.68406805459721198</v>
      </c>
      <c r="AJ168" s="4">
        <v>0</v>
      </c>
      <c r="AK168" s="4">
        <v>0</v>
      </c>
      <c r="AL168" s="4">
        <v>0</v>
      </c>
    </row>
    <row r="169" spans="26:38" x14ac:dyDescent="0.35">
      <c r="Z169" s="4"/>
      <c r="AB169" s="4">
        <v>1567296000</v>
      </c>
      <c r="AC169" s="4">
        <v>5.0307644902005704</v>
      </c>
      <c r="AD169" s="4">
        <v>0.87965663708300601</v>
      </c>
      <c r="AE169" s="4">
        <v>1.54771903258731</v>
      </c>
      <c r="AF169" s="4">
        <v>1.92648537765718</v>
      </c>
      <c r="AG169" s="4">
        <v>-0.53322547839814205</v>
      </c>
      <c r="AH169" s="4">
        <v>2.0809445109853399</v>
      </c>
      <c r="AI169" s="4">
        <v>0.94711390318767696</v>
      </c>
      <c r="AJ169" s="4">
        <v>0</v>
      </c>
      <c r="AK169" s="4">
        <v>0</v>
      </c>
      <c r="AL169" s="4">
        <v>0</v>
      </c>
    </row>
    <row r="170" spans="26:38" x14ac:dyDescent="0.35">
      <c r="Z170" s="4"/>
      <c r="AB170" s="4">
        <v>1575158400</v>
      </c>
      <c r="AC170" s="4">
        <v>4.0878686690438997</v>
      </c>
      <c r="AD170" s="4">
        <v>1.0268369908417601</v>
      </c>
      <c r="AE170" s="4">
        <v>0.64676186784374501</v>
      </c>
      <c r="AF170" s="4">
        <v>0.80154790104177598</v>
      </c>
      <c r="AG170" s="4">
        <v>-0.215653919826722</v>
      </c>
      <c r="AH170" s="4">
        <v>0.862415787670339</v>
      </c>
      <c r="AI170" s="4">
        <v>0.65245895907621898</v>
      </c>
      <c r="AJ170" s="4">
        <v>0</v>
      </c>
      <c r="AK170" s="4">
        <v>0</v>
      </c>
      <c r="AL170" s="4">
        <v>0</v>
      </c>
    </row>
    <row r="171" spans="26:38" x14ac:dyDescent="0.35">
      <c r="Z171" s="4"/>
      <c r="AB171" s="4">
        <v>1583020800</v>
      </c>
      <c r="AC171" s="4">
        <v>6.8683549789254297</v>
      </c>
      <c r="AD171" s="4">
        <v>2.0567951750720499</v>
      </c>
      <c r="AE171" s="4">
        <v>1.77260905541947</v>
      </c>
      <c r="AF171" s="4">
        <v>1.0286385899050901</v>
      </c>
      <c r="AG171" s="4">
        <v>0.129173471845102</v>
      </c>
      <c r="AH171" s="4">
        <v>1.64343558357425</v>
      </c>
      <c r="AI171" s="4">
        <v>1.5213609309142</v>
      </c>
      <c r="AJ171" s="4">
        <v>1.7748492210016599E-2</v>
      </c>
      <c r="AK171" s="4">
        <v>0</v>
      </c>
      <c r="AL171" s="4">
        <v>0</v>
      </c>
    </row>
    <row r="172" spans="26:38" x14ac:dyDescent="0.35">
      <c r="Z172" s="4"/>
      <c r="AB172" s="4">
        <v>1590969600</v>
      </c>
      <c r="AC172" s="4">
        <v>19.788227230722999</v>
      </c>
      <c r="AD172" s="4">
        <v>8.3476248002850504</v>
      </c>
      <c r="AE172" s="4">
        <v>11.864586047342099</v>
      </c>
      <c r="AF172" s="4">
        <v>4.4157455459031398</v>
      </c>
      <c r="AG172" s="4">
        <v>2.2826339663603998</v>
      </c>
      <c r="AH172" s="4">
        <v>9.5819520809815195</v>
      </c>
      <c r="AI172" s="4">
        <v>2.5</v>
      </c>
      <c r="AJ172" s="4">
        <v>1.98363275008908</v>
      </c>
      <c r="AK172" s="4">
        <v>2.5</v>
      </c>
      <c r="AL172" s="4">
        <v>0.75492048309473003</v>
      </c>
    </row>
    <row r="173" spans="26:38" x14ac:dyDescent="0.35">
      <c r="Z173" s="4"/>
      <c r="AB173" s="4">
        <v>1598918400</v>
      </c>
      <c r="AC173" s="4">
        <v>22.025668659432199</v>
      </c>
      <c r="AD173" s="4">
        <v>10.366147590208</v>
      </c>
      <c r="AE173" s="4">
        <v>13.6205470134026</v>
      </c>
      <c r="AF173" s="4">
        <v>5.3762771521285799</v>
      </c>
      <c r="AG173" s="4">
        <v>3.1610160348833198</v>
      </c>
      <c r="AH173" s="4">
        <v>10.4595309785191</v>
      </c>
      <c r="AI173" s="4">
        <v>2.5</v>
      </c>
      <c r="AJ173" s="4">
        <v>2.5</v>
      </c>
      <c r="AK173" s="4">
        <v>2.5</v>
      </c>
      <c r="AL173" s="4">
        <v>1.0550866100401799</v>
      </c>
    </row>
    <row r="174" spans="26:38" x14ac:dyDescent="0.35">
      <c r="Z174" s="4"/>
      <c r="AB174" s="4">
        <v>1606780800</v>
      </c>
      <c r="AC174" s="4">
        <v>23.6386489180802</v>
      </c>
      <c r="AD174" s="4">
        <v>11.135453313286099</v>
      </c>
      <c r="AE174" s="4">
        <v>14.6786405965432</v>
      </c>
      <c r="AF174" s="4">
        <v>5.7771634751842003</v>
      </c>
      <c r="AG174" s="4">
        <v>3.86094189863574</v>
      </c>
      <c r="AH174" s="4">
        <v>10.8176986979073</v>
      </c>
      <c r="AI174" s="4">
        <v>2.5</v>
      </c>
      <c r="AJ174" s="4">
        <v>2.5</v>
      </c>
      <c r="AK174" s="4">
        <v>2.5</v>
      </c>
      <c r="AL174" s="4">
        <v>1.1803635859950601</v>
      </c>
    </row>
    <row r="175" spans="26:38" x14ac:dyDescent="0.35">
      <c r="Z175" s="4"/>
      <c r="AB175" s="4">
        <v>1614556800</v>
      </c>
      <c r="AC175" s="4">
        <v>20.045094276776702</v>
      </c>
      <c r="AD175" s="4">
        <v>9.8814934410819895</v>
      </c>
      <c r="AE175" s="4">
        <v>11.4330329858944</v>
      </c>
      <c r="AF175" s="4">
        <v>3.9427528868773498</v>
      </c>
      <c r="AG175" s="4">
        <v>3.19319191091226</v>
      </c>
      <c r="AH175" s="4">
        <v>8.2398410749819995</v>
      </c>
      <c r="AI175" s="4">
        <v>2.5</v>
      </c>
      <c r="AJ175" s="4">
        <v>2.4629667003381202</v>
      </c>
      <c r="AK175" s="4">
        <v>2.5</v>
      </c>
      <c r="AL175" s="4">
        <v>0.60711027714917298</v>
      </c>
    </row>
    <row r="176" spans="26:38" x14ac:dyDescent="0.35">
      <c r="Z176" s="4"/>
      <c r="AB176" s="4">
        <v>1622505600</v>
      </c>
      <c r="AC176" s="4">
        <v>11.4488723590023</v>
      </c>
      <c r="AD176" s="4">
        <v>6.07992956750922</v>
      </c>
      <c r="AE176" s="4">
        <v>5.4789000003601496</v>
      </c>
      <c r="AF176" s="4">
        <v>0.68848636598653201</v>
      </c>
      <c r="AG176" s="4">
        <v>1.5430939095254601</v>
      </c>
      <c r="AH176" s="4">
        <v>3.9358060908345101</v>
      </c>
      <c r="AI176" s="4">
        <v>2.5</v>
      </c>
      <c r="AJ176" s="4">
        <v>1.27497798984663</v>
      </c>
      <c r="AK176" s="4">
        <v>1.08715625011255</v>
      </c>
      <c r="AL176" s="4">
        <v>0</v>
      </c>
    </row>
    <row r="177" spans="26:38" x14ac:dyDescent="0.35">
      <c r="Z177" s="4"/>
      <c r="AB177" s="4">
        <v>1630454400</v>
      </c>
      <c r="AC177" s="4">
        <v>7.7143542285050399</v>
      </c>
      <c r="AD177" s="4">
        <v>4.5829972326212003</v>
      </c>
      <c r="AE177" s="4">
        <v>2.9200408484326101</v>
      </c>
      <c r="AF177" s="4">
        <v>-1.06982896832131</v>
      </c>
      <c r="AG177" s="4">
        <v>1.0273913966894499</v>
      </c>
      <c r="AH177" s="4">
        <v>1.8926494517429699</v>
      </c>
      <c r="AI177" s="4">
        <v>1.7857356964078299</v>
      </c>
      <c r="AJ177" s="4">
        <v>0.80718663519412504</v>
      </c>
      <c r="AK177" s="4">
        <v>0.28751276513519203</v>
      </c>
      <c r="AL177" s="4">
        <v>0</v>
      </c>
    </row>
    <row r="178" spans="26:38" x14ac:dyDescent="0.35">
      <c r="Z178" s="4"/>
      <c r="AB178" s="4">
        <v>1638316800</v>
      </c>
      <c r="AC178" s="4">
        <v>4.8816635898819003</v>
      </c>
      <c r="AD178" s="4">
        <v>3.4083687229856401</v>
      </c>
      <c r="AE178" s="4">
        <v>1.09815032572426</v>
      </c>
      <c r="AF178" s="4">
        <v>-2.66087053845864</v>
      </c>
      <c r="AG178" s="4">
        <v>0.33270649455137102</v>
      </c>
      <c r="AH178" s="4">
        <v>0.765443831172681</v>
      </c>
      <c r="AI178" s="4">
        <v>0.90051987183809201</v>
      </c>
      <c r="AJ178" s="4">
        <v>0.440115225933012</v>
      </c>
      <c r="AK178" s="4">
        <v>0</v>
      </c>
      <c r="AL178" s="4">
        <v>0</v>
      </c>
    </row>
    <row r="179" spans="26:38" x14ac:dyDescent="0.35">
      <c r="Z179" s="4"/>
      <c r="AB179" s="4">
        <v>1646092800</v>
      </c>
      <c r="AC179" s="4">
        <v>2.0266952227467301</v>
      </c>
      <c r="AD179" s="4">
        <v>2.2573699721750602</v>
      </c>
      <c r="AE179" s="4">
        <v>-2.0146435452334099</v>
      </c>
      <c r="AF179" s="4">
        <v>-4.5425119372519802</v>
      </c>
      <c r="AG179" s="4">
        <v>-0.48231701921964099</v>
      </c>
      <c r="AH179" s="4">
        <v>-1.53232652601399</v>
      </c>
      <c r="AI179" s="4">
        <v>8.3422571083523502E-3</v>
      </c>
      <c r="AJ179" s="4">
        <v>8.0428116304706102E-2</v>
      </c>
      <c r="AK179" s="4">
        <v>0</v>
      </c>
      <c r="AL179" s="4">
        <v>0</v>
      </c>
    </row>
    <row r="180" spans="26:38" x14ac:dyDescent="0.35">
      <c r="Z180" s="4"/>
      <c r="AB180" s="4">
        <v>1654041600</v>
      </c>
      <c r="AC180" s="4">
        <v>0.17286639733753301</v>
      </c>
      <c r="AD180" s="4">
        <v>1.96961621160533</v>
      </c>
      <c r="AE180" s="4">
        <v>-4.2990862692572698</v>
      </c>
      <c r="AF180" s="4">
        <v>-5.9514021183786996</v>
      </c>
      <c r="AG180" s="4">
        <v>-0.61619558977887501</v>
      </c>
      <c r="AH180" s="4">
        <v>-3.6828906794786098</v>
      </c>
      <c r="AI180" s="4">
        <v>0</v>
      </c>
      <c r="AJ180" s="4">
        <v>0</v>
      </c>
      <c r="AK180" s="4">
        <v>0</v>
      </c>
      <c r="AL180" s="4">
        <v>0</v>
      </c>
    </row>
    <row r="181" spans="26:38" x14ac:dyDescent="0.35">
      <c r="Z181" s="4"/>
      <c r="AB181" s="4">
        <v>1661990400</v>
      </c>
      <c r="AC181" s="4">
        <v>-0.228842012134786</v>
      </c>
      <c r="AD181" s="4">
        <v>1.7115607652309499</v>
      </c>
      <c r="AE181" s="4">
        <v>-4.4979132602626697</v>
      </c>
      <c r="AF181" s="4">
        <v>-5.5548145571921701</v>
      </c>
      <c r="AG181" s="4">
        <v>-0.863092927450679</v>
      </c>
      <c r="AH181" s="4">
        <v>-3.6348203328122</v>
      </c>
      <c r="AI181" s="4">
        <v>0</v>
      </c>
      <c r="AJ181" s="4">
        <v>0</v>
      </c>
      <c r="AK181" s="4">
        <v>0</v>
      </c>
      <c r="AL181" s="4">
        <v>0</v>
      </c>
    </row>
    <row r="182" spans="26:38" x14ac:dyDescent="0.35">
      <c r="Z182" s="4"/>
      <c r="AB182" s="4">
        <v>1669852800</v>
      </c>
      <c r="AC182" s="4">
        <v>-1.9756051015681499</v>
      </c>
      <c r="AD182" s="4">
        <v>1.0233731994544899</v>
      </c>
      <c r="AE182" s="4">
        <v>-5.2347739179491297</v>
      </c>
      <c r="AF182" s="4">
        <v>-6.1383644527833496</v>
      </c>
      <c r="AG182" s="4">
        <v>-1.5081960608762699</v>
      </c>
      <c r="AH182" s="4">
        <v>-3.7265778570730901</v>
      </c>
      <c r="AI182" s="4">
        <v>0</v>
      </c>
      <c r="AJ182" s="4">
        <v>0</v>
      </c>
      <c r="AK182" s="4">
        <v>0</v>
      </c>
      <c r="AL182" s="4">
        <v>0</v>
      </c>
    </row>
    <row r="183" spans="26:38" x14ac:dyDescent="0.35">
      <c r="Z183" s="4"/>
      <c r="AB183" s="4">
        <v>1677628800</v>
      </c>
      <c r="AC183" s="4">
        <v>-5.4146546783225098</v>
      </c>
      <c r="AD183" s="4">
        <v>-0.75028099801311299</v>
      </c>
      <c r="AE183" s="4">
        <v>-7.28947455475019</v>
      </c>
      <c r="AF183" s="4">
        <v>-7.2244151695800198</v>
      </c>
      <c r="AG183" s="4">
        <v>-2.4621632817883001</v>
      </c>
      <c r="AH183" s="4">
        <v>-4.8273112729621301</v>
      </c>
      <c r="AI183" s="4">
        <v>0</v>
      </c>
      <c r="AJ183" s="4">
        <v>0</v>
      </c>
      <c r="AK183" s="4">
        <v>0</v>
      </c>
      <c r="AL183" s="4">
        <v>0</v>
      </c>
    </row>
    <row r="184" spans="26:38" x14ac:dyDescent="0.35">
      <c r="Z184" s="4"/>
      <c r="AB184" s="4">
        <v>1685577600</v>
      </c>
      <c r="AC184" s="4">
        <v>-8.5712867543828892</v>
      </c>
      <c r="AD184" s="4">
        <v>-2.7739493938896902</v>
      </c>
      <c r="AE184" s="4">
        <v>-9.6089014910486608</v>
      </c>
      <c r="AF184" s="4">
        <v>-7.6639437702608602</v>
      </c>
      <c r="AG184" s="4">
        <v>-3.4540924167684701</v>
      </c>
      <c r="AH184" s="4">
        <v>-6.1548090742804398</v>
      </c>
      <c r="AI184" s="4">
        <v>0</v>
      </c>
      <c r="AJ184" s="4">
        <v>0</v>
      </c>
      <c r="AK184" s="4">
        <v>0</v>
      </c>
      <c r="AL184" s="4">
        <v>0</v>
      </c>
    </row>
    <row r="185" spans="26:38" x14ac:dyDescent="0.35">
      <c r="Z185" s="4"/>
      <c r="AB185" s="4">
        <v>1693526400</v>
      </c>
      <c r="AC185" s="4">
        <v>-11.027899311237499</v>
      </c>
      <c r="AD185" s="4">
        <v>-4.5135407311689804</v>
      </c>
      <c r="AE185" s="4">
        <v>-11.3515820638828</v>
      </c>
      <c r="AF185" s="4">
        <v>-8.9057266921616094</v>
      </c>
      <c r="AG185" s="4">
        <v>-4.3800644583965198</v>
      </c>
      <c r="AH185" s="4">
        <v>-6.9715176054864996</v>
      </c>
      <c r="AI185" s="4">
        <v>0</v>
      </c>
      <c r="AJ185" s="4">
        <v>0</v>
      </c>
      <c r="AK185" s="4">
        <v>0</v>
      </c>
      <c r="AL185" s="4">
        <v>0</v>
      </c>
    </row>
    <row r="186" spans="26:38" x14ac:dyDescent="0.35">
      <c r="Z186" s="4"/>
      <c r="AB186" s="4">
        <v>1701388800</v>
      </c>
      <c r="AC186" s="4">
        <v>-12.5896063957102</v>
      </c>
      <c r="AD186" s="4">
        <v>-5.9967660891629802</v>
      </c>
      <c r="AE186" s="4">
        <v>-11.4653035255928</v>
      </c>
      <c r="AF186" s="4">
        <v>-9.0656849839199403</v>
      </c>
      <c r="AG186" s="4">
        <v>-5.3274863501718004</v>
      </c>
      <c r="AH186" s="4">
        <v>-6.1378171754212296</v>
      </c>
      <c r="AI186" s="4">
        <v>0</v>
      </c>
      <c r="AJ186" s="4">
        <v>0</v>
      </c>
      <c r="AK186" s="4">
        <v>0</v>
      </c>
      <c r="AL186" s="4">
        <v>0</v>
      </c>
    </row>
    <row r="187" spans="26:38" x14ac:dyDescent="0.35">
      <c r="Z187" s="4"/>
      <c r="AB187" s="4">
        <v>1709251200</v>
      </c>
      <c r="AC187" s="4">
        <v>-15.7526439116177</v>
      </c>
      <c r="AD187" s="4">
        <v>-7.6086668077935098</v>
      </c>
      <c r="AE187" s="4">
        <v>-14.5957384907794</v>
      </c>
      <c r="AF187" s="4">
        <v>-11.7019389339125</v>
      </c>
      <c r="AG187" s="4">
        <v>-6.1943932559011499</v>
      </c>
      <c r="AH187" s="4">
        <v>-8.40134523487853</v>
      </c>
      <c r="AI187" s="4">
        <v>0</v>
      </c>
      <c r="AJ187" s="4">
        <v>0</v>
      </c>
      <c r="AK187" s="4">
        <v>0</v>
      </c>
      <c r="AL187" s="4">
        <v>0</v>
      </c>
    </row>
    <row r="188" spans="26:38" x14ac:dyDescent="0.35">
      <c r="Z188" s="4"/>
      <c r="AB188" s="4">
        <v>1717200000</v>
      </c>
      <c r="AC188" s="4">
        <v>-15.736230536000001</v>
      </c>
      <c r="AD188" s="4">
        <v>-8.09989392134597</v>
      </c>
      <c r="AE188" s="4">
        <v>-14.602308371646499</v>
      </c>
      <c r="AF188" s="4">
        <v>-11.0516147173149</v>
      </c>
      <c r="AG188" s="4">
        <v>-6.5903288067316197</v>
      </c>
      <c r="AH188" s="4">
        <v>-8.0119795649151193</v>
      </c>
      <c r="AI188" s="4">
        <v>0</v>
      </c>
      <c r="AJ188" s="4">
        <v>0</v>
      </c>
      <c r="AK188" s="4">
        <v>0</v>
      </c>
      <c r="AL188" s="4">
        <v>0</v>
      </c>
    </row>
    <row r="189" spans="26:38" x14ac:dyDescent="0.35">
      <c r="Z189" s="4"/>
      <c r="AB189" s="4">
        <v>1725148800</v>
      </c>
      <c r="AC189" s="4">
        <v>-16.273129588762401</v>
      </c>
      <c r="AD189" s="4">
        <v>-8.7183101876115892</v>
      </c>
      <c r="AE189" s="4">
        <v>-14.9092035475585</v>
      </c>
      <c r="AF189" s="4">
        <v>-10.3661487236947</v>
      </c>
      <c r="AG189" s="4">
        <v>-6.9090776646802396</v>
      </c>
      <c r="AH189" s="4">
        <v>-8.0001258828785602</v>
      </c>
      <c r="AI189" s="4">
        <v>0</v>
      </c>
      <c r="AJ189" s="4">
        <v>0</v>
      </c>
      <c r="AK189" s="4">
        <v>0</v>
      </c>
      <c r="AL189" s="4">
        <v>0</v>
      </c>
    </row>
    <row r="190" spans="26:38" x14ac:dyDescent="0.35">
      <c r="Z190" s="4"/>
      <c r="AB190" s="4">
        <v>1733011200</v>
      </c>
      <c r="AC190" s="4">
        <v>-17.4383475217669</v>
      </c>
      <c r="AD190" s="4">
        <v>-9.2537435625495696</v>
      </c>
      <c r="AE190" s="4">
        <v>-15.258110172564701</v>
      </c>
      <c r="AF190" s="4">
        <v>-10.5500907611904</v>
      </c>
      <c r="AG190" s="4">
        <v>-7.1008659834649803</v>
      </c>
      <c r="AH190" s="4">
        <v>-8.1572441890999592</v>
      </c>
      <c r="AI190" s="4">
        <v>0</v>
      </c>
      <c r="AJ190" s="4">
        <v>0</v>
      </c>
      <c r="AK190" s="4">
        <v>0</v>
      </c>
      <c r="AL190" s="4">
        <v>0</v>
      </c>
    </row>
    <row r="191" spans="26:38" x14ac:dyDescent="0.35">
      <c r="Z191" s="4"/>
    </row>
    <row r="192" spans="26:38" x14ac:dyDescent="0.35">
      <c r="Z192" s="4"/>
    </row>
    <row r="193" spans="2:26" x14ac:dyDescent="0.35">
      <c r="Z193" s="4"/>
    </row>
    <row r="194" spans="2:26" x14ac:dyDescent="0.35">
      <c r="Z194" s="4"/>
    </row>
    <row r="195" spans="2:26" x14ac:dyDescent="0.35">
      <c r="Z195" s="4"/>
    </row>
    <row r="196" spans="2:26" x14ac:dyDescent="0.35">
      <c r="Z196" s="4"/>
    </row>
    <row r="197" spans="2:26" x14ac:dyDescent="0.35">
      <c r="B197" s="4" t="s">
        <v>112</v>
      </c>
      <c r="C197" s="4" t="s">
        <v>112</v>
      </c>
      <c r="D197" s="4" t="s">
        <v>112</v>
      </c>
      <c r="E197" s="4" t="s">
        <v>112</v>
      </c>
    </row>
    <row r="198" spans="2:26" x14ac:dyDescent="0.35">
      <c r="B198" s="4" t="s">
        <v>112</v>
      </c>
      <c r="C198" s="4" t="s">
        <v>112</v>
      </c>
      <c r="D198" s="4" t="s">
        <v>112</v>
      </c>
      <c r="E198" s="4" t="s">
        <v>112</v>
      </c>
    </row>
    <row r="199" spans="2:26" x14ac:dyDescent="0.35">
      <c r="B199" s="4" t="s">
        <v>112</v>
      </c>
      <c r="C199" s="4" t="s">
        <v>112</v>
      </c>
      <c r="D199" s="4" t="s">
        <v>112</v>
      </c>
      <c r="E199" s="4" t="s">
        <v>112</v>
      </c>
    </row>
    <row r="200" spans="2:26" x14ac:dyDescent="0.35">
      <c r="B200" s="4" t="s">
        <v>112</v>
      </c>
      <c r="C200" s="4" t="s">
        <v>112</v>
      </c>
      <c r="D200" s="4" t="s">
        <v>112</v>
      </c>
      <c r="E200" s="4" t="s">
        <v>112</v>
      </c>
    </row>
    <row r="201" spans="2:26" x14ac:dyDescent="0.35">
      <c r="B201" s="4" t="s">
        <v>112</v>
      </c>
      <c r="C201" s="4" t="s">
        <v>112</v>
      </c>
      <c r="D201" s="4" t="s">
        <v>112</v>
      </c>
      <c r="E201" s="4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5A08-EE57-4EF5-97A7-C2361974499B}">
  <sheetPr>
    <tabColor rgb="FFC00000"/>
  </sheetPr>
  <dimension ref="A1"/>
  <sheetViews>
    <sheetView workbookViewId="0">
      <selection activeCell="D36" sqref="D36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8EFBF-93B6-4D5F-BC55-2CD3E9C0F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9</vt:i4>
      </vt:variant>
    </vt:vector>
  </HeadingPairs>
  <TitlesOfParts>
    <vt:vector size="12" baseType="lpstr">
      <vt:lpstr>Donnees_auto</vt:lpstr>
      <vt:lpstr>Output R CGAPS3</vt:lpstr>
      <vt:lpstr>Graphiques &gt;&gt;</vt:lpstr>
      <vt:lpstr>Graphique4</vt:lpstr>
      <vt:lpstr>Global</vt:lpstr>
      <vt:lpstr>Global (2)</vt:lpstr>
      <vt:lpstr>CCyB</vt:lpstr>
      <vt:lpstr>Encours_dette</vt:lpstr>
      <vt:lpstr>Financement_credit</vt:lpstr>
      <vt:lpstr>Marche_immo</vt:lpstr>
      <vt:lpstr>Financement_marches</vt:lpstr>
      <vt:lpstr>Valorisation_marchés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HEYL Eva</dc:creator>
  <cp:lastModifiedBy>HEYL Eva</cp:lastModifiedBy>
  <dcterms:created xsi:type="dcterms:W3CDTF">2026-02-24T08:50:35Z</dcterms:created>
  <dcterms:modified xsi:type="dcterms:W3CDTF">2026-08-26T16:07:06Z</dcterms:modified>
</cp:coreProperties>
</file>