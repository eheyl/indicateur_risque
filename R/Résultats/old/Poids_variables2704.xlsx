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Résultats\"/>
    </mc:Choice>
  </mc:AlternateContent>
  <xr:revisionPtr revIDLastSave="0" documentId="8_{6C57C180-CDD8-44D8-9DC4-646BAD511D96}" xr6:coauthVersionLast="47" xr6:coauthVersionMax="47" xr10:uidLastSave="{00000000-0000-0000-0000-000000000000}"/>
  <bookViews>
    <workbookView xWindow="14470" yWindow="-16310" windowWidth="25420" windowHeight="15250" activeTab="1" xr2:uid="{00000000-000D-0000-FFFF-FFFF00000000}"/>
  </bookViews>
  <sheets>
    <sheet name="Sheet1" sheetId="1" r:id="rId1"/>
    <sheet name="Tableau poids RF" sheetId="2" r:id="rId2"/>
    <sheet name="Feuil1" sheetId="3" r:id="rId3"/>
  </sheets>
  <definedNames>
    <definedName name="_xlnm._FilterDatabase" localSheetId="1" hidden="1">'Tableau poids RF'!$F$1:$G$22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9" i="2"/>
  <c r="C10" i="2"/>
  <c r="C11" i="2"/>
  <c r="C12" i="2"/>
  <c r="C13" i="2"/>
  <c r="C15" i="2"/>
  <c r="C16" i="2"/>
  <c r="C18" i="2"/>
  <c r="C19" i="2"/>
  <c r="C21" i="2"/>
  <c r="C22" i="2"/>
  <c r="C2" i="2"/>
  <c r="D2" i="2" l="1"/>
  <c r="D15" i="2"/>
  <c r="D18" i="2"/>
  <c r="D21" i="2"/>
  <c r="D9" i="2"/>
</calcChain>
</file>

<file path=xl/sharedStrings.xml><?xml version="1.0" encoding="utf-8"?>
<sst xmlns="http://schemas.openxmlformats.org/spreadsheetml/2006/main" count="90" uniqueCount="28">
  <si>
    <t>indicator</t>
  </si>
  <si>
    <t>weight</t>
  </si>
  <si>
    <t xml:space="preserve">Spread OAT-Bund </t>
  </si>
  <si>
    <t xml:space="preserve">Prime de CDS moyen CAC 40 </t>
  </si>
  <si>
    <t xml:space="preserve">Price earning ratio </t>
  </si>
  <si>
    <t>Part des SNF ayant des "contraintes de crédit" (% de réponses) (SAFE)</t>
  </si>
  <si>
    <t>Durcissement des conditions d'octroi du crédit (% soldes d'opinion) – Ménages (BLS)</t>
  </si>
  <si>
    <t>Durcissement des conditions d'octroi du crédit (% soldes d'opinion) – Entreprises (BLS)</t>
  </si>
  <si>
    <t>Surévaluation des prix de l'immobilier (ISPI)</t>
  </si>
  <si>
    <t xml:space="preserve">Croissance des prêts aux ménages </t>
  </si>
  <si>
    <t xml:space="preserve">Ratio dette/PIB des ménages </t>
  </si>
  <si>
    <t>Spread HY-Mid Swap</t>
  </si>
  <si>
    <t xml:space="preserve">Debt Service Ratio des ménages </t>
  </si>
  <si>
    <t xml:space="preserve">Debt Service Ratio des SNF </t>
  </si>
  <si>
    <t xml:space="preserve">Ratio dette/PIB des SNF </t>
  </si>
  <si>
    <t xml:space="preserve">Ratio prix de l'immobilier / revenus des ménages </t>
  </si>
  <si>
    <t xml:space="preserve">Croissance des prêts aux SNF </t>
  </si>
  <si>
    <t>Taux d'intérêt moyen des nouveaux crédits aux ménages</t>
  </si>
  <si>
    <t>Taux d'intérêt moyen des nouveaux crédits aux SNF</t>
  </si>
  <si>
    <t>Catégories</t>
  </si>
  <si>
    <t>Indicateurs</t>
  </si>
  <si>
    <t>Par catégorie</t>
  </si>
  <si>
    <t>Encours de dette des ménages et SNF</t>
  </si>
  <si>
    <t xml:space="preserve">Conditions de financement du crédit </t>
  </si>
  <si>
    <t xml:space="preserve">Marché immobilier </t>
  </si>
  <si>
    <t xml:space="preserve">Conditions de financement sur les marchés </t>
  </si>
  <si>
    <t>Surévaluation sur les marchés</t>
  </si>
  <si>
    <t>Pondération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</si>
</sst>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2EADB"/>
        <bgColor indexed="64"/>
      </patternFill>
    </fill>
    <fill>
      <patternFill patternType="solid">
        <fgColor rgb="FFF4F5D3"/>
        <bgColor indexed="64"/>
      </patternFill>
    </fill>
    <fill>
      <patternFill patternType="solid">
        <fgColor rgb="FFDDE9F7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9" fontId="4" fillId="3" borderId="2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wrapText="1"/>
    </xf>
    <xf numFmtId="9" fontId="4" fillId="4" borderId="2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9" fontId="4" fillId="5" borderId="2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wrapText="1"/>
    </xf>
    <xf numFmtId="9" fontId="4" fillId="6" borderId="2" xfId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wrapText="1"/>
    </xf>
    <xf numFmtId="9" fontId="4" fillId="3" borderId="1" xfId="1" applyFont="1" applyFill="1" applyBorder="1" applyAlignment="1">
      <alignment horizontal="center" wrapText="1"/>
    </xf>
    <xf numFmtId="9" fontId="4" fillId="4" borderId="1" xfId="1" applyFont="1" applyFill="1" applyBorder="1" applyAlignment="1">
      <alignment horizontal="center" wrapText="1"/>
    </xf>
    <xf numFmtId="9" fontId="4" fillId="5" borderId="1" xfId="1" applyFont="1" applyFill="1" applyBorder="1" applyAlignment="1">
      <alignment horizontal="center" wrapText="1"/>
    </xf>
    <xf numFmtId="9" fontId="4" fillId="6" borderId="1" xfId="1" applyFont="1" applyFill="1" applyBorder="1" applyAlignment="1">
      <alignment horizontal="center" wrapText="1"/>
    </xf>
    <xf numFmtId="9" fontId="4" fillId="7" borderId="1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1" applyFont="1"/>
    <xf numFmtId="0" fontId="4" fillId="3" borderId="1" xfId="0" applyFont="1" applyFill="1" applyBorder="1"/>
    <xf numFmtId="9" fontId="4" fillId="3" borderId="1" xfId="1" applyFont="1" applyFill="1" applyBorder="1" applyAlignment="1">
      <alignment horizontal="center" vertical="center"/>
    </xf>
    <xf numFmtId="0" fontId="4" fillId="4" borderId="1" xfId="0" applyFont="1" applyFill="1" applyBorder="1"/>
    <xf numFmtId="9" fontId="4" fillId="4" borderId="1" xfId="1" applyFont="1" applyFill="1" applyBorder="1" applyAlignment="1">
      <alignment horizontal="center" vertical="center"/>
    </xf>
    <xf numFmtId="0" fontId="4" fillId="5" borderId="1" xfId="0" applyFont="1" applyFill="1" applyBorder="1"/>
    <xf numFmtId="9" fontId="4" fillId="5" borderId="1" xfId="1" applyFont="1" applyFill="1" applyBorder="1" applyAlignment="1">
      <alignment horizontal="center" vertical="center"/>
    </xf>
    <xf numFmtId="0" fontId="4" fillId="6" borderId="1" xfId="0" applyFont="1" applyFill="1" applyBorder="1"/>
    <xf numFmtId="9" fontId="4" fillId="6" borderId="1" xfId="1" applyFont="1" applyFill="1" applyBorder="1" applyAlignment="1">
      <alignment horizontal="center" vertical="center"/>
    </xf>
    <xf numFmtId="0" fontId="4" fillId="7" borderId="1" xfId="0" applyFont="1" applyFill="1" applyBorder="1"/>
    <xf numFmtId="9" fontId="4" fillId="7" borderId="1" xfId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9" fontId="4" fillId="6" borderId="2" xfId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7" borderId="2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4" fillId="3" borderId="2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2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9" fontId="4" fillId="5" borderId="2" xfId="1" applyFont="1" applyFill="1" applyBorder="1" applyAlignment="1">
      <alignment horizontal="center" vertical="center" wrapText="1"/>
    </xf>
    <xf numFmtId="9" fontId="4" fillId="4" borderId="1" xfId="1" applyFont="1" applyFill="1" applyBorder="1" applyAlignment="1">
      <alignment horizontal="center" vertical="center" wrapText="1"/>
    </xf>
    <xf numFmtId="9" fontId="4" fillId="5" borderId="1" xfId="1" applyFont="1" applyFill="1" applyBorder="1" applyAlignment="1">
      <alignment horizontal="center" vertical="center" wrapText="1"/>
    </xf>
    <xf numFmtId="9" fontId="4" fillId="7" borderId="1" xfId="1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9" fontId="4" fillId="6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DDE9F7"/>
      <color rgb="FFF4F5D3"/>
      <color rgb="FFD2EADB"/>
      <color rgb="FFFFE7FF"/>
      <color rgb="FFE5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C1" sqref="C1:C18"/>
    </sheetView>
  </sheetViews>
  <sheetFormatPr baseColWidth="10" defaultColWidth="8.7265625" defaultRowHeight="14.5" x14ac:dyDescent="0.35"/>
  <cols>
    <col min="1" max="1" width="73.4531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10</v>
      </c>
      <c r="B2">
        <v>0.16589210476895</v>
      </c>
    </row>
    <row r="3" spans="1:2" x14ac:dyDescent="0.35">
      <c r="A3" t="s">
        <v>11</v>
      </c>
      <c r="B3">
        <v>0.156780964080493</v>
      </c>
    </row>
    <row r="4" spans="1:2" x14ac:dyDescent="0.35">
      <c r="A4" t="s">
        <v>9</v>
      </c>
      <c r="B4">
        <v>0.10190756467681091</v>
      </c>
    </row>
    <row r="5" spans="1:2" x14ac:dyDescent="0.35">
      <c r="A5" t="s">
        <v>13</v>
      </c>
      <c r="B5">
        <v>7.7648838151727101E-2</v>
      </c>
    </row>
    <row r="6" spans="1:2" x14ac:dyDescent="0.35">
      <c r="A6" t="s">
        <v>12</v>
      </c>
      <c r="B6">
        <v>7.6810262629136747E-2</v>
      </c>
    </row>
    <row r="7" spans="1:2" x14ac:dyDescent="0.35">
      <c r="A7" t="s">
        <v>14</v>
      </c>
      <c r="B7">
        <v>7.3572380652775576E-2</v>
      </c>
    </row>
    <row r="8" spans="1:2" x14ac:dyDescent="0.35">
      <c r="A8" t="s">
        <v>15</v>
      </c>
      <c r="B8">
        <v>7.2750477352198265E-2</v>
      </c>
    </row>
    <row r="9" spans="1:2" x14ac:dyDescent="0.35">
      <c r="A9" t="s">
        <v>16</v>
      </c>
      <c r="B9">
        <v>5.5130943868147833E-2</v>
      </c>
    </row>
    <row r="10" spans="1:2" x14ac:dyDescent="0.35">
      <c r="A10" t="s">
        <v>8</v>
      </c>
      <c r="B10">
        <v>4.5153951809893289E-2</v>
      </c>
    </row>
    <row r="11" spans="1:2" x14ac:dyDescent="0.35">
      <c r="A11" t="s">
        <v>17</v>
      </c>
      <c r="B11">
        <v>4.1748090854233387E-2</v>
      </c>
    </row>
    <row r="12" spans="1:2" x14ac:dyDescent="0.35">
      <c r="A12" t="s">
        <v>18</v>
      </c>
      <c r="B12">
        <v>3.4247512917607338E-2</v>
      </c>
    </row>
    <row r="13" spans="1:2" x14ac:dyDescent="0.35">
      <c r="A13" t="s">
        <v>7</v>
      </c>
      <c r="B13">
        <v>2.89464397070078E-2</v>
      </c>
    </row>
    <row r="14" spans="1:2" x14ac:dyDescent="0.35">
      <c r="A14" t="s">
        <v>6</v>
      </c>
      <c r="B14">
        <v>1.9263024323924429E-2</v>
      </c>
    </row>
    <row r="15" spans="1:2" x14ac:dyDescent="0.35">
      <c r="A15" t="s">
        <v>5</v>
      </c>
      <c r="B15">
        <v>1.6871797532959629E-2</v>
      </c>
    </row>
    <row r="16" spans="1:2" x14ac:dyDescent="0.35">
      <c r="A16" t="s">
        <v>4</v>
      </c>
      <c r="B16">
        <v>1.506130868024555E-2</v>
      </c>
    </row>
    <row r="17" spans="1:2" x14ac:dyDescent="0.35">
      <c r="A17" t="s">
        <v>2</v>
      </c>
      <c r="B17">
        <v>1.2776142580428451E-2</v>
      </c>
    </row>
    <row r="18" spans="1:2" x14ac:dyDescent="0.35">
      <c r="A18" t="s">
        <v>3</v>
      </c>
      <c r="B18">
        <v>5.438195413460729E-3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980E-3208-41EA-92F2-3E24F24E0E99}">
  <dimension ref="A1:G33"/>
  <sheetViews>
    <sheetView tabSelected="1" zoomScale="80" zoomScaleNormal="80" workbookViewId="0">
      <selection activeCell="C3" sqref="C3"/>
    </sheetView>
  </sheetViews>
  <sheetFormatPr baseColWidth="10" defaultRowHeight="14.5" x14ac:dyDescent="0.35"/>
  <cols>
    <col min="1" max="1" width="33.26953125" bestFit="1" customWidth="1"/>
    <col min="2" max="2" width="77.54296875" customWidth="1"/>
    <col min="3" max="3" width="16.1796875" style="22" customWidth="1"/>
    <col min="4" max="4" width="22.26953125" customWidth="1"/>
    <col min="6" max="6" width="73.453125" bestFit="1" customWidth="1"/>
    <col min="7" max="7" width="14.08984375" style="23" bestFit="1" customWidth="1"/>
  </cols>
  <sheetData>
    <row r="1" spans="1:7" ht="15.5" x14ac:dyDescent="0.35">
      <c r="A1" s="2" t="s">
        <v>19</v>
      </c>
      <c r="B1" s="2" t="s">
        <v>20</v>
      </c>
      <c r="C1" s="2" t="s">
        <v>27</v>
      </c>
      <c r="D1" s="3" t="s">
        <v>21</v>
      </c>
      <c r="F1" t="s">
        <v>20</v>
      </c>
      <c r="G1" s="23" t="s">
        <v>27</v>
      </c>
    </row>
    <row r="2" spans="1:7" ht="15.5" x14ac:dyDescent="0.35">
      <c r="A2" s="38" t="s">
        <v>22</v>
      </c>
      <c r="B2" s="5" t="s">
        <v>10</v>
      </c>
      <c r="C2" s="17">
        <f>_xlfn.XLOOKUP('Tableau poids RF'!B2,Sheet1!A:A,Sheet1!B:B)</f>
        <v>0.16589210476895</v>
      </c>
      <c r="D2" s="39">
        <f xml:space="preserve"> SUM(C2:C7)</f>
        <v>0.5509620947475482</v>
      </c>
      <c r="F2" t="s">
        <v>10</v>
      </c>
      <c r="G2" s="23">
        <v>0.16589210476895</v>
      </c>
    </row>
    <row r="3" spans="1:7" ht="15.5" x14ac:dyDescent="0.35">
      <c r="A3" s="38"/>
      <c r="B3" s="5" t="s">
        <v>14</v>
      </c>
      <c r="C3" s="17">
        <f>_xlfn.XLOOKUP('Tableau poids RF'!B3,Sheet1!A:A,Sheet1!B:B)</f>
        <v>7.3572380652775576E-2</v>
      </c>
      <c r="D3" s="39"/>
      <c r="F3" t="s">
        <v>11</v>
      </c>
      <c r="G3" s="23">
        <v>0.156780964080493</v>
      </c>
    </row>
    <row r="4" spans="1:7" ht="15.5" x14ac:dyDescent="0.35">
      <c r="A4" s="38"/>
      <c r="B4" s="5" t="s">
        <v>9</v>
      </c>
      <c r="C4" s="17">
        <f>_xlfn.XLOOKUP('Tableau poids RF'!B4,Sheet1!A:A,Sheet1!B:B)</f>
        <v>0.10190756467681091</v>
      </c>
      <c r="D4" s="39"/>
      <c r="F4" t="s">
        <v>9</v>
      </c>
      <c r="G4" s="23">
        <v>0.10190756467681091</v>
      </c>
    </row>
    <row r="5" spans="1:7" ht="15.5" x14ac:dyDescent="0.35">
      <c r="A5" s="38"/>
      <c r="B5" s="5" t="s">
        <v>16</v>
      </c>
      <c r="C5" s="17">
        <f>_xlfn.XLOOKUP('Tableau poids RF'!B5,Sheet1!A:A,Sheet1!B:B)</f>
        <v>5.5130943868147833E-2</v>
      </c>
      <c r="D5" s="39"/>
      <c r="F5" t="s">
        <v>13</v>
      </c>
      <c r="G5" s="23">
        <v>7.7648838151727101E-2</v>
      </c>
    </row>
    <row r="6" spans="1:7" ht="15.5" x14ac:dyDescent="0.35">
      <c r="A6" s="38"/>
      <c r="B6" s="5" t="s">
        <v>12</v>
      </c>
      <c r="C6" s="17">
        <f>_xlfn.XLOOKUP('Tableau poids RF'!B6,Sheet1!A:A,Sheet1!B:B)</f>
        <v>7.6810262629136747E-2</v>
      </c>
      <c r="D6" s="39"/>
      <c r="F6" t="s">
        <v>12</v>
      </c>
      <c r="G6" s="23">
        <v>7.6810262629136747E-2</v>
      </c>
    </row>
    <row r="7" spans="1:7" ht="15.5" x14ac:dyDescent="0.35">
      <c r="A7" s="38"/>
      <c r="B7" s="5" t="s">
        <v>13</v>
      </c>
      <c r="C7" s="17">
        <f>_xlfn.XLOOKUP('Tableau poids RF'!B7,Sheet1!A:A,Sheet1!B:B)</f>
        <v>7.7648838151727101E-2</v>
      </c>
      <c r="D7" s="39"/>
      <c r="F7" t="s">
        <v>14</v>
      </c>
      <c r="G7" s="23">
        <v>7.3572380652775576E-2</v>
      </c>
    </row>
    <row r="8" spans="1:7" ht="15.5" x14ac:dyDescent="0.35">
      <c r="A8" s="4"/>
      <c r="B8" s="5"/>
      <c r="C8" s="17"/>
      <c r="D8" s="6"/>
    </row>
    <row r="9" spans="1:7" ht="15.5" x14ac:dyDescent="0.35">
      <c r="A9" s="40" t="s">
        <v>23</v>
      </c>
      <c r="B9" s="8" t="s">
        <v>17</v>
      </c>
      <c r="C9" s="18">
        <f>_xlfn.XLOOKUP('Tableau poids RF'!B9,Sheet1!A:A,Sheet1!B:B)</f>
        <v>4.1748090854233387E-2</v>
      </c>
      <c r="D9" s="41">
        <f>SUM(C9:C13)</f>
        <v>0.1410768653357326</v>
      </c>
      <c r="F9" t="s">
        <v>15</v>
      </c>
      <c r="G9" s="23">
        <v>7.2750477352198265E-2</v>
      </c>
    </row>
    <row r="10" spans="1:7" ht="15.5" x14ac:dyDescent="0.35">
      <c r="A10" s="40"/>
      <c r="B10" s="8" t="s">
        <v>18</v>
      </c>
      <c r="C10" s="18">
        <f>_xlfn.XLOOKUP('Tableau poids RF'!B10,Sheet1!A:A,Sheet1!B:B)</f>
        <v>3.4247512917607338E-2</v>
      </c>
      <c r="D10" s="41"/>
      <c r="F10" t="s">
        <v>16</v>
      </c>
      <c r="G10" s="23">
        <v>5.5130943868147833E-2</v>
      </c>
    </row>
    <row r="11" spans="1:7" ht="31" x14ac:dyDescent="0.35">
      <c r="A11" s="40"/>
      <c r="B11" s="8" t="s">
        <v>7</v>
      </c>
      <c r="C11" s="18">
        <f>_xlfn.XLOOKUP('Tableau poids RF'!B11,Sheet1!A:A,Sheet1!B:B)</f>
        <v>2.89464397070078E-2</v>
      </c>
      <c r="D11" s="41"/>
      <c r="F11" t="s">
        <v>8</v>
      </c>
      <c r="G11" s="23">
        <v>4.5153951809893289E-2</v>
      </c>
    </row>
    <row r="12" spans="1:7" ht="31" x14ac:dyDescent="0.35">
      <c r="A12" s="40"/>
      <c r="B12" s="8" t="s">
        <v>6</v>
      </c>
      <c r="C12" s="18">
        <f>_xlfn.XLOOKUP('Tableau poids RF'!B12,Sheet1!A:A,Sheet1!B:B)</f>
        <v>1.9263024323924429E-2</v>
      </c>
      <c r="D12" s="41"/>
      <c r="F12" t="s">
        <v>17</v>
      </c>
      <c r="G12" s="23">
        <v>4.1748090854233387E-2</v>
      </c>
    </row>
    <row r="13" spans="1:7" ht="15.5" x14ac:dyDescent="0.35">
      <c r="A13" s="40"/>
      <c r="B13" s="8" t="s">
        <v>5</v>
      </c>
      <c r="C13" s="18">
        <f>_xlfn.XLOOKUP('Tableau poids RF'!B13,Sheet1!A:A,Sheet1!B:B)</f>
        <v>1.6871797532959629E-2</v>
      </c>
      <c r="D13" s="41"/>
      <c r="F13" t="s">
        <v>18</v>
      </c>
      <c r="G13" s="23">
        <v>3.4247512917607338E-2</v>
      </c>
    </row>
    <row r="14" spans="1:7" ht="15.5" x14ac:dyDescent="0.35">
      <c r="A14" s="7"/>
      <c r="B14" s="8"/>
      <c r="C14" s="18"/>
      <c r="D14" s="9"/>
    </row>
    <row r="15" spans="1:7" ht="15.5" x14ac:dyDescent="0.35">
      <c r="A15" s="42" t="s">
        <v>24</v>
      </c>
      <c r="B15" s="11" t="s">
        <v>8</v>
      </c>
      <c r="C15" s="19">
        <f>_xlfn.XLOOKUP('Tableau poids RF'!B15,Sheet1!A:A,Sheet1!B:B)</f>
        <v>4.5153951809893289E-2</v>
      </c>
      <c r="D15" s="43">
        <f>SUM(C15:C16)</f>
        <v>0.11790442916209155</v>
      </c>
      <c r="F15" t="s">
        <v>7</v>
      </c>
      <c r="G15" s="23">
        <v>2.89464397070078E-2</v>
      </c>
    </row>
    <row r="16" spans="1:7" ht="15.5" x14ac:dyDescent="0.35">
      <c r="A16" s="42"/>
      <c r="B16" s="11" t="s">
        <v>15</v>
      </c>
      <c r="C16" s="19">
        <f>_xlfn.XLOOKUP('Tableau poids RF'!B16,Sheet1!A:A,Sheet1!B:B)</f>
        <v>7.2750477352198265E-2</v>
      </c>
      <c r="D16" s="43"/>
      <c r="F16" t="s">
        <v>6</v>
      </c>
      <c r="G16" s="23">
        <v>1.9263024323924429E-2</v>
      </c>
    </row>
    <row r="17" spans="1:7" ht="15.5" x14ac:dyDescent="0.35">
      <c r="A17" s="10"/>
      <c r="B17" s="11"/>
      <c r="C17" s="19"/>
      <c r="D17" s="12"/>
    </row>
    <row r="18" spans="1:7" ht="15.5" x14ac:dyDescent="0.35">
      <c r="A18" s="34" t="s">
        <v>25</v>
      </c>
      <c r="B18" s="14" t="s">
        <v>11</v>
      </c>
      <c r="C18" s="20">
        <f>_xlfn.XLOOKUP('Tableau poids RF'!B18,Sheet1!A:A,Sheet1!B:B)</f>
        <v>0.156780964080493</v>
      </c>
      <c r="D18" s="35">
        <f>SUM(C18:C19)</f>
        <v>0.16955710666092144</v>
      </c>
      <c r="F18" t="s">
        <v>5</v>
      </c>
      <c r="G18" s="23">
        <v>1.6871797532959629E-2</v>
      </c>
    </row>
    <row r="19" spans="1:7" ht="15.5" x14ac:dyDescent="0.35">
      <c r="A19" s="34"/>
      <c r="B19" s="14" t="s">
        <v>2</v>
      </c>
      <c r="C19" s="20">
        <f>_xlfn.XLOOKUP('Tableau poids RF'!B19,Sheet1!A:A,Sheet1!B:B)</f>
        <v>1.2776142580428451E-2</v>
      </c>
      <c r="D19" s="35"/>
      <c r="F19" t="s">
        <v>4</v>
      </c>
      <c r="G19" s="23">
        <v>1.506130868024555E-2</v>
      </c>
    </row>
    <row r="20" spans="1:7" ht="15.5" x14ac:dyDescent="0.35">
      <c r="A20" s="13"/>
      <c r="B20" s="14"/>
      <c r="C20" s="20"/>
      <c r="D20" s="15"/>
    </row>
    <row r="21" spans="1:7" ht="15.5" x14ac:dyDescent="0.35">
      <c r="A21" s="36" t="s">
        <v>26</v>
      </c>
      <c r="B21" s="16" t="s">
        <v>3</v>
      </c>
      <c r="C21" s="21">
        <f>_xlfn.XLOOKUP('Tableau poids RF'!B21,Sheet1!A:A,Sheet1!B:B)</f>
        <v>5.438195413460729E-3</v>
      </c>
      <c r="D21" s="37">
        <f>SUM(C21:C22)</f>
        <v>2.0499504093706281E-2</v>
      </c>
      <c r="F21" t="s">
        <v>2</v>
      </c>
      <c r="G21" s="23">
        <v>1.2776142580428451E-2</v>
      </c>
    </row>
    <row r="22" spans="1:7" ht="15.5" x14ac:dyDescent="0.35">
      <c r="A22" s="36"/>
      <c r="B22" s="16" t="s">
        <v>4</v>
      </c>
      <c r="C22" s="21">
        <f>_xlfn.XLOOKUP('Tableau poids RF'!B22,Sheet1!A:A,Sheet1!B:B)</f>
        <v>1.506130868024555E-2</v>
      </c>
      <c r="D22" s="37"/>
      <c r="F22" t="s">
        <v>3</v>
      </c>
      <c r="G22" s="23">
        <v>5.438195413460729E-3</v>
      </c>
    </row>
    <row r="26" spans="1:7" ht="15.5" customHeight="1" x14ac:dyDescent="0.35"/>
    <row r="33" ht="15.5" customHeight="1" x14ac:dyDescent="0.35"/>
  </sheetData>
  <autoFilter ref="F1:G22" xr:uid="{3A91980E-3208-41EA-92F2-3E24F24E0E99}">
    <sortState xmlns:xlrd2="http://schemas.microsoft.com/office/spreadsheetml/2017/richdata2" ref="F2:G22">
      <sortCondition descending="1" ref="G1:G22"/>
    </sortState>
  </autoFilter>
  <mergeCells count="10">
    <mergeCell ref="A18:A19"/>
    <mergeCell ref="D18:D19"/>
    <mergeCell ref="A21:A22"/>
    <mergeCell ref="D21:D22"/>
    <mergeCell ref="A2:A7"/>
    <mergeCell ref="D2:D7"/>
    <mergeCell ref="A9:A13"/>
    <mergeCell ref="D9:D13"/>
    <mergeCell ref="A15:A16"/>
    <mergeCell ref="D15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20B4-DB59-4FCF-A21E-6118B8437DEF}">
  <dimension ref="A1:X18"/>
  <sheetViews>
    <sheetView workbookViewId="0">
      <selection activeCell="C3" sqref="C3"/>
    </sheetView>
  </sheetViews>
  <sheetFormatPr baseColWidth="10" defaultRowHeight="14.5" x14ac:dyDescent="0.35"/>
  <cols>
    <col min="1" max="1" width="37.453125" bestFit="1" customWidth="1"/>
    <col min="2" max="2" width="73.453125" bestFit="1" customWidth="1"/>
    <col min="3" max="3" width="13.81640625" style="23" bestFit="1" customWidth="1"/>
    <col min="4" max="4" width="14.7265625" style="23" bestFit="1" customWidth="1"/>
    <col min="8" max="9" width="10.90625" style="23"/>
    <col min="13" max="14" width="10.90625" style="23"/>
    <col min="18" max="19" width="10.90625" style="23"/>
    <col min="23" max="24" width="10.90625" style="23"/>
  </cols>
  <sheetData>
    <row r="1" spans="1:24" ht="15.5" x14ac:dyDescent="0.35">
      <c r="A1" s="2" t="s">
        <v>19</v>
      </c>
      <c r="B1" s="2" t="s">
        <v>20</v>
      </c>
      <c r="C1" s="2" t="s">
        <v>27</v>
      </c>
      <c r="D1" s="2" t="s">
        <v>21</v>
      </c>
      <c r="G1" s="23"/>
      <c r="H1"/>
      <c r="I1"/>
      <c r="M1"/>
      <c r="N1"/>
      <c r="R1"/>
      <c r="S1"/>
      <c r="W1"/>
      <c r="X1"/>
    </row>
    <row r="2" spans="1:24" ht="14.5" customHeight="1" x14ac:dyDescent="0.35">
      <c r="A2" s="38" t="s">
        <v>22</v>
      </c>
      <c r="B2" s="24" t="s">
        <v>10</v>
      </c>
      <c r="C2" s="25">
        <v>0.16589210476895</v>
      </c>
      <c r="D2" s="47">
        <v>0.5509620947475482</v>
      </c>
    </row>
    <row r="3" spans="1:24" ht="14.5" customHeight="1" x14ac:dyDescent="0.35">
      <c r="A3" s="38"/>
      <c r="B3" s="24" t="s">
        <v>9</v>
      </c>
      <c r="C3" s="25">
        <v>0.10190756467681091</v>
      </c>
      <c r="D3" s="47"/>
    </row>
    <row r="4" spans="1:24" ht="14.5" customHeight="1" x14ac:dyDescent="0.35">
      <c r="A4" s="38"/>
      <c r="B4" s="24" t="s">
        <v>13</v>
      </c>
      <c r="C4" s="25">
        <v>7.7648838151727101E-2</v>
      </c>
      <c r="D4" s="47"/>
    </row>
    <row r="5" spans="1:24" ht="14.5" customHeight="1" x14ac:dyDescent="0.35">
      <c r="A5" s="38"/>
      <c r="B5" s="24" t="s">
        <v>12</v>
      </c>
      <c r="C5" s="25">
        <v>7.6810262629136747E-2</v>
      </c>
      <c r="D5" s="47"/>
    </row>
    <row r="6" spans="1:24" ht="14.5" customHeight="1" x14ac:dyDescent="0.35">
      <c r="A6" s="38"/>
      <c r="B6" s="24" t="s">
        <v>14</v>
      </c>
      <c r="C6" s="25">
        <v>7.3572380652775576E-2</v>
      </c>
      <c r="D6" s="47"/>
    </row>
    <row r="7" spans="1:24" ht="14.5" customHeight="1" x14ac:dyDescent="0.35">
      <c r="A7" s="38"/>
      <c r="B7" s="24" t="s">
        <v>16</v>
      </c>
      <c r="C7" s="25">
        <v>5.5130943868147833E-2</v>
      </c>
      <c r="D7" s="47"/>
    </row>
    <row r="8" spans="1:24" ht="15.5" x14ac:dyDescent="0.35">
      <c r="A8" s="40" t="s">
        <v>23</v>
      </c>
      <c r="B8" s="26" t="s">
        <v>17</v>
      </c>
      <c r="C8" s="27">
        <v>4.1748090854233387E-2</v>
      </c>
      <c r="D8" s="44">
        <v>0.1410768653357326</v>
      </c>
    </row>
    <row r="9" spans="1:24" ht="15.5" x14ac:dyDescent="0.35">
      <c r="A9" s="40"/>
      <c r="B9" s="26" t="s">
        <v>18</v>
      </c>
      <c r="C9" s="27">
        <v>3.4247512917607338E-2</v>
      </c>
      <c r="D9" s="44"/>
    </row>
    <row r="10" spans="1:24" ht="15.5" x14ac:dyDescent="0.35">
      <c r="A10" s="40"/>
      <c r="B10" s="26" t="s">
        <v>7</v>
      </c>
      <c r="C10" s="27">
        <v>2.89464397070078E-2</v>
      </c>
      <c r="D10" s="44"/>
    </row>
    <row r="11" spans="1:24" ht="15.5" x14ac:dyDescent="0.35">
      <c r="A11" s="40"/>
      <c r="B11" s="26" t="s">
        <v>6</v>
      </c>
      <c r="C11" s="27">
        <v>1.9263024323924429E-2</v>
      </c>
      <c r="D11" s="44"/>
    </row>
    <row r="12" spans="1:24" ht="15.5" x14ac:dyDescent="0.35">
      <c r="A12" s="40"/>
      <c r="B12" s="26" t="s">
        <v>5</v>
      </c>
      <c r="C12" s="27">
        <v>1.6871797532959629E-2</v>
      </c>
      <c r="D12" s="44"/>
    </row>
    <row r="13" spans="1:24" ht="15.5" x14ac:dyDescent="0.35">
      <c r="A13" s="42" t="s">
        <v>24</v>
      </c>
      <c r="B13" s="28" t="s">
        <v>15</v>
      </c>
      <c r="C13" s="29">
        <v>7.2750477352198265E-2</v>
      </c>
      <c r="D13" s="45">
        <v>0.11790442916209155</v>
      </c>
    </row>
    <row r="14" spans="1:24" ht="15.5" x14ac:dyDescent="0.35">
      <c r="A14" s="42"/>
      <c r="B14" s="28" t="s">
        <v>8</v>
      </c>
      <c r="C14" s="29">
        <v>4.5153951809893289E-2</v>
      </c>
      <c r="D14" s="45"/>
    </row>
    <row r="15" spans="1:24" ht="15.5" x14ac:dyDescent="0.35">
      <c r="A15" s="34" t="s">
        <v>25</v>
      </c>
      <c r="B15" s="30" t="s">
        <v>11</v>
      </c>
      <c r="C15" s="31">
        <v>0.156780964080493</v>
      </c>
      <c r="D15" s="48">
        <v>0.16955710666092144</v>
      </c>
    </row>
    <row r="16" spans="1:24" ht="15.5" x14ac:dyDescent="0.35">
      <c r="A16" s="34"/>
      <c r="B16" s="30" t="s">
        <v>2</v>
      </c>
      <c r="C16" s="31">
        <v>1.2776142580428451E-2</v>
      </c>
      <c r="D16" s="48"/>
    </row>
    <row r="17" spans="1:4" ht="15.5" x14ac:dyDescent="0.35">
      <c r="A17" s="36" t="s">
        <v>26</v>
      </c>
      <c r="B17" s="32" t="s">
        <v>4</v>
      </c>
      <c r="C17" s="33">
        <v>1.506130868024555E-2</v>
      </c>
      <c r="D17" s="46">
        <v>2.0499504093706281E-2</v>
      </c>
    </row>
    <row r="18" spans="1:4" ht="15.5" x14ac:dyDescent="0.35">
      <c r="A18" s="36"/>
      <c r="B18" s="32" t="s">
        <v>3</v>
      </c>
      <c r="C18" s="33">
        <v>5.438195413460729E-3</v>
      </c>
      <c r="D18" s="46"/>
    </row>
  </sheetData>
  <mergeCells count="10">
    <mergeCell ref="A2:A7"/>
    <mergeCell ref="D2:D7"/>
    <mergeCell ref="A15:A16"/>
    <mergeCell ref="D15:D16"/>
    <mergeCell ref="A8:A12"/>
    <mergeCell ref="A13:A14"/>
    <mergeCell ref="A17:A18"/>
    <mergeCell ref="D8:D12"/>
    <mergeCell ref="D13:D14"/>
    <mergeCell ref="D17:D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Tableau poids RF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HEYL Eva</dc:creator>
  <cp:lastModifiedBy>HEYL Eva</cp:lastModifiedBy>
  <dcterms:created xsi:type="dcterms:W3CDTF">2026-04-27T14:46:39Z</dcterms:created>
  <dcterms:modified xsi:type="dcterms:W3CDTF">2026-05-04T14:56:33Z</dcterms:modified>
</cp:coreProperties>
</file>