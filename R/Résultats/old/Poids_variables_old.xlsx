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03. Ponctuel\03. Banques\2025\Indicateur risque CCyB\R\Résultats\"/>
    </mc:Choice>
  </mc:AlternateContent>
  <xr:revisionPtr revIDLastSave="0" documentId="8_{966DD447-5B36-4362-BAFB-45379E559CF6}" xr6:coauthVersionLast="47" xr6:coauthVersionMax="47" xr10:uidLastSave="{00000000-0000-0000-0000-000000000000}"/>
  <bookViews>
    <workbookView xWindow="14470" yWindow="-16310" windowWidth="25420" windowHeight="15250" activeTab="1" xr2:uid="{00000000-000D-0000-FFFF-FFFF00000000}"/>
  </bookViews>
  <sheets>
    <sheet name="Sheet1" sheetId="1" r:id="rId1"/>
    <sheet name="Tablea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9" i="2" l="1"/>
  <c r="D15" i="2"/>
  <c r="D13" i="2"/>
  <c r="D8" i="2"/>
  <c r="D2" i="2"/>
  <c r="E20" i="2"/>
  <c r="C20" i="2"/>
  <c r="E19" i="2"/>
  <c r="C19" i="2"/>
  <c r="E18" i="2"/>
  <c r="C18" i="2"/>
  <c r="E17" i="2"/>
  <c r="C17" i="2"/>
  <c r="E16" i="2"/>
  <c r="C16" i="2"/>
  <c r="E15" i="2"/>
  <c r="C15" i="2"/>
  <c r="E14" i="2"/>
  <c r="C14" i="2"/>
  <c r="E13" i="2"/>
  <c r="C13" i="2"/>
  <c r="E12" i="2"/>
  <c r="C12" i="2"/>
  <c r="E11" i="2"/>
  <c r="C11" i="2"/>
  <c r="E10" i="2"/>
  <c r="C10" i="2"/>
  <c r="E9" i="2"/>
  <c r="C9" i="2"/>
  <c r="E8" i="2"/>
  <c r="C8" i="2"/>
  <c r="E7" i="2"/>
  <c r="C7" i="2"/>
  <c r="E6" i="2"/>
  <c r="C6" i="2"/>
  <c r="E5" i="2"/>
  <c r="C5" i="2"/>
  <c r="E4" i="2"/>
  <c r="C4" i="2"/>
  <c r="E3" i="2"/>
  <c r="C3" i="2"/>
  <c r="E2" i="2"/>
  <c r="C2" i="2"/>
</calcChain>
</file>

<file path=xl/sharedStrings.xml><?xml version="1.0" encoding="utf-8"?>
<sst xmlns="http://schemas.openxmlformats.org/spreadsheetml/2006/main" count="51" uniqueCount="30">
  <si>
    <t>Indicateurs</t>
  </si>
  <si>
    <t>Importance</t>
  </si>
  <si>
    <t>Pondération random forest</t>
  </si>
  <si>
    <t xml:space="preserve">Ratio dette/PIB des ménages </t>
  </si>
  <si>
    <t>Spread HY-Mid Swap</t>
  </si>
  <si>
    <t xml:space="preserve">Debt Service Ratio des SNF </t>
  </si>
  <si>
    <t xml:space="preserve">Croissance des prêts aux ménages </t>
  </si>
  <si>
    <t xml:space="preserve">Ratio dette/PIB des SNF </t>
  </si>
  <si>
    <t xml:space="preserve">Ratio prix de l'immobilier / revenus des ménages </t>
  </si>
  <si>
    <t xml:space="preserve">Spread IG-Mid Swap </t>
  </si>
  <si>
    <t xml:space="preserve">Croissance des prêts aux SNF </t>
  </si>
  <si>
    <t>Taux d'intérêt moyen des nouveaux crédits aux ménages</t>
  </si>
  <si>
    <t>Surévaluation des prix de l'immobilier (ISPI)</t>
  </si>
  <si>
    <t>Durcissement des conditions d'octroi du crédit (% soldes d'opinion) – Entreprises (BLS)</t>
  </si>
  <si>
    <t xml:space="preserve">Niveau de rendement souverain à 10 ans </t>
  </si>
  <si>
    <t>Durcissement des conditions d'octroi du crédit (% soldes d'opinion) – Ménages (BLS)</t>
  </si>
  <si>
    <t>Taux d'intérêt moyen des nouveaux crédits aux SNF</t>
  </si>
  <si>
    <t>Part des SNF ayant des "contraintes de crédit" (% de réponses) (SAFE)</t>
  </si>
  <si>
    <t xml:space="preserve">Prime de CDS moyen CAC 40 </t>
  </si>
  <si>
    <t xml:space="preserve">Price earning ratio </t>
  </si>
  <si>
    <t xml:space="preserve">Spread OAT-Bund </t>
  </si>
  <si>
    <t>Catégories</t>
  </si>
  <si>
    <t xml:space="preserve">Debt Service Ratio des ménages </t>
  </si>
  <si>
    <t xml:space="preserve">Marché immobilier </t>
  </si>
  <si>
    <t xml:space="preserve">Pondération </t>
  </si>
  <si>
    <t>Par catégorie</t>
  </si>
  <si>
    <t>Encours de dette des ménages et SNF</t>
  </si>
  <si>
    <t xml:space="preserve">Conditions de financement du crédit </t>
  </si>
  <si>
    <t xml:space="preserve">Conditions de financement sur les marchés </t>
  </si>
  <si>
    <t>Surévaluation sur les marchés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</si>
</sst>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D2EADB"/>
        <bgColor indexed="64"/>
      </patternFill>
    </fill>
    <fill>
      <patternFill patternType="solid">
        <fgColor rgb="FFF4F5D3"/>
        <bgColor indexed="64"/>
      </patternFill>
    </fill>
    <fill>
      <patternFill patternType="solid">
        <fgColor rgb="FFDDE9F7"/>
        <bgColor indexed="64"/>
      </patternFill>
    </fill>
    <fill>
      <patternFill patternType="solid">
        <fgColor rgb="FFE5E5FF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9" fontId="0" fillId="0" borderId="0" xfId="0" applyNumberFormat="1"/>
    <xf numFmtId="0" fontId="3" fillId="0" borderId="0" xfId="0" applyFont="1" applyFill="1" applyAlignment="1">
      <alignment horizontal="center"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wrapText="1"/>
    </xf>
    <xf numFmtId="2" fontId="3" fillId="0" borderId="0" xfId="0" applyNumberFormat="1" applyFont="1" applyFill="1"/>
    <xf numFmtId="0" fontId="6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6" fillId="5" borderId="1" xfId="0" applyFont="1" applyFill="1" applyBorder="1" applyAlignment="1">
      <alignment wrapText="1"/>
    </xf>
    <xf numFmtId="0" fontId="6" fillId="6" borderId="1" xfId="0" applyFont="1" applyFill="1" applyBorder="1" applyAlignment="1">
      <alignment wrapText="1"/>
    </xf>
    <xf numFmtId="164" fontId="0" fillId="0" borderId="0" xfId="0" applyNumberFormat="1"/>
    <xf numFmtId="9" fontId="6" fillId="7" borderId="1" xfId="1" applyNumberFormat="1" applyFont="1" applyFill="1" applyBorder="1" applyAlignment="1">
      <alignment horizontal="center" wrapText="1"/>
    </xf>
    <xf numFmtId="9" fontId="6" fillId="3" borderId="1" xfId="1" applyNumberFormat="1" applyFont="1" applyFill="1" applyBorder="1" applyAlignment="1">
      <alignment horizontal="center" wrapText="1"/>
    </xf>
    <xf numFmtId="9" fontId="6" fillId="4" borderId="1" xfId="1" applyNumberFormat="1" applyFont="1" applyFill="1" applyBorder="1" applyAlignment="1">
      <alignment horizontal="center" wrapText="1"/>
    </xf>
    <xf numFmtId="9" fontId="6" fillId="5" borderId="1" xfId="1" applyNumberFormat="1" applyFont="1" applyFill="1" applyBorder="1" applyAlignment="1">
      <alignment horizontal="center" wrapText="1"/>
    </xf>
    <xf numFmtId="9" fontId="6" fillId="6" borderId="1" xfId="1" applyNumberFormat="1" applyFont="1" applyFill="1" applyBorder="1" applyAlignment="1">
      <alignment horizont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9" fontId="6" fillId="7" borderId="2" xfId="1" applyFont="1" applyFill="1" applyBorder="1" applyAlignment="1">
      <alignment horizontal="center" vertical="center" wrapText="1"/>
    </xf>
    <xf numFmtId="9" fontId="6" fillId="3" borderId="2" xfId="1" applyFont="1" applyFill="1" applyBorder="1" applyAlignment="1">
      <alignment horizontal="center" vertical="center" wrapText="1"/>
    </xf>
    <xf numFmtId="9" fontId="6" fillId="4" borderId="2" xfId="1" applyFont="1" applyFill="1" applyBorder="1" applyAlignment="1">
      <alignment horizontal="center" vertical="center" wrapText="1"/>
    </xf>
    <xf numFmtId="9" fontId="6" fillId="5" borderId="2" xfId="1" applyFont="1" applyFill="1" applyBorder="1" applyAlignment="1">
      <alignment horizontal="center" vertical="center" wrapText="1"/>
    </xf>
    <xf numFmtId="9" fontId="6" fillId="6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DDE9F7"/>
      <color rgb="FFF4F5D3"/>
      <color rgb="FFD2EADB"/>
      <color rgb="FFFFE7FF"/>
      <color rgb="FFE5E5FF"/>
      <color rgb="FFD5D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workbookViewId="0">
      <selection activeCell="A17" sqref="A17"/>
    </sheetView>
  </sheetViews>
  <sheetFormatPr baseColWidth="10" defaultColWidth="8.7265625" defaultRowHeight="14.5" x14ac:dyDescent="0.35"/>
  <cols>
    <col min="1" max="1" width="73.453125" bestFit="1" customWidth="1"/>
    <col min="2" max="2" width="11.81640625" bestFit="1" customWidth="1"/>
    <col min="3" max="4" width="24" bestFit="1" customWidth="1"/>
  </cols>
  <sheetData>
    <row r="1" spans="1:4" s="1" customFormat="1" x14ac:dyDescent="0.35">
      <c r="A1" s="1" t="s">
        <v>0</v>
      </c>
      <c r="B1" s="1" t="s">
        <v>1</v>
      </c>
      <c r="D1" s="1" t="s">
        <v>2</v>
      </c>
    </row>
    <row r="2" spans="1:4" x14ac:dyDescent="0.35">
      <c r="A2" t="s">
        <v>3</v>
      </c>
      <c r="B2">
        <v>9.9165414493083998E-2</v>
      </c>
      <c r="D2">
        <v>0.1552765143707151</v>
      </c>
    </row>
    <row r="3" spans="1:4" x14ac:dyDescent="0.35">
      <c r="A3" t="s">
        <v>4</v>
      </c>
      <c r="B3">
        <v>7.228650367177572E-2</v>
      </c>
      <c r="D3">
        <v>0.1131886190722477</v>
      </c>
    </row>
    <row r="4" spans="1:4" x14ac:dyDescent="0.35">
      <c r="A4" t="s">
        <v>5</v>
      </c>
      <c r="B4">
        <v>5.4159374468439353E-2</v>
      </c>
      <c r="D4">
        <v>8.4804555408217172E-2</v>
      </c>
    </row>
    <row r="5" spans="1:4" x14ac:dyDescent="0.35">
      <c r="A5" t="s">
        <v>6</v>
      </c>
      <c r="B5">
        <v>5.383269058225465E-2</v>
      </c>
      <c r="D5">
        <v>8.4293022880398444E-2</v>
      </c>
    </row>
    <row r="6" spans="1:4" x14ac:dyDescent="0.35">
      <c r="A6" t="s">
        <v>7</v>
      </c>
      <c r="B6">
        <v>5.1184026575510938E-2</v>
      </c>
      <c r="D6">
        <v>8.0145656413886879E-2</v>
      </c>
    </row>
    <row r="7" spans="1:4" x14ac:dyDescent="0.35">
      <c r="A7" t="s">
        <v>8</v>
      </c>
      <c r="B7">
        <v>4.6027533917932809E-2</v>
      </c>
      <c r="D7">
        <v>7.2071448179696934E-2</v>
      </c>
    </row>
    <row r="8" spans="1:4" x14ac:dyDescent="0.35">
      <c r="A8" t="s">
        <v>22</v>
      </c>
      <c r="B8">
        <v>4.3420646221342972E-2</v>
      </c>
      <c r="D8">
        <v>6.7989496453365952E-2</v>
      </c>
    </row>
    <row r="9" spans="1:4" x14ac:dyDescent="0.35">
      <c r="A9" t="s">
        <v>9</v>
      </c>
      <c r="B9">
        <v>3.3227620487647533E-2</v>
      </c>
      <c r="D9">
        <v>5.2028916699730039E-2</v>
      </c>
    </row>
    <row r="10" spans="1:4" x14ac:dyDescent="0.35">
      <c r="A10" t="s">
        <v>10</v>
      </c>
      <c r="B10">
        <v>2.8356621368007481E-2</v>
      </c>
      <c r="D10">
        <v>4.4401743771881497E-2</v>
      </c>
    </row>
    <row r="11" spans="1:4" x14ac:dyDescent="0.35">
      <c r="A11" t="s">
        <v>11</v>
      </c>
      <c r="B11">
        <v>2.7677950036821001E-2</v>
      </c>
      <c r="D11">
        <v>4.3339057559670713E-2</v>
      </c>
    </row>
    <row r="12" spans="1:4" x14ac:dyDescent="0.35">
      <c r="A12" t="s">
        <v>12</v>
      </c>
      <c r="B12">
        <v>2.3789287028333501E-2</v>
      </c>
      <c r="D12">
        <v>3.7250059287370949E-2</v>
      </c>
    </row>
    <row r="13" spans="1:4" x14ac:dyDescent="0.35">
      <c r="A13" t="s">
        <v>13</v>
      </c>
      <c r="B13">
        <v>2.0650310354101611E-2</v>
      </c>
      <c r="D13">
        <v>3.2334944888290813E-2</v>
      </c>
    </row>
    <row r="14" spans="1:4" x14ac:dyDescent="0.35">
      <c r="A14" t="s">
        <v>14</v>
      </c>
      <c r="B14">
        <v>1.435888169568339E-2</v>
      </c>
      <c r="D14">
        <v>2.2483616000240451E-2</v>
      </c>
    </row>
    <row r="15" spans="1:4" x14ac:dyDescent="0.35">
      <c r="A15" t="s">
        <v>15</v>
      </c>
      <c r="B15">
        <v>1.3558995806963891E-2</v>
      </c>
      <c r="D15">
        <v>2.1231127989883299E-2</v>
      </c>
    </row>
    <row r="16" spans="1:4" x14ac:dyDescent="0.35">
      <c r="A16" t="s">
        <v>16</v>
      </c>
      <c r="B16">
        <v>1.3240767898726771E-2</v>
      </c>
      <c r="D16">
        <v>2.07328361144433E-2</v>
      </c>
    </row>
    <row r="17" spans="1:4" x14ac:dyDescent="0.35">
      <c r="A17" t="s">
        <v>17</v>
      </c>
      <c r="B17">
        <v>1.191260942694634E-2</v>
      </c>
      <c r="D17">
        <v>1.8653161269294709E-2</v>
      </c>
    </row>
    <row r="18" spans="1:4" x14ac:dyDescent="0.35">
      <c r="A18" t="s">
        <v>18</v>
      </c>
      <c r="B18">
        <v>1.171050400217067E-2</v>
      </c>
      <c r="D18">
        <v>1.833669785253797E-2</v>
      </c>
    </row>
    <row r="19" spans="1:4" x14ac:dyDescent="0.35">
      <c r="A19" t="s">
        <v>19</v>
      </c>
      <c r="B19">
        <v>1.089550711748033E-2</v>
      </c>
      <c r="D19">
        <v>1.706054854055649E-2</v>
      </c>
    </row>
    <row r="20" spans="1:4" x14ac:dyDescent="0.35">
      <c r="A20" t="s">
        <v>20</v>
      </c>
      <c r="B20">
        <v>9.1823163284277462E-3</v>
      </c>
      <c r="D20">
        <v>1.437797724757154E-2</v>
      </c>
    </row>
    <row r="22" spans="1:4" s="2" customFormat="1" x14ac:dyDescent="0.35"/>
    <row r="23" spans="1:4" s="3" customFormat="1" x14ac:dyDescent="0.35"/>
    <row r="24" spans="1:4" s="3" customFormat="1" x14ac:dyDescent="0.35"/>
    <row r="25" spans="1:4" s="3" customFormat="1" x14ac:dyDescent="0.35"/>
    <row r="26" spans="1:4" s="3" customFormat="1" x14ac:dyDescent="0.35"/>
    <row r="27" spans="1:4" s="3" customFormat="1" x14ac:dyDescent="0.35"/>
    <row r="28" spans="1:4" s="3" customFormat="1" x14ac:dyDescent="0.35"/>
    <row r="29" spans="1:4" s="3" customFormat="1" x14ac:dyDescent="0.35"/>
    <row r="30" spans="1:4" s="3" customFormat="1" x14ac:dyDescent="0.35"/>
    <row r="31" spans="1:4" s="3" customFormat="1" x14ac:dyDescent="0.35"/>
    <row r="32" spans="1:4" s="3" customFormat="1" x14ac:dyDescent="0.35"/>
    <row r="33" s="3" customFormat="1" x14ac:dyDescent="0.35"/>
    <row r="34" s="3" customFormat="1" x14ac:dyDescent="0.35"/>
    <row r="35" s="3" customFormat="1" x14ac:dyDescent="0.35"/>
    <row r="36" s="3" customFormat="1" x14ac:dyDescent="0.35"/>
    <row r="37" s="3" customFormat="1" x14ac:dyDescent="0.35"/>
    <row r="38" s="3" customFormat="1" x14ac:dyDescent="0.35"/>
    <row r="39" s="3" customFormat="1" x14ac:dyDescent="0.35"/>
    <row r="40" s="3" customFormat="1" x14ac:dyDescent="0.35"/>
    <row r="41" s="3" customFormat="1" x14ac:dyDescent="0.3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CE331-393A-44A4-9DCB-7F38AE7976BD}">
  <dimension ref="A1:E21"/>
  <sheetViews>
    <sheetView tabSelected="1" zoomScale="85" zoomScaleNormal="85" workbookViewId="0">
      <selection activeCell="C22" sqref="C22"/>
    </sheetView>
  </sheetViews>
  <sheetFormatPr baseColWidth="10" defaultRowHeight="14.5" x14ac:dyDescent="0.35"/>
  <cols>
    <col min="1" max="1" width="33.26953125" bestFit="1" customWidth="1"/>
    <col min="2" max="2" width="77.54296875" customWidth="1"/>
    <col min="3" max="3" width="20.90625" customWidth="1"/>
    <col min="4" max="4" width="22.26953125" customWidth="1"/>
    <col min="5" max="5" width="10.453125" bestFit="1" customWidth="1"/>
  </cols>
  <sheetData>
    <row r="1" spans="1:5" s="6" customFormat="1" ht="23" customHeight="1" x14ac:dyDescent="0.55000000000000004">
      <c r="A1" s="7" t="s">
        <v>21</v>
      </c>
      <c r="B1" s="7" t="s">
        <v>0</v>
      </c>
      <c r="C1" s="7" t="s">
        <v>24</v>
      </c>
      <c r="D1" s="8" t="s">
        <v>25</v>
      </c>
      <c r="E1" s="5" t="s">
        <v>1</v>
      </c>
    </row>
    <row r="2" spans="1:5" ht="15.5" x14ac:dyDescent="0.35">
      <c r="A2" s="21" t="s">
        <v>26</v>
      </c>
      <c r="B2" s="9" t="s">
        <v>3</v>
      </c>
      <c r="C2" s="16">
        <f>_xlfn.XLOOKUP($B2, Sheet1!$A$2:$A$20, Sheet1!$D$2:$D$20)</f>
        <v>0.1552765143707151</v>
      </c>
      <c r="D2" s="26">
        <f xml:space="preserve"> SUM(C2:C7)</f>
        <v>0.51691098929846502</v>
      </c>
      <c r="E2" s="10">
        <f>_xlfn.XLOOKUP($B2, Sheet1!$A$2:$A$20, Sheet1!$B$2:$B$20)</f>
        <v>9.9165414493083998E-2</v>
      </c>
    </row>
    <row r="3" spans="1:5" ht="15.5" x14ac:dyDescent="0.35">
      <c r="A3" s="21"/>
      <c r="B3" s="9" t="s">
        <v>7</v>
      </c>
      <c r="C3" s="16">
        <f>_xlfn.XLOOKUP($B3, Sheet1!$A$2:$A$20, Sheet1!$D$2:$D$20)</f>
        <v>8.0145656413886879E-2</v>
      </c>
      <c r="D3" s="26"/>
      <c r="E3" s="10">
        <f>_xlfn.XLOOKUP($B3, Sheet1!$A$2:$A$20, Sheet1!$B$2:$B$20)</f>
        <v>5.1184026575510938E-2</v>
      </c>
    </row>
    <row r="4" spans="1:5" ht="15.5" x14ac:dyDescent="0.35">
      <c r="A4" s="21"/>
      <c r="B4" s="9" t="s">
        <v>6</v>
      </c>
      <c r="C4" s="16">
        <f>_xlfn.XLOOKUP($B4, Sheet1!$A$2:$A$20, Sheet1!$D$2:$D$20)</f>
        <v>8.4293022880398444E-2</v>
      </c>
      <c r="D4" s="26"/>
      <c r="E4" s="10">
        <f>_xlfn.XLOOKUP($B4, Sheet1!$A$2:$A$20, Sheet1!$B$2:$B$20)</f>
        <v>5.383269058225465E-2</v>
      </c>
    </row>
    <row r="5" spans="1:5" ht="15.5" x14ac:dyDescent="0.35">
      <c r="A5" s="21"/>
      <c r="B5" s="9" t="s">
        <v>10</v>
      </c>
      <c r="C5" s="16">
        <f>_xlfn.XLOOKUP($B5, Sheet1!$A$2:$A$20, Sheet1!$D$2:$D$20)</f>
        <v>4.4401743771881497E-2</v>
      </c>
      <c r="D5" s="26"/>
      <c r="E5" s="10">
        <f>_xlfn.XLOOKUP($B5, Sheet1!$A$2:$A$20, Sheet1!$B$2:$B$20)</f>
        <v>2.8356621368007481E-2</v>
      </c>
    </row>
    <row r="6" spans="1:5" ht="15.5" x14ac:dyDescent="0.35">
      <c r="A6" s="21"/>
      <c r="B6" s="9" t="s">
        <v>22</v>
      </c>
      <c r="C6" s="16">
        <f>_xlfn.XLOOKUP($B6, Sheet1!$A$2:$A$20, Sheet1!$D$2:$D$20)</f>
        <v>6.7989496453365952E-2</v>
      </c>
      <c r="D6" s="26"/>
      <c r="E6" s="10">
        <f>_xlfn.XLOOKUP($B6, Sheet1!$A$2:$A$20, Sheet1!$B$2:$B$20)</f>
        <v>4.3420646221342972E-2</v>
      </c>
    </row>
    <row r="7" spans="1:5" ht="15.5" x14ac:dyDescent="0.35">
      <c r="A7" s="21"/>
      <c r="B7" s="9" t="s">
        <v>5</v>
      </c>
      <c r="C7" s="16">
        <f>_xlfn.XLOOKUP($B7, Sheet1!$A$2:$A$20, Sheet1!$D$2:$D$20)</f>
        <v>8.4804555408217172E-2</v>
      </c>
      <c r="D7" s="26"/>
      <c r="E7" s="10">
        <f>_xlfn.XLOOKUP($B7, Sheet1!$A$2:$A$20, Sheet1!$B$2:$B$20)</f>
        <v>5.4159374468439353E-2</v>
      </c>
    </row>
    <row r="8" spans="1:5" ht="15.5" x14ac:dyDescent="0.35">
      <c r="A8" s="22" t="s">
        <v>27</v>
      </c>
      <c r="B8" s="11" t="s">
        <v>11</v>
      </c>
      <c r="C8" s="17">
        <f>_xlfn.XLOOKUP($B8, Sheet1!$A$2:$A$20, Sheet1!$D$2:$D$20)</f>
        <v>4.3339057559670713E-2</v>
      </c>
      <c r="D8" s="27">
        <f>SUM(C8:C12)</f>
        <v>0.13629112782158281</v>
      </c>
      <c r="E8" s="10">
        <f>_xlfn.XLOOKUP($B8, Sheet1!$A$2:$A$20, Sheet1!$B$2:$B$20)</f>
        <v>2.7677950036821001E-2</v>
      </c>
    </row>
    <row r="9" spans="1:5" ht="15.5" x14ac:dyDescent="0.35">
      <c r="A9" s="22"/>
      <c r="B9" s="11" t="s">
        <v>16</v>
      </c>
      <c r="C9" s="17">
        <f>_xlfn.XLOOKUP($B9, Sheet1!$A$2:$A$20, Sheet1!$D$2:$D$20)</f>
        <v>2.07328361144433E-2</v>
      </c>
      <c r="D9" s="27"/>
      <c r="E9" s="10">
        <f>_xlfn.XLOOKUP($B9, Sheet1!$A$2:$A$20, Sheet1!$B$2:$B$20)</f>
        <v>1.3240767898726771E-2</v>
      </c>
    </row>
    <row r="10" spans="1:5" ht="31" x14ac:dyDescent="0.35">
      <c r="A10" s="22"/>
      <c r="B10" s="11" t="s">
        <v>13</v>
      </c>
      <c r="C10" s="17">
        <f>_xlfn.XLOOKUP($B10, Sheet1!$A$2:$A$20, Sheet1!$D$2:$D$20)</f>
        <v>3.2334944888290813E-2</v>
      </c>
      <c r="D10" s="27"/>
      <c r="E10" s="10">
        <f>_xlfn.XLOOKUP($B10, Sheet1!$A$2:$A$20, Sheet1!$B$2:$B$20)</f>
        <v>2.0650310354101611E-2</v>
      </c>
    </row>
    <row r="11" spans="1:5" ht="31" x14ac:dyDescent="0.35">
      <c r="A11" s="22"/>
      <c r="B11" s="11" t="s">
        <v>15</v>
      </c>
      <c r="C11" s="17">
        <f>_xlfn.XLOOKUP($B11, Sheet1!$A$2:$A$20, Sheet1!$D$2:$D$20)</f>
        <v>2.1231127989883299E-2</v>
      </c>
      <c r="D11" s="27"/>
      <c r="E11" s="10">
        <f>_xlfn.XLOOKUP($B11, Sheet1!$A$2:$A$20, Sheet1!$B$2:$B$20)</f>
        <v>1.3558995806963891E-2</v>
      </c>
    </row>
    <row r="12" spans="1:5" ht="15.5" x14ac:dyDescent="0.35">
      <c r="A12" s="22"/>
      <c r="B12" s="11" t="s">
        <v>17</v>
      </c>
      <c r="C12" s="17">
        <f>_xlfn.XLOOKUP($B12, Sheet1!$A$2:$A$20, Sheet1!$D$2:$D$20)</f>
        <v>1.8653161269294709E-2</v>
      </c>
      <c r="D12" s="27"/>
      <c r="E12" s="10">
        <f>_xlfn.XLOOKUP($B12, Sheet1!$A$2:$A$20, Sheet1!$B$2:$B$20)</f>
        <v>1.191260942694634E-2</v>
      </c>
    </row>
    <row r="13" spans="1:5" ht="15.5" x14ac:dyDescent="0.35">
      <c r="A13" s="23" t="s">
        <v>23</v>
      </c>
      <c r="B13" s="12" t="s">
        <v>12</v>
      </c>
      <c r="C13" s="18">
        <f>_xlfn.XLOOKUP($B13, Sheet1!$A$2:$A$20, Sheet1!$D$2:$D$20)</f>
        <v>3.7250059287370949E-2</v>
      </c>
      <c r="D13" s="28">
        <f>SUM(C13:C14)</f>
        <v>0.10932150746706788</v>
      </c>
      <c r="E13" s="10">
        <f>_xlfn.XLOOKUP($B13, Sheet1!$A$2:$A$20, Sheet1!$B$2:$B$20)</f>
        <v>2.3789287028333501E-2</v>
      </c>
    </row>
    <row r="14" spans="1:5" ht="15.5" x14ac:dyDescent="0.35">
      <c r="A14" s="23"/>
      <c r="B14" s="12" t="s">
        <v>8</v>
      </c>
      <c r="C14" s="18">
        <f>_xlfn.XLOOKUP($B14, Sheet1!$A$2:$A$20, Sheet1!$D$2:$D$20)</f>
        <v>7.2071448179696934E-2</v>
      </c>
      <c r="D14" s="28"/>
      <c r="E14" s="10">
        <f>_xlfn.XLOOKUP($B14, Sheet1!$A$2:$A$20, Sheet1!$B$2:$B$20)</f>
        <v>4.6027533917932809E-2</v>
      </c>
    </row>
    <row r="15" spans="1:5" ht="15.5" x14ac:dyDescent="0.35">
      <c r="A15" s="24" t="s">
        <v>28</v>
      </c>
      <c r="B15" s="13" t="s">
        <v>4</v>
      </c>
      <c r="C15" s="19">
        <f>_xlfn.XLOOKUP($B15, Sheet1!$A$2:$A$20, Sheet1!$D$2:$D$20)</f>
        <v>0.1131886190722477</v>
      </c>
      <c r="D15" s="29">
        <f>SUM(C15:C18)</f>
        <v>0.20207912901978972</v>
      </c>
      <c r="E15" s="10">
        <f>_xlfn.XLOOKUP($B15, Sheet1!$A$2:$A$20, Sheet1!$B$2:$B$20)</f>
        <v>7.228650367177572E-2</v>
      </c>
    </row>
    <row r="16" spans="1:5" ht="15.5" x14ac:dyDescent="0.35">
      <c r="A16" s="24"/>
      <c r="B16" s="13" t="s">
        <v>9</v>
      </c>
      <c r="C16" s="19">
        <f>_xlfn.XLOOKUP($B16, Sheet1!$A$2:$A$20, Sheet1!$D$2:$D$20)</f>
        <v>5.2028916699730039E-2</v>
      </c>
      <c r="D16" s="29"/>
      <c r="E16" s="10">
        <f>_xlfn.XLOOKUP($B16, Sheet1!$A$2:$A$20, Sheet1!$B$2:$B$20)</f>
        <v>3.3227620487647533E-2</v>
      </c>
    </row>
    <row r="17" spans="1:5" ht="15.5" x14ac:dyDescent="0.35">
      <c r="A17" s="24"/>
      <c r="B17" s="13" t="s">
        <v>20</v>
      </c>
      <c r="C17" s="19">
        <f>_xlfn.XLOOKUP($B17, Sheet1!$A$2:$A$20, Sheet1!$D$2:$D$20)</f>
        <v>1.437797724757154E-2</v>
      </c>
      <c r="D17" s="29"/>
      <c r="E17" s="10">
        <f>_xlfn.XLOOKUP($B17, Sheet1!$A$2:$A$20, Sheet1!$B$2:$B$20)</f>
        <v>9.1823163284277462E-3</v>
      </c>
    </row>
    <row r="18" spans="1:5" ht="15.5" x14ac:dyDescent="0.35">
      <c r="A18" s="24"/>
      <c r="B18" s="13" t="s">
        <v>14</v>
      </c>
      <c r="C18" s="19">
        <f>_xlfn.XLOOKUP($B18, Sheet1!$A$2:$A$20, Sheet1!$D$2:$D$20)</f>
        <v>2.2483616000240451E-2</v>
      </c>
      <c r="D18" s="29"/>
      <c r="E18" s="10">
        <f>_xlfn.XLOOKUP($B18, Sheet1!$A$2:$A$20, Sheet1!$B$2:$B$20)</f>
        <v>1.435888169568339E-2</v>
      </c>
    </row>
    <row r="19" spans="1:5" ht="15.5" x14ac:dyDescent="0.35">
      <c r="A19" s="25" t="s">
        <v>29</v>
      </c>
      <c r="B19" s="14" t="s">
        <v>18</v>
      </c>
      <c r="C19" s="20">
        <f>_xlfn.XLOOKUP($B19, Sheet1!$A$2:$A$20, Sheet1!$D$2:$D$20)</f>
        <v>1.833669785253797E-2</v>
      </c>
      <c r="D19" s="30">
        <f>SUM(C19:C20)</f>
        <v>3.539724639309446E-2</v>
      </c>
      <c r="E19" s="10">
        <f>_xlfn.XLOOKUP($B19, Sheet1!$A$2:$A$20, Sheet1!$B$2:$B$20)</f>
        <v>1.171050400217067E-2</v>
      </c>
    </row>
    <row r="20" spans="1:5" ht="15.5" x14ac:dyDescent="0.35">
      <c r="A20" s="25"/>
      <c r="B20" s="14" t="s">
        <v>19</v>
      </c>
      <c r="C20" s="20">
        <f>_xlfn.XLOOKUP($B20, Sheet1!$A$2:$A$20, Sheet1!$D$2:$D$20)</f>
        <v>1.706054854055649E-2</v>
      </c>
      <c r="D20" s="30"/>
      <c r="E20" s="10">
        <f>_xlfn.XLOOKUP($B20, Sheet1!$A$2:$A$20, Sheet1!$B$2:$B$20)</f>
        <v>1.089550711748033E-2</v>
      </c>
    </row>
    <row r="21" spans="1:5" x14ac:dyDescent="0.35">
      <c r="C21" s="15"/>
      <c r="D21" s="4"/>
    </row>
  </sheetData>
  <mergeCells count="10">
    <mergeCell ref="D2:D7"/>
    <mergeCell ref="D8:D12"/>
    <mergeCell ref="D13:D14"/>
    <mergeCell ref="D15:D18"/>
    <mergeCell ref="D19:D20"/>
    <mergeCell ref="A2:A7"/>
    <mergeCell ref="A8:A12"/>
    <mergeCell ref="A13:A14"/>
    <mergeCell ref="A15:A18"/>
    <mergeCell ref="A19:A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HEYL Eva</dc:creator>
  <cp:lastModifiedBy>HEYL Eva</cp:lastModifiedBy>
  <dcterms:created xsi:type="dcterms:W3CDTF">2026-02-09T13:37:24Z</dcterms:created>
  <dcterms:modified xsi:type="dcterms:W3CDTF">2026-04-27T14:46:28Z</dcterms:modified>
</cp:coreProperties>
</file>