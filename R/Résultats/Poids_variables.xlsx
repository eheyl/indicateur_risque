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03. Ponctuel\03. Banques\2025\Indicateur risque CCyB\R\Résultats\"/>
    </mc:Choice>
  </mc:AlternateContent>
  <xr:revisionPtr revIDLastSave="0" documentId="13_ncr:1_{A0321F36-F78B-4D66-872E-4CCF103DF19A}" xr6:coauthVersionLast="47" xr6:coauthVersionMax="47" xr10:uidLastSave="{00000000-0000-0000-0000-000000000000}"/>
  <bookViews>
    <workbookView xWindow="14470" yWindow="-16310" windowWidth="25420" windowHeight="15250" activeTab="3" xr2:uid="{00000000-000D-0000-FFFF-FFFF00000000}"/>
  </bookViews>
  <sheets>
    <sheet name="Sheet1" sheetId="1" r:id="rId1"/>
    <sheet name="Lag" sheetId="3" r:id="rId2"/>
    <sheet name="Lag 2" sheetId="4" r:id="rId3"/>
    <sheet name="Tableau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3" i="2" l="1"/>
  <c r="F38" i="2"/>
  <c r="F36" i="2"/>
  <c r="F34" i="2"/>
  <c r="F29" i="2"/>
  <c r="G18" i="2"/>
  <c r="G17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2" i="2"/>
  <c r="D38" i="2"/>
  <c r="D36" i="2"/>
  <c r="D34" i="2"/>
  <c r="D29" i="2"/>
  <c r="D23" i="2"/>
  <c r="D17" i="2"/>
  <c r="D13" i="2"/>
  <c r="D2" i="2"/>
  <c r="C20" i="2"/>
  <c r="D20" i="2"/>
  <c r="D15" i="2"/>
  <c r="D8" i="2"/>
</calcChain>
</file>

<file path=xl/sharedStrings.xml><?xml version="1.0" encoding="utf-8"?>
<sst xmlns="http://schemas.openxmlformats.org/spreadsheetml/2006/main" count="137" uniqueCount="49">
  <si>
    <t>var</t>
  </si>
  <si>
    <t>imp</t>
  </si>
  <si>
    <t>imp_pos</t>
  </si>
  <si>
    <t>weight</t>
  </si>
  <si>
    <t>encours_dette_CNFSI_DetteH</t>
  </si>
  <si>
    <t>financement_marche_SPREADHY</t>
  </si>
  <si>
    <t>encours_dette_BSI1_TC_creditH</t>
  </si>
  <si>
    <t>encours_dette_DSR_DSRH</t>
  </si>
  <si>
    <t>encours_dette_DSR_DSRSNF</t>
  </si>
  <si>
    <t>marche_immo_OCDE</t>
  </si>
  <si>
    <t>encours_dette_CNFSI_DetteSNF</t>
  </si>
  <si>
    <t>encours_dette_BSI1_TC_creditSNF</t>
  </si>
  <si>
    <t>marche_immo_ISPI</t>
  </si>
  <si>
    <t>financement_credit_MIR_menages</t>
  </si>
  <si>
    <t>financement_credit_MIR_snf</t>
  </si>
  <si>
    <t>financement_credit_BLS_Entreprises</t>
  </si>
  <si>
    <t>financement_credit_BLS_Menages</t>
  </si>
  <si>
    <t>marche_surrevaluation_PER</t>
  </si>
  <si>
    <t>financement_credit_SAFE</t>
  </si>
  <si>
    <t>financement_marche_SPREAD_OATBD</t>
  </si>
  <si>
    <t>marche_surrevaluation_CDS</t>
  </si>
  <si>
    <t>Catégories</t>
  </si>
  <si>
    <t>Indicateurs</t>
  </si>
  <si>
    <t xml:space="preserve">Pondération </t>
  </si>
  <si>
    <t>Par catégorie</t>
  </si>
  <si>
    <t>Encours de dette des ménages et SNF</t>
  </si>
  <si>
    <t xml:space="preserve">Ratio dette/PIB des ménages </t>
  </si>
  <si>
    <t xml:space="preserve">Ratio dette/PIB des SNF </t>
  </si>
  <si>
    <t xml:space="preserve">Croissance des prêts aux ménages </t>
  </si>
  <si>
    <t xml:space="preserve">Croissance des prêts aux SNF </t>
  </si>
  <si>
    <t xml:space="preserve">Debt Service Ratio des ménages </t>
  </si>
  <si>
    <t xml:space="preserve">Debt Service Ratio des SNF </t>
  </si>
  <si>
    <t xml:space="preserve">Conditions de financement du crédit </t>
  </si>
  <si>
    <t>Taux d'intérêt moyen des nouveaux crédits aux ménages</t>
  </si>
  <si>
    <t>Taux d'intérêt moyen des nouveaux crédits aux SNF</t>
  </si>
  <si>
    <t>Durcissement des conditions d'octroi du crédit (% soldes d'opinion) – Entreprises (BLS)</t>
  </si>
  <si>
    <t>Durcissement des conditions d'octroi du crédit (% soldes d'opinion) – Ménages (BLS)</t>
  </si>
  <si>
    <t>Part des SNF ayant des "contraintes de crédit" (% de réponses) (SAFE)</t>
  </si>
  <si>
    <t xml:space="preserve">Marché immobilier </t>
  </si>
  <si>
    <t>Surévaluation des prix de l'immobilier (ISPI)</t>
  </si>
  <si>
    <t xml:space="preserve">Ratio prix de l'immobilier / revenus des ménages </t>
  </si>
  <si>
    <t xml:space="preserve">Conditions de financement sur les marchés </t>
  </si>
  <si>
    <t>Spread HY-Mid Swap</t>
  </si>
  <si>
    <t xml:space="preserve">Spread OAT-Bund </t>
  </si>
  <si>
    <t>Surévaluation sur les marchés</t>
  </si>
  <si>
    <t xml:space="preserve">Prime de CDS moyen CAC 40 </t>
  </si>
  <si>
    <t xml:space="preserve">Price earning ratio </t>
  </si>
  <si>
    <t>Pondération laggée</t>
  </si>
  <si>
    <t>Par catégorie (laggée)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</si>
</sst>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E5E5FF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D2EADB"/>
        <bgColor indexed="64"/>
      </patternFill>
    </fill>
    <fill>
      <patternFill patternType="solid">
        <fgColor rgb="FFF4F5D3"/>
        <bgColor indexed="64"/>
      </patternFill>
    </fill>
    <fill>
      <patternFill patternType="solid">
        <fgColor rgb="FFDDE9F7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4" fillId="6" borderId="1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164" fontId="4" fillId="3" borderId="1" xfId="1" applyNumberFormat="1" applyFont="1" applyFill="1" applyBorder="1" applyAlignment="1">
      <alignment horizontal="center" wrapText="1"/>
    </xf>
    <xf numFmtId="164" fontId="0" fillId="0" borderId="0" xfId="0" applyNumberFormat="1"/>
    <xf numFmtId="164" fontId="4" fillId="4" borderId="1" xfId="1" applyNumberFormat="1" applyFont="1" applyFill="1" applyBorder="1" applyAlignment="1">
      <alignment horizontal="center" wrapText="1"/>
    </xf>
    <xf numFmtId="164" fontId="4" fillId="5" borderId="1" xfId="1" applyNumberFormat="1" applyFont="1" applyFill="1" applyBorder="1" applyAlignment="1">
      <alignment horizontal="center" wrapText="1"/>
    </xf>
    <xf numFmtId="164" fontId="4" fillId="6" borderId="1" xfId="1" applyNumberFormat="1" applyFont="1" applyFill="1" applyBorder="1" applyAlignment="1">
      <alignment horizontal="center" wrapText="1"/>
    </xf>
    <xf numFmtId="164" fontId="4" fillId="7" borderId="1" xfId="1" applyNumberFormat="1" applyFont="1" applyFill="1" applyBorder="1" applyAlignment="1">
      <alignment horizontal="center" wrapText="1"/>
    </xf>
    <xf numFmtId="165" fontId="0" fillId="0" borderId="0" xfId="0" applyNumberFormat="1"/>
    <xf numFmtId="0" fontId="3" fillId="2" borderId="0" xfId="0" applyFont="1" applyFill="1" applyBorder="1" applyAlignment="1">
      <alignment horizontal="center" vertical="center" wrapText="1"/>
    </xf>
    <xf numFmtId="164" fontId="0" fillId="0" borderId="0" xfId="1" applyNumberFormat="1" applyFont="1"/>
    <xf numFmtId="10" fontId="4" fillId="7" borderId="1" xfId="1" applyNumberFormat="1" applyFont="1" applyFill="1" applyBorder="1" applyAlignment="1">
      <alignment horizontal="center" wrapText="1"/>
    </xf>
    <xf numFmtId="164" fontId="4" fillId="3" borderId="2" xfId="1" applyNumberFormat="1" applyFont="1" applyFill="1" applyBorder="1" applyAlignment="1">
      <alignment horizontal="center" vertical="center" wrapText="1"/>
    </xf>
    <xf numFmtId="164" fontId="4" fillId="4" borderId="2" xfId="1" applyNumberFormat="1" applyFont="1" applyFill="1" applyBorder="1" applyAlignment="1">
      <alignment horizontal="center" vertical="center" wrapText="1"/>
    </xf>
    <xf numFmtId="164" fontId="4" fillId="5" borderId="2" xfId="1" applyNumberFormat="1" applyFont="1" applyFill="1" applyBorder="1" applyAlignment="1">
      <alignment horizontal="center" vertical="center" wrapText="1"/>
    </xf>
    <xf numFmtId="164" fontId="4" fillId="6" borderId="2" xfId="1" applyNumberFormat="1" applyFont="1" applyFill="1" applyBorder="1" applyAlignment="1">
      <alignment horizontal="center" vertical="center" wrapText="1"/>
    </xf>
    <xf numFmtId="164" fontId="4" fillId="7" borderId="2" xfId="1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colors>
    <mruColors>
      <color rgb="FFDDE9F7"/>
      <color rgb="FFF4F5D3"/>
      <color rgb="FFD2EADB"/>
      <color rgb="FFFFE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A3" sqref="A3"/>
    </sheetView>
  </sheetViews>
  <sheetFormatPr baseColWidth="10" defaultColWidth="8.7265625" defaultRowHeight="14.5" x14ac:dyDescent="0.35"/>
  <cols>
    <col min="1" max="1" width="33.26953125" bestFit="1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8.8011845454816467E-2</v>
      </c>
      <c r="C2">
        <v>8.8011845454816467E-2</v>
      </c>
      <c r="D2">
        <v>0.16575922690333669</v>
      </c>
    </row>
    <row r="3" spans="1:4" x14ac:dyDescent="0.35">
      <c r="A3" t="s">
        <v>5</v>
      </c>
      <c r="B3">
        <v>8.2838193080926742E-2</v>
      </c>
      <c r="C3">
        <v>8.2838193080926742E-2</v>
      </c>
      <c r="D3">
        <v>0.1560153042150795</v>
      </c>
    </row>
    <row r="4" spans="1:4" x14ac:dyDescent="0.35">
      <c r="A4" t="s">
        <v>6</v>
      </c>
      <c r="B4">
        <v>5.3367279602358042E-2</v>
      </c>
      <c r="C4">
        <v>5.3367279602358042E-2</v>
      </c>
      <c r="D4">
        <v>0.1005105501777315</v>
      </c>
    </row>
    <row r="5" spans="1:4" x14ac:dyDescent="0.35">
      <c r="A5" t="s">
        <v>7</v>
      </c>
      <c r="B5">
        <v>4.2239463335727701E-2</v>
      </c>
      <c r="C5">
        <v>4.2239463335727701E-2</v>
      </c>
      <c r="D5">
        <v>7.9552709651299541E-2</v>
      </c>
    </row>
    <row r="6" spans="1:4" x14ac:dyDescent="0.35">
      <c r="A6" t="s">
        <v>8</v>
      </c>
      <c r="B6">
        <v>4.0737105656703652E-2</v>
      </c>
      <c r="C6">
        <v>4.0737105656703652E-2</v>
      </c>
      <c r="D6">
        <v>7.6723208166352655E-2</v>
      </c>
    </row>
    <row r="7" spans="1:4" x14ac:dyDescent="0.35">
      <c r="A7" t="s">
        <v>9</v>
      </c>
      <c r="B7">
        <v>3.9345225907387392E-2</v>
      </c>
      <c r="C7">
        <v>3.9345225907387392E-2</v>
      </c>
      <c r="D7">
        <v>7.4101777948672259E-2</v>
      </c>
    </row>
    <row r="8" spans="1:4" x14ac:dyDescent="0.35">
      <c r="A8" t="s">
        <v>10</v>
      </c>
      <c r="B8">
        <v>3.9342015344642739E-2</v>
      </c>
      <c r="C8">
        <v>3.9342015344642739E-2</v>
      </c>
      <c r="D8">
        <v>7.4095731258073658E-2</v>
      </c>
    </row>
    <row r="9" spans="1:4" x14ac:dyDescent="0.35">
      <c r="A9" t="s">
        <v>11</v>
      </c>
      <c r="B9">
        <v>2.8872788848659441E-2</v>
      </c>
      <c r="C9">
        <v>2.8872788848659441E-2</v>
      </c>
      <c r="D9">
        <v>5.4378261623363802E-2</v>
      </c>
    </row>
    <row r="10" spans="1:4" x14ac:dyDescent="0.35">
      <c r="A10" t="s">
        <v>12</v>
      </c>
      <c r="B10">
        <v>2.5125327788412991E-2</v>
      </c>
      <c r="C10">
        <v>2.5125327788412991E-2</v>
      </c>
      <c r="D10">
        <v>4.7320390663076861E-2</v>
      </c>
    </row>
    <row r="11" spans="1:4" x14ac:dyDescent="0.35">
      <c r="A11" t="s">
        <v>13</v>
      </c>
      <c r="B11">
        <v>2.181067050403215E-2</v>
      </c>
      <c r="C11">
        <v>2.181067050403215E-2</v>
      </c>
      <c r="D11">
        <v>4.1077651108313747E-2</v>
      </c>
    </row>
    <row r="12" spans="1:4" x14ac:dyDescent="0.35">
      <c r="A12" t="s">
        <v>14</v>
      </c>
      <c r="B12">
        <v>1.8054870195435328E-2</v>
      </c>
      <c r="C12">
        <v>1.8054870195435328E-2</v>
      </c>
      <c r="D12">
        <v>3.4004074223984777E-2</v>
      </c>
    </row>
    <row r="13" spans="1:4" x14ac:dyDescent="0.35">
      <c r="A13" t="s">
        <v>15</v>
      </c>
      <c r="B13">
        <v>1.5048112862180959E-2</v>
      </c>
      <c r="C13">
        <v>1.5048112862180959E-2</v>
      </c>
      <c r="D13">
        <v>2.8341225450951728E-2</v>
      </c>
    </row>
    <row r="14" spans="1:4" x14ac:dyDescent="0.35">
      <c r="A14" t="s">
        <v>16</v>
      </c>
      <c r="B14">
        <v>1.0155230967477421E-2</v>
      </c>
      <c r="C14">
        <v>1.0155230967477421E-2</v>
      </c>
      <c r="D14">
        <v>1.9126098600648771E-2</v>
      </c>
    </row>
    <row r="15" spans="1:4" x14ac:dyDescent="0.35">
      <c r="A15" t="s">
        <v>17</v>
      </c>
      <c r="B15">
        <v>8.892518790986223E-3</v>
      </c>
      <c r="C15">
        <v>8.892518790986223E-3</v>
      </c>
      <c r="D15">
        <v>1.6747939239315258E-2</v>
      </c>
    </row>
    <row r="16" spans="1:4" x14ac:dyDescent="0.35">
      <c r="A16" t="s">
        <v>18</v>
      </c>
      <c r="B16">
        <v>8.52423506139054E-3</v>
      </c>
      <c r="C16">
        <v>8.52423506139054E-3</v>
      </c>
      <c r="D16">
        <v>1.605432321543359E-2</v>
      </c>
    </row>
    <row r="17" spans="1:4" x14ac:dyDescent="0.35">
      <c r="A17" t="s">
        <v>19</v>
      </c>
      <c r="B17">
        <v>5.7301351975681458E-3</v>
      </c>
      <c r="C17">
        <v>5.7301351975681458E-3</v>
      </c>
      <c r="D17">
        <v>1.0791988004479631E-2</v>
      </c>
    </row>
    <row r="18" spans="1:4" x14ac:dyDescent="0.35">
      <c r="A18" t="s">
        <v>20</v>
      </c>
      <c r="B18">
        <v>2.8669501497425782E-3</v>
      </c>
      <c r="C18">
        <v>2.8669501497425782E-3</v>
      </c>
      <c r="D18" s="15">
        <v>5.3995395498859919E-3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8337-B28D-44FA-A8D2-7190E748B1CE}">
  <dimension ref="A1:D18"/>
  <sheetViews>
    <sheetView workbookViewId="0">
      <selection activeCell="D17" sqref="D17"/>
    </sheetView>
  </sheetViews>
  <sheetFormatPr baseColWidth="10" defaultRowHeight="14.5" x14ac:dyDescent="0.35"/>
  <cols>
    <col min="1" max="1" width="33.269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6</v>
      </c>
      <c r="B2">
        <v>4.968952872582099E-2</v>
      </c>
      <c r="C2">
        <v>4.968952872582099E-2</v>
      </c>
      <c r="D2">
        <v>0.13702111884264159</v>
      </c>
    </row>
    <row r="3" spans="1:4" x14ac:dyDescent="0.35">
      <c r="A3" t="s">
        <v>4</v>
      </c>
      <c r="B3">
        <v>4.611329525775866E-2</v>
      </c>
      <c r="C3">
        <v>4.611329525775866E-2</v>
      </c>
      <c r="D3">
        <v>0.12715949359479009</v>
      </c>
    </row>
    <row r="4" spans="1:4" x14ac:dyDescent="0.35">
      <c r="A4" t="s">
        <v>11</v>
      </c>
      <c r="B4">
        <v>4.199100362682226E-2</v>
      </c>
      <c r="C4">
        <v>4.199100362682226E-2</v>
      </c>
      <c r="D4">
        <v>0.1157920883093975</v>
      </c>
    </row>
    <row r="5" spans="1:4" x14ac:dyDescent="0.35">
      <c r="A5" t="s">
        <v>8</v>
      </c>
      <c r="B5">
        <v>3.9556519476490061E-2</v>
      </c>
      <c r="C5">
        <v>3.9556519476490061E-2</v>
      </c>
      <c r="D5">
        <v>0.109078888352847</v>
      </c>
    </row>
    <row r="6" spans="1:4" x14ac:dyDescent="0.35">
      <c r="A6" t="s">
        <v>7</v>
      </c>
      <c r="B6">
        <v>3.8246564661161581E-2</v>
      </c>
      <c r="C6">
        <v>3.8246564661161581E-2</v>
      </c>
      <c r="D6">
        <v>0.10546662880778231</v>
      </c>
    </row>
    <row r="7" spans="1:4" x14ac:dyDescent="0.35">
      <c r="A7" t="s">
        <v>9</v>
      </c>
      <c r="B7">
        <v>3.7860400052371727E-2</v>
      </c>
      <c r="C7">
        <v>3.7860400052371727E-2</v>
      </c>
      <c r="D7">
        <v>0.10440176246449739</v>
      </c>
    </row>
    <row r="8" spans="1:4" x14ac:dyDescent="0.35">
      <c r="A8" t="s">
        <v>10</v>
      </c>
      <c r="B8">
        <v>3.7561739017364697E-2</v>
      </c>
      <c r="C8">
        <v>3.7561739017364697E-2</v>
      </c>
      <c r="D8">
        <v>0.103578191176527</v>
      </c>
    </row>
    <row r="9" spans="1:4" x14ac:dyDescent="0.35">
      <c r="A9" t="s">
        <v>14</v>
      </c>
      <c r="B9">
        <v>1.50466733073783E-2</v>
      </c>
      <c r="C9">
        <v>1.50466733073783E-2</v>
      </c>
      <c r="D9">
        <v>4.1491880971801703E-2</v>
      </c>
    </row>
    <row r="10" spans="1:4" x14ac:dyDescent="0.35">
      <c r="A10" t="s">
        <v>13</v>
      </c>
      <c r="B10">
        <v>1.2976405671596721E-2</v>
      </c>
      <c r="C10">
        <v>1.2976405671596721E-2</v>
      </c>
      <c r="D10">
        <v>3.5783024497759629E-2</v>
      </c>
    </row>
    <row r="11" spans="1:4" x14ac:dyDescent="0.35">
      <c r="A11" t="s">
        <v>5</v>
      </c>
      <c r="B11">
        <v>1.0883549075648929E-2</v>
      </c>
      <c r="C11">
        <v>1.0883549075648929E-2</v>
      </c>
      <c r="D11">
        <v>3.00118779462136E-2</v>
      </c>
    </row>
    <row r="12" spans="1:4" x14ac:dyDescent="0.35">
      <c r="A12" t="s">
        <v>12</v>
      </c>
      <c r="B12">
        <v>7.6967511639664792E-3</v>
      </c>
      <c r="C12">
        <v>7.6967511639664792E-3</v>
      </c>
      <c r="D12">
        <v>2.1224138827303129E-2</v>
      </c>
    </row>
    <row r="13" spans="1:4" x14ac:dyDescent="0.35">
      <c r="A13" t="s">
        <v>19</v>
      </c>
      <c r="B13">
        <v>7.5776940267809753E-3</v>
      </c>
      <c r="C13">
        <v>7.5776940267809753E-3</v>
      </c>
      <c r="D13">
        <v>2.0895833396326429E-2</v>
      </c>
    </row>
    <row r="14" spans="1:4" x14ac:dyDescent="0.35">
      <c r="A14" t="s">
        <v>15</v>
      </c>
      <c r="B14">
        <v>7.0924837915166657E-3</v>
      </c>
      <c r="C14">
        <v>7.0924837915166657E-3</v>
      </c>
      <c r="D14">
        <v>1.9557844266329529E-2</v>
      </c>
    </row>
    <row r="15" spans="1:4" x14ac:dyDescent="0.35">
      <c r="A15" t="s">
        <v>18</v>
      </c>
      <c r="B15">
        <v>4.9647308682656604E-3</v>
      </c>
      <c r="C15">
        <v>4.9647308682656604E-3</v>
      </c>
      <c r="D15">
        <v>1.369046951674668E-2</v>
      </c>
    </row>
    <row r="16" spans="1:4" x14ac:dyDescent="0.35">
      <c r="A16" t="s">
        <v>16</v>
      </c>
      <c r="B16">
        <v>4.3877215419515512E-3</v>
      </c>
      <c r="C16">
        <v>4.3877215419515512E-3</v>
      </c>
      <c r="D16">
        <v>1.209934024863765E-2</v>
      </c>
    </row>
    <row r="17" spans="1:4" x14ac:dyDescent="0.35">
      <c r="A17" t="s">
        <v>17</v>
      </c>
      <c r="B17">
        <v>8.2172318896765891E-4</v>
      </c>
      <c r="C17">
        <v>8.2172318896765891E-4</v>
      </c>
      <c r="D17">
        <v>2.2659387927095251E-3</v>
      </c>
    </row>
    <row r="18" spans="1:4" x14ac:dyDescent="0.35">
      <c r="A18" t="s">
        <v>20</v>
      </c>
      <c r="B18">
        <v>1.7460457104176921E-4</v>
      </c>
      <c r="C18">
        <v>1.7460457104176921E-4</v>
      </c>
      <c r="D18">
        <v>4.814799876890448E-4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DB79B-39B7-46D9-BBCE-E832A12E0B85}">
  <dimension ref="A1:D18"/>
  <sheetViews>
    <sheetView workbookViewId="0"/>
  </sheetViews>
  <sheetFormatPr baseColWidth="10" defaultColWidth="8.7265625"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6.7779390556441874E-2</v>
      </c>
      <c r="C2">
        <v>6.7779390556441874E-2</v>
      </c>
      <c r="D2">
        <v>0.13195821280606571</v>
      </c>
    </row>
    <row r="3" spans="1:4" x14ac:dyDescent="0.35">
      <c r="A3" t="s">
        <v>10</v>
      </c>
      <c r="B3">
        <v>6.2366230788913603E-2</v>
      </c>
      <c r="C3">
        <v>6.2366230788913603E-2</v>
      </c>
      <c r="D3">
        <v>0.1214194504670638</v>
      </c>
    </row>
    <row r="4" spans="1:4" x14ac:dyDescent="0.35">
      <c r="A4" t="s">
        <v>6</v>
      </c>
      <c r="B4">
        <v>6.0191442166507042E-2</v>
      </c>
      <c r="C4">
        <v>6.0191442166507042E-2</v>
      </c>
      <c r="D4">
        <v>0.1171854020714124</v>
      </c>
    </row>
    <row r="5" spans="1:4" x14ac:dyDescent="0.35">
      <c r="A5" t="s">
        <v>5</v>
      </c>
      <c r="B5">
        <v>5.441680015590708E-2</v>
      </c>
      <c r="C5">
        <v>5.441680015590708E-2</v>
      </c>
      <c r="D5">
        <v>0.1059428778607668</v>
      </c>
    </row>
    <row r="6" spans="1:4" x14ac:dyDescent="0.35">
      <c r="A6" t="s">
        <v>8</v>
      </c>
      <c r="B6">
        <v>4.4475491723680448E-2</v>
      </c>
      <c r="C6">
        <v>4.4475491723680448E-2</v>
      </c>
      <c r="D6">
        <v>8.658836193932179E-2</v>
      </c>
    </row>
    <row r="7" spans="1:4" x14ac:dyDescent="0.35">
      <c r="A7" t="s">
        <v>9</v>
      </c>
      <c r="B7">
        <v>4.3944153492240623E-2</v>
      </c>
      <c r="C7">
        <v>4.3944153492240623E-2</v>
      </c>
      <c r="D7">
        <v>8.5553911159509138E-2</v>
      </c>
    </row>
    <row r="8" spans="1:4" x14ac:dyDescent="0.35">
      <c r="A8" t="s">
        <v>7</v>
      </c>
      <c r="B8">
        <v>3.0756556878945952E-2</v>
      </c>
      <c r="C8">
        <v>3.0756556878945952E-2</v>
      </c>
      <c r="D8">
        <v>5.9879267790614227E-2</v>
      </c>
    </row>
    <row r="9" spans="1:4" x14ac:dyDescent="0.35">
      <c r="A9" t="s">
        <v>13</v>
      </c>
      <c r="B9">
        <v>3.0046028807393089E-2</v>
      </c>
      <c r="C9">
        <v>3.0046028807393089E-2</v>
      </c>
      <c r="D9">
        <v>5.8495956230847718E-2</v>
      </c>
    </row>
    <row r="10" spans="1:4" x14ac:dyDescent="0.35">
      <c r="A10" t="s">
        <v>11</v>
      </c>
      <c r="B10">
        <v>2.7445163916962199E-2</v>
      </c>
      <c r="C10">
        <v>2.7445163916962199E-2</v>
      </c>
      <c r="D10">
        <v>5.3432389269361003E-2</v>
      </c>
    </row>
    <row r="11" spans="1:4" x14ac:dyDescent="0.35">
      <c r="A11" t="s">
        <v>14</v>
      </c>
      <c r="B11">
        <v>1.6724263446487898E-2</v>
      </c>
      <c r="C11">
        <v>1.6724263446487898E-2</v>
      </c>
      <c r="D11">
        <v>3.2560102662159557E-2</v>
      </c>
    </row>
    <row r="12" spans="1:4" x14ac:dyDescent="0.35">
      <c r="A12" t="s">
        <v>17</v>
      </c>
      <c r="B12">
        <v>1.6659117560458559E-2</v>
      </c>
      <c r="C12">
        <v>1.6659117560458559E-2</v>
      </c>
      <c r="D12">
        <v>3.2433271561709623E-2</v>
      </c>
    </row>
    <row r="13" spans="1:4" x14ac:dyDescent="0.35">
      <c r="A13" t="s">
        <v>16</v>
      </c>
      <c r="B13">
        <v>1.587871628210431E-2</v>
      </c>
      <c r="C13">
        <v>1.587871628210431E-2</v>
      </c>
      <c r="D13">
        <v>3.0913925384091791E-2</v>
      </c>
    </row>
    <row r="14" spans="1:4" x14ac:dyDescent="0.35">
      <c r="A14" t="s">
        <v>19</v>
      </c>
      <c r="B14">
        <v>1.0685152618087361E-2</v>
      </c>
      <c r="C14">
        <v>1.0685152618087361E-2</v>
      </c>
      <c r="D14">
        <v>2.0802689895370471E-2</v>
      </c>
    </row>
    <row r="15" spans="1:4" x14ac:dyDescent="0.35">
      <c r="A15" t="s">
        <v>12</v>
      </c>
      <c r="B15">
        <v>9.9753322189675767E-3</v>
      </c>
      <c r="C15">
        <v>9.9753322189675767E-3</v>
      </c>
      <c r="D15">
        <v>1.9420756087583629E-2</v>
      </c>
    </row>
    <row r="16" spans="1:4" x14ac:dyDescent="0.35">
      <c r="A16" t="s">
        <v>20</v>
      </c>
      <c r="B16">
        <v>9.0232958027498256E-3</v>
      </c>
      <c r="C16">
        <v>9.0232958027498256E-3</v>
      </c>
      <c r="D16">
        <v>1.7567257214563061E-2</v>
      </c>
    </row>
    <row r="17" spans="1:4" x14ac:dyDescent="0.35">
      <c r="A17" t="s">
        <v>18</v>
      </c>
      <c r="B17">
        <v>8.1529020053279413E-3</v>
      </c>
      <c r="C17">
        <v>8.1529020053279413E-3</v>
      </c>
      <c r="D17">
        <v>1.5872706570150979E-2</v>
      </c>
    </row>
    <row r="18" spans="1:4" x14ac:dyDescent="0.35">
      <c r="A18" t="s">
        <v>15</v>
      </c>
      <c r="B18">
        <v>5.1227968001143886E-3</v>
      </c>
      <c r="C18">
        <v>5.1227968001143886E-3</v>
      </c>
      <c r="D18">
        <v>9.9734610294084317E-3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A14A3-8D50-46C1-A4CC-EBAFF67124A4}">
  <dimension ref="A1:I39"/>
  <sheetViews>
    <sheetView tabSelected="1" topLeftCell="B13" workbookViewId="0">
      <selection activeCell="B22" sqref="B22:H39"/>
    </sheetView>
  </sheetViews>
  <sheetFormatPr baseColWidth="10" defaultRowHeight="14.5" x14ac:dyDescent="0.35"/>
  <cols>
    <col min="1" max="1" width="34.08984375" customWidth="1"/>
    <col min="2" max="2" width="71.90625" bestFit="1" customWidth="1"/>
    <col min="3" max="3" width="25.81640625" customWidth="1"/>
    <col min="4" max="4" width="21.54296875" hidden="1" customWidth="1"/>
    <col min="5" max="5" width="15.7265625" hidden="1" customWidth="1"/>
    <col min="6" max="6" width="33.26953125" bestFit="1" customWidth="1"/>
    <col min="7" max="7" width="17.7265625" customWidth="1"/>
    <col min="8" max="8" width="21.6328125" customWidth="1"/>
  </cols>
  <sheetData>
    <row r="1" spans="1:7" ht="31" x14ac:dyDescent="0.35">
      <c r="A1" s="2" t="s">
        <v>21</v>
      </c>
      <c r="B1" s="2" t="s">
        <v>22</v>
      </c>
      <c r="C1" s="2" t="s">
        <v>23</v>
      </c>
      <c r="D1" s="3" t="s">
        <v>24</v>
      </c>
      <c r="G1" s="16" t="s">
        <v>47</v>
      </c>
    </row>
    <row r="2" spans="1:7" ht="15.5" x14ac:dyDescent="0.35">
      <c r="A2" s="26" t="s">
        <v>25</v>
      </c>
      <c r="B2" s="4" t="s">
        <v>26</v>
      </c>
      <c r="C2" s="9">
        <v>0.16575922690333669</v>
      </c>
      <c r="D2" s="19">
        <f>SUM(C2:C7)</f>
        <v>0.55101968778015786</v>
      </c>
      <c r="E2" t="s">
        <v>4</v>
      </c>
      <c r="G2" s="17">
        <f>_xlfn.XLOOKUP(E2,Lag!A:A,Lag!D:D)</f>
        <v>0.12715949359479009</v>
      </c>
    </row>
    <row r="3" spans="1:7" ht="15.5" x14ac:dyDescent="0.35">
      <c r="A3" s="26"/>
      <c r="B3" s="4" t="s">
        <v>28</v>
      </c>
      <c r="C3" s="9">
        <v>0.1005105501777315</v>
      </c>
      <c r="D3" s="19"/>
      <c r="E3" t="s">
        <v>10</v>
      </c>
      <c r="G3" s="17">
        <f>_xlfn.XLOOKUP(E3,Lag!A:A,Lag!D:D)</f>
        <v>0.103578191176527</v>
      </c>
    </row>
    <row r="4" spans="1:7" ht="15.5" x14ac:dyDescent="0.35">
      <c r="A4" s="26"/>
      <c r="B4" s="4" t="s">
        <v>30</v>
      </c>
      <c r="C4" s="9">
        <v>7.9552709651299541E-2</v>
      </c>
      <c r="D4" s="19"/>
      <c r="E4" t="s">
        <v>6</v>
      </c>
      <c r="G4" s="17">
        <f>_xlfn.XLOOKUP(E4,Lag!A:A,Lag!D:D)</f>
        <v>0.13702111884264159</v>
      </c>
    </row>
    <row r="5" spans="1:7" ht="15.5" x14ac:dyDescent="0.35">
      <c r="A5" s="26"/>
      <c r="B5" s="4" t="s">
        <v>31</v>
      </c>
      <c r="C5" s="9">
        <v>7.6723208166352655E-2</v>
      </c>
      <c r="D5" s="19"/>
      <c r="E5" t="s">
        <v>11</v>
      </c>
      <c r="G5" s="17">
        <f>_xlfn.XLOOKUP(E5,Lag!A:A,Lag!D:D)</f>
        <v>0.1157920883093975</v>
      </c>
    </row>
    <row r="6" spans="1:7" ht="15.5" x14ac:dyDescent="0.35">
      <c r="A6" s="26"/>
      <c r="B6" s="4" t="s">
        <v>27</v>
      </c>
      <c r="C6" s="9">
        <v>7.4095731258073658E-2</v>
      </c>
      <c r="D6" s="19"/>
      <c r="E6" t="s">
        <v>7</v>
      </c>
      <c r="G6" s="17">
        <f>_xlfn.XLOOKUP(E6,Lag!A:A,Lag!D:D)</f>
        <v>0.10546662880778231</v>
      </c>
    </row>
    <row r="7" spans="1:7" ht="15.5" x14ac:dyDescent="0.35">
      <c r="A7" s="26"/>
      <c r="B7" s="4" t="s">
        <v>29</v>
      </c>
      <c r="C7" s="9">
        <v>5.4378261623363802E-2</v>
      </c>
      <c r="D7" s="19"/>
      <c r="E7" t="s">
        <v>8</v>
      </c>
      <c r="G7" s="17">
        <f>_xlfn.XLOOKUP(E7,Lag!A:A,Lag!D:D)</f>
        <v>0.109078888352847</v>
      </c>
    </row>
    <row r="8" spans="1:7" ht="15.5" x14ac:dyDescent="0.35">
      <c r="A8" s="27" t="s">
        <v>32</v>
      </c>
      <c r="B8" s="5" t="s">
        <v>33</v>
      </c>
      <c r="C8" s="11">
        <v>4.1077651108313747E-2</v>
      </c>
      <c r="D8" s="20">
        <f>SUM(C8:C12)</f>
        <v>0.13860337259933261</v>
      </c>
      <c r="E8" t="s">
        <v>13</v>
      </c>
      <c r="G8" s="17">
        <f>_xlfn.XLOOKUP(E8,Lag!A:A,Lag!D:D)</f>
        <v>3.5783024497759629E-2</v>
      </c>
    </row>
    <row r="9" spans="1:7" ht="15.5" x14ac:dyDescent="0.35">
      <c r="A9" s="27"/>
      <c r="B9" s="5" t="s">
        <v>34</v>
      </c>
      <c r="C9" s="11">
        <v>3.4004074223984777E-2</v>
      </c>
      <c r="D9" s="20"/>
      <c r="E9" t="s">
        <v>14</v>
      </c>
      <c r="G9" s="17">
        <f>_xlfn.XLOOKUP(E9,Lag!A:A,Lag!D:D)</f>
        <v>4.1491880971801703E-2</v>
      </c>
    </row>
    <row r="10" spans="1:7" ht="31" x14ac:dyDescent="0.35">
      <c r="A10" s="27"/>
      <c r="B10" s="5" t="s">
        <v>35</v>
      </c>
      <c r="C10" s="11">
        <v>2.8341225450951728E-2</v>
      </c>
      <c r="D10" s="20"/>
      <c r="E10" t="s">
        <v>15</v>
      </c>
      <c r="G10" s="17">
        <f>_xlfn.XLOOKUP(E10,Lag!A:A,Lag!D:D)</f>
        <v>1.9557844266329529E-2</v>
      </c>
    </row>
    <row r="11" spans="1:7" ht="31" x14ac:dyDescent="0.35">
      <c r="A11" s="27"/>
      <c r="B11" s="5" t="s">
        <v>36</v>
      </c>
      <c r="C11" s="11">
        <v>1.9126098600648771E-2</v>
      </c>
      <c r="D11" s="20"/>
      <c r="E11" t="s">
        <v>16</v>
      </c>
      <c r="G11" s="17">
        <f>_xlfn.XLOOKUP(E11,Lag!A:A,Lag!D:D)</f>
        <v>1.209934024863765E-2</v>
      </c>
    </row>
    <row r="12" spans="1:7" ht="15.5" x14ac:dyDescent="0.35">
      <c r="A12" s="27"/>
      <c r="B12" s="5" t="s">
        <v>37</v>
      </c>
      <c r="C12" s="11">
        <v>1.605432321543359E-2</v>
      </c>
      <c r="D12" s="20"/>
      <c r="E12" t="s">
        <v>18</v>
      </c>
      <c r="G12" s="17">
        <f>_xlfn.XLOOKUP(E12,Lag!A:A,Lag!D:D)</f>
        <v>1.369046951674668E-2</v>
      </c>
    </row>
    <row r="13" spans="1:7" ht="15.5" x14ac:dyDescent="0.35">
      <c r="A13" s="28" t="s">
        <v>38</v>
      </c>
      <c r="B13" s="6" t="s">
        <v>40</v>
      </c>
      <c r="C13" s="12">
        <v>7.4101777948672259E-2</v>
      </c>
      <c r="D13" s="21">
        <f>SUM(C13:C14)</f>
        <v>0.12142216861174912</v>
      </c>
      <c r="E13" t="s">
        <v>12</v>
      </c>
      <c r="G13" s="17">
        <f>_xlfn.XLOOKUP(E13,Lag!A:A,Lag!D:D)</f>
        <v>2.1224138827303129E-2</v>
      </c>
    </row>
    <row r="14" spans="1:7" ht="15.5" x14ac:dyDescent="0.35">
      <c r="A14" s="28"/>
      <c r="B14" s="6" t="s">
        <v>39</v>
      </c>
      <c r="C14" s="12">
        <v>4.7320390663076861E-2</v>
      </c>
      <c r="D14" s="21"/>
      <c r="E14" t="s">
        <v>9</v>
      </c>
      <c r="G14" s="17">
        <f>_xlfn.XLOOKUP(E14,Lag!A:A,Lag!D:D)</f>
        <v>0.10440176246449739</v>
      </c>
    </row>
    <row r="15" spans="1:7" ht="15.5" x14ac:dyDescent="0.35">
      <c r="A15" s="24" t="s">
        <v>41</v>
      </c>
      <c r="B15" s="7" t="s">
        <v>42</v>
      </c>
      <c r="C15" s="13">
        <v>0.1560153042150795</v>
      </c>
      <c r="D15" s="22">
        <f>SUM(C15:C16)</f>
        <v>0.16680729221955914</v>
      </c>
      <c r="E15" t="s">
        <v>5</v>
      </c>
      <c r="G15" s="17">
        <f>_xlfn.XLOOKUP(E15,Lag!A:A,Lag!D:D)</f>
        <v>3.00118779462136E-2</v>
      </c>
    </row>
    <row r="16" spans="1:7" ht="15.5" x14ac:dyDescent="0.35">
      <c r="A16" s="24"/>
      <c r="B16" s="7" t="s">
        <v>43</v>
      </c>
      <c r="C16" s="13">
        <v>1.0791988004479631E-2</v>
      </c>
      <c r="D16" s="22"/>
      <c r="E16" t="s">
        <v>19</v>
      </c>
      <c r="G16" s="17">
        <f>_xlfn.XLOOKUP(E16,Lag!A:A,Lag!D:D)</f>
        <v>2.0895833396326429E-2</v>
      </c>
    </row>
    <row r="17" spans="1:9" ht="15.5" x14ac:dyDescent="0.35">
      <c r="A17" s="25" t="s">
        <v>44</v>
      </c>
      <c r="B17" s="8" t="s">
        <v>46</v>
      </c>
      <c r="C17" s="14">
        <v>1.6747939239315258E-2</v>
      </c>
      <c r="D17" s="23">
        <f>SUM(C17:C18)</f>
        <v>2.2147478789201251E-2</v>
      </c>
      <c r="E17" t="s">
        <v>17</v>
      </c>
      <c r="G17" s="17">
        <f>_xlfn.XLOOKUP(E17,Lag!A:A,Lag!D:D)</f>
        <v>2.2659387927095251E-3</v>
      </c>
    </row>
    <row r="18" spans="1:9" ht="15.5" x14ac:dyDescent="0.35">
      <c r="A18" s="25"/>
      <c r="B18" s="8" t="s">
        <v>45</v>
      </c>
      <c r="C18" s="14">
        <v>5.3995395498859919E-3</v>
      </c>
      <c r="D18" s="23"/>
      <c r="E18" t="s">
        <v>20</v>
      </c>
      <c r="G18" s="17">
        <f>_xlfn.XLOOKUP(E18,Lag!A:A,Lag!D:D)</f>
        <v>4.814799876890448E-4</v>
      </c>
    </row>
    <row r="19" spans="1:9" x14ac:dyDescent="0.35">
      <c r="H19" s="10"/>
      <c r="I19" s="10"/>
    </row>
    <row r="20" spans="1:9" x14ac:dyDescent="0.35">
      <c r="C20" s="10">
        <f>SUM(C2:C18)</f>
        <v>1</v>
      </c>
      <c r="D20" s="10">
        <f>SUM(D2:D18)</f>
        <v>1</v>
      </c>
    </row>
    <row r="22" spans="1:9" ht="31" x14ac:dyDescent="0.35">
      <c r="A22" s="2" t="s">
        <v>21</v>
      </c>
      <c r="B22" s="2" t="s">
        <v>22</v>
      </c>
      <c r="C22" s="2" t="s">
        <v>23</v>
      </c>
      <c r="D22" s="3" t="s">
        <v>24</v>
      </c>
      <c r="E22" s="16" t="s">
        <v>47</v>
      </c>
      <c r="F22" s="3" t="s">
        <v>48</v>
      </c>
      <c r="G22" s="16" t="s">
        <v>47</v>
      </c>
      <c r="H22" s="3" t="s">
        <v>48</v>
      </c>
    </row>
    <row r="23" spans="1:9" ht="15.5" x14ac:dyDescent="0.35">
      <c r="A23" s="26" t="s">
        <v>25</v>
      </c>
      <c r="B23" s="4" t="s">
        <v>26</v>
      </c>
      <c r="C23" s="9">
        <v>0.16600000000000001</v>
      </c>
      <c r="D23" s="19">
        <f>SUM(C23:C28)</f>
        <v>0.55200000000000005</v>
      </c>
      <c r="E23" s="9">
        <v>0.12715949359479009</v>
      </c>
      <c r="F23" s="19">
        <f>SUM(E23:E28)</f>
        <v>0.69809640908398551</v>
      </c>
      <c r="G23" s="9">
        <v>0.13195821280606601</v>
      </c>
      <c r="H23" s="19">
        <v>0.57046308434383897</v>
      </c>
    </row>
    <row r="24" spans="1:9" ht="15.5" x14ac:dyDescent="0.35">
      <c r="A24" s="26"/>
      <c r="B24" s="4" t="s">
        <v>28</v>
      </c>
      <c r="C24" s="9">
        <v>0.10100000000000001</v>
      </c>
      <c r="D24" s="19"/>
      <c r="E24" s="9">
        <v>0.103578191176527</v>
      </c>
      <c r="F24" s="19"/>
      <c r="G24" s="9">
        <v>0.1214194504670638</v>
      </c>
      <c r="H24" s="19"/>
    </row>
    <row r="25" spans="1:9" ht="15.5" x14ac:dyDescent="0.35">
      <c r="A25" s="26"/>
      <c r="B25" s="4" t="s">
        <v>30</v>
      </c>
      <c r="C25" s="9">
        <v>0.08</v>
      </c>
      <c r="D25" s="19"/>
      <c r="E25" s="9">
        <v>0.13702111884264159</v>
      </c>
      <c r="F25" s="19"/>
      <c r="G25" s="9">
        <v>0.1171854020714124</v>
      </c>
      <c r="H25" s="19"/>
    </row>
    <row r="26" spans="1:9" ht="15.5" x14ac:dyDescent="0.35">
      <c r="A26" s="26"/>
      <c r="B26" s="4" t="s">
        <v>31</v>
      </c>
      <c r="C26" s="9">
        <v>7.6999999999999999E-2</v>
      </c>
      <c r="D26" s="19"/>
      <c r="E26" s="9">
        <v>0.1157920883093975</v>
      </c>
      <c r="F26" s="19"/>
      <c r="G26" s="9">
        <v>5.3432389269361003E-2</v>
      </c>
      <c r="H26" s="19"/>
    </row>
    <row r="27" spans="1:9" ht="15.5" x14ac:dyDescent="0.35">
      <c r="A27" s="26"/>
      <c r="B27" s="4" t="s">
        <v>27</v>
      </c>
      <c r="C27" s="9">
        <v>7.3999999999999996E-2</v>
      </c>
      <c r="D27" s="19"/>
      <c r="E27" s="9">
        <v>0.10546662880778231</v>
      </c>
      <c r="F27" s="19"/>
      <c r="G27" s="9">
        <v>5.9879267790614227E-2</v>
      </c>
      <c r="H27" s="19"/>
    </row>
    <row r="28" spans="1:9" ht="15.5" x14ac:dyDescent="0.35">
      <c r="A28" s="26"/>
      <c r="B28" s="4" t="s">
        <v>29</v>
      </c>
      <c r="C28" s="9">
        <v>5.3999999999999999E-2</v>
      </c>
      <c r="D28" s="19"/>
      <c r="E28" s="9">
        <v>0.109078888352847</v>
      </c>
      <c r="F28" s="19"/>
      <c r="G28" s="9">
        <v>8.658836193932179E-2</v>
      </c>
      <c r="H28" s="19"/>
    </row>
    <row r="29" spans="1:9" ht="15.5" x14ac:dyDescent="0.35">
      <c r="A29" s="27" t="s">
        <v>32</v>
      </c>
      <c r="B29" s="5" t="s">
        <v>33</v>
      </c>
      <c r="C29" s="11">
        <v>4.1000000000000002E-2</v>
      </c>
      <c r="D29" s="20">
        <f>SUM(C29:C33)</f>
        <v>0.13800000000000001</v>
      </c>
      <c r="E29" s="11">
        <v>3.5783024497759629E-2</v>
      </c>
      <c r="F29" s="20">
        <f>SUM(E29:E33)</f>
        <v>0.12262255950127521</v>
      </c>
      <c r="G29" s="11">
        <v>5.8495956230847718E-2</v>
      </c>
      <c r="H29" s="20">
        <v>0.14781615187665847</v>
      </c>
    </row>
    <row r="30" spans="1:9" ht="15.5" x14ac:dyDescent="0.35">
      <c r="A30" s="27"/>
      <c r="B30" s="5" t="s">
        <v>34</v>
      </c>
      <c r="C30" s="11">
        <v>3.4000000000000002E-2</v>
      </c>
      <c r="D30" s="20"/>
      <c r="E30" s="11">
        <v>4.1491880971801703E-2</v>
      </c>
      <c r="F30" s="20"/>
      <c r="G30" s="11">
        <v>3.2560102662159557E-2</v>
      </c>
      <c r="H30" s="20"/>
    </row>
    <row r="31" spans="1:9" ht="31" x14ac:dyDescent="0.35">
      <c r="A31" s="27"/>
      <c r="B31" s="5" t="s">
        <v>35</v>
      </c>
      <c r="C31" s="11">
        <v>2.8000000000000001E-2</v>
      </c>
      <c r="D31" s="20"/>
      <c r="E31" s="11">
        <v>1.9557844266329529E-2</v>
      </c>
      <c r="F31" s="20"/>
      <c r="G31" s="11">
        <v>9.9734610294084317E-3</v>
      </c>
      <c r="H31" s="20"/>
    </row>
    <row r="32" spans="1:9" ht="31" x14ac:dyDescent="0.35">
      <c r="A32" s="27"/>
      <c r="B32" s="5" t="s">
        <v>36</v>
      </c>
      <c r="C32" s="11">
        <v>1.9E-2</v>
      </c>
      <c r="D32" s="20"/>
      <c r="E32" s="11">
        <v>1.209934024863765E-2</v>
      </c>
      <c r="F32" s="20"/>
      <c r="G32" s="11">
        <v>3.0913925384091791E-2</v>
      </c>
      <c r="H32" s="20"/>
    </row>
    <row r="33" spans="1:8" ht="15.5" x14ac:dyDescent="0.35">
      <c r="A33" s="27"/>
      <c r="B33" s="5" t="s">
        <v>37</v>
      </c>
      <c r="C33" s="11">
        <v>1.6E-2</v>
      </c>
      <c r="D33" s="20"/>
      <c r="E33" s="11">
        <v>1.369046951674668E-2</v>
      </c>
      <c r="F33" s="20"/>
      <c r="G33" s="11">
        <v>1.5872706570150979E-2</v>
      </c>
      <c r="H33" s="20"/>
    </row>
    <row r="34" spans="1:8" ht="15.5" x14ac:dyDescent="0.35">
      <c r="A34" s="28" t="s">
        <v>38</v>
      </c>
      <c r="B34" s="6" t="s">
        <v>40</v>
      </c>
      <c r="C34" s="12">
        <v>7.3999999999999996E-2</v>
      </c>
      <c r="D34" s="21">
        <f>SUM(C34:C35)</f>
        <v>0.121</v>
      </c>
      <c r="E34" s="12">
        <v>2.1224138827303129E-2</v>
      </c>
      <c r="F34" s="21">
        <f>SUM(E34:E35)</f>
        <v>0.12562590129180051</v>
      </c>
      <c r="G34" s="12">
        <v>1.9420756087583629E-2</v>
      </c>
      <c r="H34" s="21">
        <v>0.10497466724709277</v>
      </c>
    </row>
    <row r="35" spans="1:8" ht="15.5" x14ac:dyDescent="0.35">
      <c r="A35" s="28"/>
      <c r="B35" s="6" t="s">
        <v>39</v>
      </c>
      <c r="C35" s="12">
        <v>4.7E-2</v>
      </c>
      <c r="D35" s="21"/>
      <c r="E35" s="12">
        <v>0.10440176246449739</v>
      </c>
      <c r="F35" s="21"/>
      <c r="G35" s="12">
        <v>8.5553911159509138E-2</v>
      </c>
      <c r="H35" s="21"/>
    </row>
    <row r="36" spans="1:8" ht="15.5" x14ac:dyDescent="0.35">
      <c r="A36" s="24" t="s">
        <v>41</v>
      </c>
      <c r="B36" s="7" t="s">
        <v>42</v>
      </c>
      <c r="C36" s="13">
        <v>0.156</v>
      </c>
      <c r="D36" s="22">
        <f>SUM(C36:C37)</f>
        <v>0.16700000000000001</v>
      </c>
      <c r="E36" s="13">
        <v>3.00118779462136E-2</v>
      </c>
      <c r="F36" s="22">
        <f>SUM(E36:E37)</f>
        <v>5.0907711342540032E-2</v>
      </c>
      <c r="G36" s="13">
        <v>0.1059428778607668</v>
      </c>
      <c r="H36" s="22">
        <v>0.12674556775613727</v>
      </c>
    </row>
    <row r="37" spans="1:8" ht="15.5" x14ac:dyDescent="0.35">
      <c r="A37" s="24"/>
      <c r="B37" s="7" t="s">
        <v>43</v>
      </c>
      <c r="C37" s="13">
        <v>1.0999999999999999E-2</v>
      </c>
      <c r="D37" s="22"/>
      <c r="E37" s="13">
        <v>2.0895833396326429E-2</v>
      </c>
      <c r="F37" s="22"/>
      <c r="G37" s="13">
        <v>2.0802689895370471E-2</v>
      </c>
      <c r="H37" s="22"/>
    </row>
    <row r="38" spans="1:8" ht="15.5" x14ac:dyDescent="0.35">
      <c r="A38" s="25" t="s">
        <v>44</v>
      </c>
      <c r="B38" s="8" t="s">
        <v>46</v>
      </c>
      <c r="C38" s="14">
        <v>1.7000000000000001E-2</v>
      </c>
      <c r="D38" s="23">
        <f>SUM(C38:C39)</f>
        <v>2.2000000000000002E-2</v>
      </c>
      <c r="E38" s="14">
        <v>2.2659387927095251E-3</v>
      </c>
      <c r="F38" s="23">
        <f>SUM(E38:E39)</f>
        <v>2.7474187803985697E-3</v>
      </c>
      <c r="G38" s="14">
        <v>3.2433271561709623E-2</v>
      </c>
      <c r="H38" s="23">
        <v>5.0000528776272687E-2</v>
      </c>
    </row>
    <row r="39" spans="1:8" ht="15.5" x14ac:dyDescent="0.35">
      <c r="A39" s="25"/>
      <c r="B39" s="8" t="s">
        <v>45</v>
      </c>
      <c r="C39" s="14">
        <v>5.0000000000000001E-3</v>
      </c>
      <c r="D39" s="23"/>
      <c r="E39" s="18">
        <v>4.814799876890448E-4</v>
      </c>
      <c r="F39" s="23"/>
      <c r="G39" s="14">
        <v>1.7567257214563061E-2</v>
      </c>
      <c r="H39" s="23"/>
    </row>
  </sheetData>
  <sortState xmlns:xlrd2="http://schemas.microsoft.com/office/spreadsheetml/2017/richdata2" ref="B17:C18">
    <sortCondition descending="1" ref="C17:C18"/>
  </sortState>
  <mergeCells count="30">
    <mergeCell ref="H23:H28"/>
    <mergeCell ref="H29:H33"/>
    <mergeCell ref="H34:H35"/>
    <mergeCell ref="H36:H37"/>
    <mergeCell ref="H38:H39"/>
    <mergeCell ref="A36:A37"/>
    <mergeCell ref="D36:D37"/>
    <mergeCell ref="A38:A39"/>
    <mergeCell ref="D38:D39"/>
    <mergeCell ref="A23:A28"/>
    <mergeCell ref="D23:D28"/>
    <mergeCell ref="A29:A33"/>
    <mergeCell ref="D29:D33"/>
    <mergeCell ref="A34:A35"/>
    <mergeCell ref="D34:D35"/>
    <mergeCell ref="A15:A16"/>
    <mergeCell ref="D15:D16"/>
    <mergeCell ref="A17:A18"/>
    <mergeCell ref="D17:D18"/>
    <mergeCell ref="A2:A7"/>
    <mergeCell ref="D2:D7"/>
    <mergeCell ref="A8:A12"/>
    <mergeCell ref="D8:D12"/>
    <mergeCell ref="A13:A14"/>
    <mergeCell ref="D13:D14"/>
    <mergeCell ref="F23:F28"/>
    <mergeCell ref="F29:F33"/>
    <mergeCell ref="F34:F35"/>
    <mergeCell ref="F36:F37"/>
    <mergeCell ref="F38:F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Sheet1</vt:lpstr>
      <vt:lpstr>Lag</vt:lpstr>
      <vt:lpstr>Lag 2</vt:lpstr>
      <vt:lpstr>Tableau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HEYL Eva</cp:lastModifiedBy>
  <dcterms:created xsi:type="dcterms:W3CDTF">2026-05-04T14:57:13Z</dcterms:created>
  <dcterms:modified xsi:type="dcterms:W3CDTF">2026-06-04T17:42:16Z</dcterms:modified>
</cp:coreProperties>
</file>