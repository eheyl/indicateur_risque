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P-FS19-DGT.si.local\PAESF\03. Ponctuel\03. Banques\2025\Indicateur risque CCyB\R\Donnees\"/>
    </mc:Choice>
  </mc:AlternateContent>
  <xr:revisionPtr revIDLastSave="0" documentId="8_{8E53A1C8-2CF8-497F-8214-2756EF795C33}" xr6:coauthVersionLast="47" xr6:coauthVersionMax="47" xr10:uidLastSave="{00000000-0000-0000-0000-000000000000}"/>
  <bookViews>
    <workbookView xWindow="14470" yWindow="-16310" windowWidth="25420" windowHeight="15250" tabRatio="785" firstSheet="9" activeTab="12" xr2:uid="{00000000-000D-0000-FFFF-FFFF00000000}"/>
  </bookViews>
  <sheets>
    <sheet name="Read me" sheetId="18" r:id="rId1"/>
    <sheet name="C_GAPS1 &gt;&gt;" sheetId="17" r:id="rId2"/>
    <sheet name="Output R -CGAPS1" sheetId="5" r:id="rId3"/>
    <sheet name="Credit Gap 1" sheetId="6" r:id="rId4"/>
    <sheet name="Contributions 1" sheetId="9" r:id="rId5"/>
    <sheet name="CCyB Induit 1" sheetId="12" r:id="rId6"/>
    <sheet name="C_GAPS2 (Juste rétropolés) &gt;&gt;&gt;" sheetId="15" r:id="rId7"/>
    <sheet name="Output R" sheetId="1" r:id="rId8"/>
    <sheet name="Credit GAP - 2" sheetId="2" r:id="rId9"/>
    <sheet name="CCyB induit - CGAP 2" sheetId="10" r:id="rId10"/>
    <sheet name="Contributions CGAP 2" sheetId="7" r:id="rId11"/>
    <sheet name="C_GAPS3 Correction récession&gt;&gt; " sheetId="16" r:id="rId12"/>
    <sheet name="Output R CGAPS3" sheetId="3" r:id="rId13"/>
    <sheet name="Credit GAP 3" sheetId="4" r:id="rId14"/>
    <sheet name="Contribution CGAP 3" sheetId="8" r:id="rId15"/>
    <sheet name="CCyB induit CGAP 3" sheetId="13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16" i="5" l="1"/>
  <c r="K116" i="5"/>
  <c r="J116" i="5"/>
  <c r="I116" i="5"/>
  <c r="L115" i="5"/>
  <c r="K115" i="5"/>
  <c r="J115" i="5"/>
  <c r="I115" i="5"/>
  <c r="L114" i="5"/>
  <c r="K114" i="5"/>
  <c r="J114" i="5"/>
  <c r="I114" i="5"/>
  <c r="L113" i="5"/>
  <c r="K113" i="5"/>
  <c r="J113" i="5"/>
  <c r="I113" i="5"/>
  <c r="L112" i="5"/>
  <c r="K112" i="5"/>
  <c r="J112" i="5"/>
  <c r="I112" i="5"/>
  <c r="L111" i="5"/>
  <c r="K111" i="5"/>
  <c r="J111" i="5"/>
  <c r="I111" i="5"/>
  <c r="L110" i="5"/>
  <c r="K110" i="5"/>
  <c r="J110" i="5"/>
  <c r="I110" i="5"/>
  <c r="L109" i="5"/>
  <c r="K109" i="5"/>
  <c r="J109" i="5"/>
  <c r="I109" i="5"/>
  <c r="L108" i="5"/>
  <c r="K108" i="5"/>
  <c r="J108" i="5"/>
  <c r="I108" i="5"/>
  <c r="L107" i="5"/>
  <c r="K107" i="5"/>
  <c r="J107" i="5"/>
  <c r="I107" i="5"/>
  <c r="L106" i="5"/>
  <c r="K106" i="5"/>
  <c r="J106" i="5"/>
  <c r="I106" i="5"/>
  <c r="L105" i="5"/>
  <c r="K105" i="5"/>
  <c r="J105" i="5"/>
  <c r="I105" i="5"/>
  <c r="L104" i="5"/>
  <c r="K104" i="5"/>
  <c r="J104" i="5"/>
  <c r="I104" i="5"/>
  <c r="L103" i="5"/>
  <c r="K103" i="5"/>
  <c r="J103" i="5"/>
  <c r="I103" i="5"/>
  <c r="L102" i="5"/>
  <c r="K102" i="5"/>
  <c r="J102" i="5"/>
  <c r="I102" i="5"/>
  <c r="L101" i="5"/>
  <c r="K101" i="5"/>
  <c r="J101" i="5"/>
  <c r="I101" i="5"/>
  <c r="L100" i="5"/>
  <c r="K100" i="5"/>
  <c r="J100" i="5"/>
  <c r="I100" i="5"/>
  <c r="L99" i="5"/>
  <c r="K99" i="5"/>
  <c r="J99" i="5"/>
  <c r="I99" i="5"/>
  <c r="L98" i="5"/>
  <c r="K98" i="5"/>
  <c r="J98" i="5"/>
  <c r="I98" i="5"/>
  <c r="L97" i="5"/>
  <c r="K97" i="5"/>
  <c r="J97" i="5"/>
  <c r="I97" i="5"/>
  <c r="L96" i="5"/>
  <c r="K96" i="5"/>
  <c r="J96" i="5"/>
  <c r="I96" i="5"/>
  <c r="L95" i="5"/>
  <c r="K95" i="5"/>
  <c r="J95" i="5"/>
  <c r="I95" i="5"/>
  <c r="L94" i="5"/>
  <c r="K94" i="5"/>
  <c r="J94" i="5"/>
  <c r="I94" i="5"/>
  <c r="L93" i="5"/>
  <c r="K93" i="5"/>
  <c r="J93" i="5"/>
  <c r="I93" i="5"/>
  <c r="L92" i="5"/>
  <c r="K92" i="5"/>
  <c r="J92" i="5"/>
  <c r="I92" i="5"/>
  <c r="L91" i="5"/>
  <c r="K91" i="5"/>
  <c r="J91" i="5"/>
  <c r="I91" i="5"/>
  <c r="L90" i="5"/>
  <c r="K90" i="5"/>
  <c r="J90" i="5"/>
  <c r="I90" i="5"/>
  <c r="L89" i="5"/>
  <c r="K89" i="5"/>
  <c r="J89" i="5"/>
  <c r="I89" i="5"/>
  <c r="L88" i="5"/>
  <c r="K88" i="5"/>
  <c r="J88" i="5"/>
  <c r="I88" i="5"/>
  <c r="L87" i="5"/>
  <c r="K87" i="5"/>
  <c r="J87" i="5"/>
  <c r="I87" i="5"/>
  <c r="L86" i="5"/>
  <c r="K86" i="5"/>
  <c r="J86" i="5"/>
  <c r="I86" i="5"/>
  <c r="L85" i="5"/>
  <c r="K85" i="5"/>
  <c r="J85" i="5"/>
  <c r="I85" i="5"/>
  <c r="L84" i="5"/>
  <c r="K84" i="5"/>
  <c r="J84" i="5"/>
  <c r="I84" i="5"/>
  <c r="L83" i="5"/>
  <c r="K83" i="5"/>
  <c r="J83" i="5"/>
  <c r="I83" i="5"/>
  <c r="L82" i="5"/>
  <c r="K82" i="5"/>
  <c r="J82" i="5"/>
  <c r="I82" i="5"/>
  <c r="L81" i="5"/>
  <c r="K81" i="5"/>
  <c r="J81" i="5"/>
  <c r="I81" i="5"/>
  <c r="L80" i="5"/>
  <c r="K80" i="5"/>
  <c r="J80" i="5"/>
  <c r="I80" i="5"/>
  <c r="L79" i="5"/>
  <c r="K79" i="5"/>
  <c r="J79" i="5"/>
  <c r="I79" i="5"/>
  <c r="L78" i="5"/>
  <c r="K78" i="5"/>
  <c r="J78" i="5"/>
  <c r="I78" i="5"/>
  <c r="L77" i="5"/>
  <c r="K77" i="5"/>
  <c r="J77" i="5"/>
  <c r="I77" i="5"/>
  <c r="L76" i="5"/>
  <c r="K76" i="5"/>
  <c r="J76" i="5"/>
  <c r="I76" i="5"/>
  <c r="L75" i="5"/>
  <c r="K75" i="5"/>
  <c r="J75" i="5"/>
  <c r="I75" i="5"/>
  <c r="L74" i="5"/>
  <c r="K74" i="5"/>
  <c r="J74" i="5"/>
  <c r="I74" i="5"/>
  <c r="L73" i="5"/>
  <c r="K73" i="5"/>
  <c r="J73" i="5"/>
  <c r="I73" i="5"/>
  <c r="L72" i="5"/>
  <c r="K72" i="5"/>
  <c r="J72" i="5"/>
  <c r="I72" i="5"/>
  <c r="L71" i="5"/>
  <c r="K71" i="5"/>
  <c r="J71" i="5"/>
  <c r="I71" i="5"/>
  <c r="L70" i="5"/>
  <c r="K70" i="5"/>
  <c r="J70" i="5"/>
  <c r="I70" i="5"/>
  <c r="L69" i="5"/>
  <c r="K69" i="5"/>
  <c r="J69" i="5"/>
  <c r="I69" i="5"/>
  <c r="L68" i="5"/>
  <c r="K68" i="5"/>
  <c r="J68" i="5"/>
  <c r="I68" i="5"/>
  <c r="L67" i="5"/>
  <c r="K67" i="5"/>
  <c r="J67" i="5"/>
  <c r="I67" i="5"/>
  <c r="L66" i="5"/>
  <c r="K66" i="5"/>
  <c r="J66" i="5"/>
  <c r="I66" i="5"/>
  <c r="L65" i="5"/>
  <c r="K65" i="5"/>
  <c r="J65" i="5"/>
  <c r="I65" i="5"/>
  <c r="L64" i="5"/>
  <c r="K64" i="5"/>
  <c r="J64" i="5"/>
  <c r="I64" i="5"/>
  <c r="L63" i="5"/>
  <c r="K63" i="5"/>
  <c r="J63" i="5"/>
  <c r="I63" i="5"/>
  <c r="L62" i="5"/>
  <c r="K62" i="5"/>
  <c r="J62" i="5"/>
  <c r="I62" i="5"/>
  <c r="L61" i="5"/>
  <c r="K61" i="5"/>
  <c r="J61" i="5"/>
  <c r="I61" i="5"/>
  <c r="L60" i="5"/>
  <c r="K60" i="5"/>
  <c r="J60" i="5"/>
  <c r="I60" i="5"/>
  <c r="L59" i="5"/>
  <c r="K59" i="5"/>
  <c r="J59" i="5"/>
  <c r="I59" i="5"/>
  <c r="L58" i="5"/>
  <c r="K58" i="5"/>
  <c r="J58" i="5"/>
  <c r="I58" i="5"/>
  <c r="L57" i="5"/>
  <c r="K57" i="5"/>
  <c r="J57" i="5"/>
  <c r="I57" i="5"/>
  <c r="L56" i="5"/>
  <c r="K56" i="5"/>
  <c r="J56" i="5"/>
  <c r="I56" i="5"/>
  <c r="L55" i="5"/>
  <c r="K55" i="5"/>
  <c r="J55" i="5"/>
  <c r="I55" i="5"/>
  <c r="L54" i="5"/>
  <c r="K54" i="5"/>
  <c r="J54" i="5"/>
  <c r="I54" i="5"/>
  <c r="L53" i="5"/>
  <c r="K53" i="5"/>
  <c r="J53" i="5"/>
  <c r="I53" i="5"/>
  <c r="L52" i="5"/>
  <c r="K52" i="5"/>
  <c r="J52" i="5"/>
  <c r="I52" i="5"/>
  <c r="L51" i="5"/>
  <c r="K51" i="5"/>
  <c r="J51" i="5"/>
  <c r="I51" i="5"/>
  <c r="L50" i="5"/>
  <c r="K50" i="5"/>
  <c r="J50" i="5"/>
  <c r="I50" i="5"/>
  <c r="L49" i="5"/>
  <c r="K49" i="5"/>
  <c r="J49" i="5"/>
  <c r="I49" i="5"/>
  <c r="L48" i="5"/>
  <c r="K48" i="5"/>
  <c r="J48" i="5"/>
  <c r="I48" i="5"/>
  <c r="L47" i="5"/>
  <c r="K47" i="5"/>
  <c r="J47" i="5"/>
  <c r="I47" i="5"/>
  <c r="L46" i="5"/>
  <c r="K46" i="5"/>
  <c r="J46" i="5"/>
  <c r="I46" i="5"/>
  <c r="L45" i="5"/>
  <c r="K45" i="5"/>
  <c r="J45" i="5"/>
  <c r="I45" i="5"/>
  <c r="L44" i="5"/>
  <c r="K44" i="5"/>
  <c r="J44" i="5"/>
  <c r="I44" i="5"/>
  <c r="L43" i="5"/>
  <c r="K43" i="5"/>
  <c r="J43" i="5"/>
  <c r="I43" i="5"/>
  <c r="L42" i="5"/>
  <c r="K42" i="5"/>
  <c r="J42" i="5"/>
  <c r="I42" i="5"/>
  <c r="L41" i="5"/>
  <c r="K41" i="5"/>
  <c r="J41" i="5"/>
  <c r="I41" i="5"/>
  <c r="L40" i="5"/>
  <c r="K40" i="5"/>
  <c r="J40" i="5"/>
  <c r="I40" i="5"/>
  <c r="L39" i="5"/>
  <c r="K39" i="5"/>
  <c r="J39" i="5"/>
  <c r="I39" i="5"/>
  <c r="L38" i="5"/>
  <c r="K38" i="5"/>
  <c r="J38" i="5"/>
  <c r="I38" i="5"/>
  <c r="L37" i="5"/>
  <c r="K37" i="5"/>
  <c r="J37" i="5"/>
  <c r="I37" i="5"/>
  <c r="L36" i="5"/>
  <c r="K36" i="5"/>
  <c r="J36" i="5"/>
  <c r="I36" i="5"/>
  <c r="L35" i="5"/>
  <c r="K35" i="5"/>
  <c r="J35" i="5"/>
  <c r="I35" i="5"/>
  <c r="L34" i="5"/>
  <c r="K34" i="5"/>
  <c r="J34" i="5"/>
  <c r="I34" i="5"/>
  <c r="L33" i="5"/>
  <c r="K33" i="5"/>
  <c r="J33" i="5"/>
  <c r="I33" i="5"/>
  <c r="L32" i="5"/>
  <c r="K32" i="5"/>
  <c r="J32" i="5"/>
  <c r="I32" i="5"/>
  <c r="L31" i="5"/>
  <c r="K31" i="5"/>
  <c r="J31" i="5"/>
  <c r="I31" i="5"/>
  <c r="L30" i="5"/>
  <c r="K30" i="5"/>
  <c r="J30" i="5"/>
  <c r="I30" i="5"/>
  <c r="L29" i="5"/>
  <c r="K29" i="5"/>
  <c r="J29" i="5"/>
  <c r="I29" i="5"/>
  <c r="L28" i="5"/>
  <c r="K28" i="5"/>
  <c r="J28" i="5"/>
  <c r="I28" i="5"/>
  <c r="L27" i="5"/>
  <c r="K27" i="5"/>
  <c r="J27" i="5"/>
  <c r="I27" i="5"/>
  <c r="L26" i="5"/>
  <c r="K26" i="5"/>
  <c r="J26" i="5"/>
  <c r="I26" i="5"/>
  <c r="L25" i="5"/>
  <c r="K25" i="5"/>
  <c r="J25" i="5"/>
  <c r="I25" i="5"/>
  <c r="L24" i="5"/>
  <c r="K24" i="5"/>
  <c r="J24" i="5"/>
  <c r="I24" i="5"/>
  <c r="L23" i="5"/>
  <c r="K23" i="5"/>
  <c r="J23" i="5"/>
  <c r="I23" i="5"/>
  <c r="L22" i="5"/>
  <c r="K22" i="5"/>
  <c r="J22" i="5"/>
  <c r="I22" i="5"/>
  <c r="L21" i="5"/>
  <c r="K21" i="5"/>
  <c r="J21" i="5"/>
  <c r="I21" i="5"/>
  <c r="L20" i="5"/>
  <c r="K20" i="5"/>
  <c r="J20" i="5"/>
  <c r="I20" i="5"/>
  <c r="L19" i="5"/>
  <c r="K19" i="5"/>
  <c r="J19" i="5"/>
  <c r="I19" i="5"/>
  <c r="L18" i="5"/>
  <c r="K18" i="5"/>
  <c r="J18" i="5"/>
  <c r="I18" i="5"/>
  <c r="L17" i="5"/>
  <c r="K17" i="5"/>
  <c r="J17" i="5"/>
  <c r="I17" i="5"/>
  <c r="L16" i="5"/>
  <c r="K16" i="5"/>
  <c r="J16" i="5"/>
  <c r="I16" i="5"/>
  <c r="L15" i="5"/>
  <c r="K15" i="5"/>
  <c r="J15" i="5"/>
  <c r="I15" i="5"/>
  <c r="L14" i="5"/>
  <c r="K14" i="5"/>
  <c r="J14" i="5"/>
  <c r="I14" i="5"/>
  <c r="L13" i="5"/>
  <c r="K13" i="5"/>
  <c r="J13" i="5"/>
  <c r="I13" i="5"/>
  <c r="L12" i="5"/>
  <c r="K12" i="5"/>
  <c r="J12" i="5"/>
  <c r="I12" i="5"/>
  <c r="L11" i="5"/>
  <c r="K11" i="5"/>
  <c r="J11" i="5"/>
  <c r="I11" i="5"/>
  <c r="L10" i="5"/>
  <c r="K10" i="5"/>
  <c r="J10" i="5"/>
  <c r="I10" i="5"/>
  <c r="L9" i="5"/>
  <c r="K9" i="5"/>
  <c r="J9" i="5"/>
  <c r="I9" i="5"/>
  <c r="L8" i="5"/>
  <c r="K8" i="5"/>
  <c r="J8" i="5"/>
  <c r="I8" i="5"/>
  <c r="L7" i="5"/>
  <c r="K7" i="5"/>
  <c r="J7" i="5"/>
  <c r="I7" i="5"/>
  <c r="L6" i="5"/>
  <c r="K6" i="5"/>
  <c r="J6" i="5"/>
  <c r="I6" i="5"/>
  <c r="L5" i="5"/>
  <c r="K5" i="5"/>
  <c r="J5" i="5"/>
  <c r="I5" i="5"/>
  <c r="L4" i="5"/>
  <c r="K4" i="5"/>
  <c r="J4" i="5"/>
  <c r="I4" i="5"/>
  <c r="L3" i="5"/>
  <c r="K3" i="5"/>
  <c r="J3" i="5"/>
  <c r="I3" i="5"/>
  <c r="I2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G116" i="5"/>
  <c r="F116" i="5"/>
  <c r="E116" i="5"/>
  <c r="D116" i="5"/>
  <c r="C116" i="5"/>
  <c r="B116" i="5"/>
  <c r="G115" i="5"/>
  <c r="F115" i="5"/>
  <c r="E115" i="5"/>
  <c r="D115" i="5"/>
  <c r="C115" i="5"/>
  <c r="B115" i="5"/>
  <c r="G114" i="5"/>
  <c r="F114" i="5"/>
  <c r="E114" i="5"/>
  <c r="D114" i="5"/>
  <c r="C114" i="5"/>
  <c r="B114" i="5"/>
  <c r="G113" i="5"/>
  <c r="F113" i="5"/>
  <c r="E113" i="5"/>
  <c r="D113" i="5"/>
  <c r="C113" i="5"/>
  <c r="B113" i="5"/>
  <c r="G112" i="5"/>
  <c r="F112" i="5"/>
  <c r="E112" i="5"/>
  <c r="D112" i="5"/>
  <c r="C112" i="5"/>
  <c r="B112" i="5"/>
  <c r="G111" i="5"/>
  <c r="F111" i="5"/>
  <c r="E111" i="5"/>
  <c r="D111" i="5"/>
  <c r="C111" i="5"/>
  <c r="B111" i="5"/>
  <c r="G110" i="5"/>
  <c r="F110" i="5"/>
  <c r="E110" i="5"/>
  <c r="D110" i="5"/>
  <c r="C110" i="5"/>
  <c r="B110" i="5"/>
  <c r="G109" i="5"/>
  <c r="F109" i="5"/>
  <c r="E109" i="5"/>
  <c r="D109" i="5"/>
  <c r="C109" i="5"/>
  <c r="B109" i="5"/>
  <c r="G108" i="5"/>
  <c r="F108" i="5"/>
  <c r="E108" i="5"/>
  <c r="D108" i="5"/>
  <c r="C108" i="5"/>
  <c r="B108" i="5"/>
  <c r="G107" i="5"/>
  <c r="F107" i="5"/>
  <c r="E107" i="5"/>
  <c r="D107" i="5"/>
  <c r="C107" i="5"/>
  <c r="B107" i="5"/>
  <c r="G106" i="5"/>
  <c r="F106" i="5"/>
  <c r="E106" i="5"/>
  <c r="D106" i="5"/>
  <c r="C106" i="5"/>
  <c r="B106" i="5"/>
  <c r="G105" i="5"/>
  <c r="F105" i="5"/>
  <c r="E105" i="5"/>
  <c r="D105" i="5"/>
  <c r="C105" i="5"/>
  <c r="B105" i="5"/>
  <c r="G104" i="5"/>
  <c r="F104" i="5"/>
  <c r="E104" i="5"/>
  <c r="D104" i="5"/>
  <c r="C104" i="5"/>
  <c r="B104" i="5"/>
  <c r="G103" i="5"/>
  <c r="F103" i="5"/>
  <c r="E103" i="5"/>
  <c r="D103" i="5"/>
  <c r="C103" i="5"/>
  <c r="B103" i="5"/>
  <c r="G102" i="5"/>
  <c r="F102" i="5"/>
  <c r="E102" i="5"/>
  <c r="D102" i="5"/>
  <c r="C102" i="5"/>
  <c r="B102" i="5"/>
  <c r="G101" i="5"/>
  <c r="F101" i="5"/>
  <c r="E101" i="5"/>
  <c r="D101" i="5"/>
  <c r="C101" i="5"/>
  <c r="B101" i="5"/>
  <c r="G100" i="5"/>
  <c r="F100" i="5"/>
  <c r="E100" i="5"/>
  <c r="D100" i="5"/>
  <c r="C100" i="5"/>
  <c r="B100" i="5"/>
  <c r="G99" i="5"/>
  <c r="F99" i="5"/>
  <c r="E99" i="5"/>
  <c r="D99" i="5"/>
  <c r="C99" i="5"/>
  <c r="B99" i="5"/>
  <c r="G98" i="5"/>
  <c r="F98" i="5"/>
  <c r="E98" i="5"/>
  <c r="D98" i="5"/>
  <c r="C98" i="5"/>
  <c r="B98" i="5"/>
  <c r="G97" i="5"/>
  <c r="F97" i="5"/>
  <c r="E97" i="5"/>
  <c r="D97" i="5"/>
  <c r="C97" i="5"/>
  <c r="B97" i="5"/>
  <c r="G96" i="5"/>
  <c r="F96" i="5"/>
  <c r="E96" i="5"/>
  <c r="D96" i="5"/>
  <c r="C96" i="5"/>
  <c r="B96" i="5"/>
  <c r="G95" i="5"/>
  <c r="F95" i="5"/>
  <c r="E95" i="5"/>
  <c r="D95" i="5"/>
  <c r="C95" i="5"/>
  <c r="B95" i="5"/>
  <c r="G94" i="5"/>
  <c r="F94" i="5"/>
  <c r="E94" i="5"/>
  <c r="D94" i="5"/>
  <c r="C94" i="5"/>
  <c r="B94" i="5"/>
  <c r="G93" i="5"/>
  <c r="F93" i="5"/>
  <c r="E93" i="5"/>
  <c r="D93" i="5"/>
  <c r="C93" i="5"/>
  <c r="B93" i="5"/>
  <c r="G92" i="5"/>
  <c r="F92" i="5"/>
  <c r="E92" i="5"/>
  <c r="D92" i="5"/>
  <c r="C92" i="5"/>
  <c r="B92" i="5"/>
  <c r="G91" i="5"/>
  <c r="F91" i="5"/>
  <c r="E91" i="5"/>
  <c r="D91" i="5"/>
  <c r="C91" i="5"/>
  <c r="B91" i="5"/>
  <c r="G90" i="5"/>
  <c r="F90" i="5"/>
  <c r="E90" i="5"/>
  <c r="D90" i="5"/>
  <c r="C90" i="5"/>
  <c r="B90" i="5"/>
  <c r="G89" i="5"/>
  <c r="F89" i="5"/>
  <c r="E89" i="5"/>
  <c r="D89" i="5"/>
  <c r="C89" i="5"/>
  <c r="B89" i="5"/>
  <c r="G88" i="5"/>
  <c r="F88" i="5"/>
  <c r="E88" i="5"/>
  <c r="D88" i="5"/>
  <c r="C88" i="5"/>
  <c r="B88" i="5"/>
  <c r="G87" i="5"/>
  <c r="F87" i="5"/>
  <c r="E87" i="5"/>
  <c r="D87" i="5"/>
  <c r="C87" i="5"/>
  <c r="B87" i="5"/>
  <c r="G86" i="5"/>
  <c r="F86" i="5"/>
  <c r="E86" i="5"/>
  <c r="D86" i="5"/>
  <c r="C86" i="5"/>
  <c r="B86" i="5"/>
  <c r="G85" i="5"/>
  <c r="F85" i="5"/>
  <c r="E85" i="5"/>
  <c r="D85" i="5"/>
  <c r="C85" i="5"/>
  <c r="B85" i="5"/>
  <c r="G84" i="5"/>
  <c r="F84" i="5"/>
  <c r="E84" i="5"/>
  <c r="D84" i="5"/>
  <c r="C84" i="5"/>
  <c r="B84" i="5"/>
  <c r="G83" i="5"/>
  <c r="F83" i="5"/>
  <c r="E83" i="5"/>
  <c r="D83" i="5"/>
  <c r="C83" i="5"/>
  <c r="B83" i="5"/>
  <c r="G82" i="5"/>
  <c r="F82" i="5"/>
  <c r="E82" i="5"/>
  <c r="D82" i="5"/>
  <c r="C82" i="5"/>
  <c r="B82" i="5"/>
  <c r="G81" i="5"/>
  <c r="F81" i="5"/>
  <c r="E81" i="5"/>
  <c r="D81" i="5"/>
  <c r="C81" i="5"/>
  <c r="B81" i="5"/>
  <c r="G80" i="5"/>
  <c r="F80" i="5"/>
  <c r="E80" i="5"/>
  <c r="D80" i="5"/>
  <c r="C80" i="5"/>
  <c r="B80" i="5"/>
  <c r="G79" i="5"/>
  <c r="F79" i="5"/>
  <c r="E79" i="5"/>
  <c r="D79" i="5"/>
  <c r="C79" i="5"/>
  <c r="B79" i="5"/>
  <c r="G78" i="5"/>
  <c r="F78" i="5"/>
  <c r="E78" i="5"/>
  <c r="D78" i="5"/>
  <c r="C78" i="5"/>
  <c r="B78" i="5"/>
  <c r="G77" i="5"/>
  <c r="F77" i="5"/>
  <c r="E77" i="5"/>
  <c r="D77" i="5"/>
  <c r="C77" i="5"/>
  <c r="B77" i="5"/>
  <c r="G76" i="5"/>
  <c r="F76" i="5"/>
  <c r="E76" i="5"/>
  <c r="D76" i="5"/>
  <c r="C76" i="5"/>
  <c r="B76" i="5"/>
  <c r="G75" i="5"/>
  <c r="F75" i="5"/>
  <c r="E75" i="5"/>
  <c r="D75" i="5"/>
  <c r="C75" i="5"/>
  <c r="B75" i="5"/>
  <c r="G74" i="5"/>
  <c r="F74" i="5"/>
  <c r="E74" i="5"/>
  <c r="D74" i="5"/>
  <c r="C74" i="5"/>
  <c r="B74" i="5"/>
  <c r="G73" i="5"/>
  <c r="F73" i="5"/>
  <c r="E73" i="5"/>
  <c r="D73" i="5"/>
  <c r="C73" i="5"/>
  <c r="B73" i="5"/>
  <c r="G72" i="5"/>
  <c r="F72" i="5"/>
  <c r="E72" i="5"/>
  <c r="D72" i="5"/>
  <c r="C72" i="5"/>
  <c r="B72" i="5"/>
  <c r="G71" i="5"/>
  <c r="F71" i="5"/>
  <c r="E71" i="5"/>
  <c r="D71" i="5"/>
  <c r="C71" i="5"/>
  <c r="B71" i="5"/>
  <c r="G70" i="5"/>
  <c r="F70" i="5"/>
  <c r="E70" i="5"/>
  <c r="D70" i="5"/>
  <c r="C70" i="5"/>
  <c r="B70" i="5"/>
  <c r="G69" i="5"/>
  <c r="F69" i="5"/>
  <c r="E69" i="5"/>
  <c r="D69" i="5"/>
  <c r="C69" i="5"/>
  <c r="B69" i="5"/>
  <c r="G68" i="5"/>
  <c r="F68" i="5"/>
  <c r="E68" i="5"/>
  <c r="D68" i="5"/>
  <c r="C68" i="5"/>
  <c r="B68" i="5"/>
  <c r="G67" i="5"/>
  <c r="F67" i="5"/>
  <c r="E67" i="5"/>
  <c r="D67" i="5"/>
  <c r="C67" i="5"/>
  <c r="B67" i="5"/>
  <c r="G66" i="5"/>
  <c r="F66" i="5"/>
  <c r="E66" i="5"/>
  <c r="D66" i="5"/>
  <c r="C66" i="5"/>
  <c r="B66" i="5"/>
  <c r="G65" i="5"/>
  <c r="F65" i="5"/>
  <c r="E65" i="5"/>
  <c r="D65" i="5"/>
  <c r="C65" i="5"/>
  <c r="B65" i="5"/>
  <c r="G64" i="5"/>
  <c r="F64" i="5"/>
  <c r="E64" i="5"/>
  <c r="D64" i="5"/>
  <c r="C64" i="5"/>
  <c r="B64" i="5"/>
  <c r="G63" i="5"/>
  <c r="F63" i="5"/>
  <c r="E63" i="5"/>
  <c r="D63" i="5"/>
  <c r="C63" i="5"/>
  <c r="B63" i="5"/>
  <c r="G62" i="5"/>
  <c r="F62" i="5"/>
  <c r="E62" i="5"/>
  <c r="D62" i="5"/>
  <c r="C62" i="5"/>
  <c r="B62" i="5"/>
  <c r="G61" i="5"/>
  <c r="F61" i="5"/>
  <c r="E61" i="5"/>
  <c r="D61" i="5"/>
  <c r="C61" i="5"/>
  <c r="B61" i="5"/>
  <c r="G60" i="5"/>
  <c r="F60" i="5"/>
  <c r="E60" i="5"/>
  <c r="D60" i="5"/>
  <c r="C60" i="5"/>
  <c r="B60" i="5"/>
  <c r="G59" i="5"/>
  <c r="F59" i="5"/>
  <c r="E59" i="5"/>
  <c r="D59" i="5"/>
  <c r="C59" i="5"/>
  <c r="B59" i="5"/>
  <c r="G58" i="5"/>
  <c r="F58" i="5"/>
  <c r="E58" i="5"/>
  <c r="D58" i="5"/>
  <c r="C58" i="5"/>
  <c r="B58" i="5"/>
  <c r="G57" i="5"/>
  <c r="F57" i="5"/>
  <c r="E57" i="5"/>
  <c r="D57" i="5"/>
  <c r="C57" i="5"/>
  <c r="B57" i="5"/>
  <c r="G56" i="5"/>
  <c r="F56" i="5"/>
  <c r="E56" i="5"/>
  <c r="D56" i="5"/>
  <c r="C56" i="5"/>
  <c r="B56" i="5"/>
  <c r="G55" i="5"/>
  <c r="F55" i="5"/>
  <c r="E55" i="5"/>
  <c r="D55" i="5"/>
  <c r="C55" i="5"/>
  <c r="B55" i="5"/>
  <c r="G54" i="5"/>
  <c r="F54" i="5"/>
  <c r="E54" i="5"/>
  <c r="D54" i="5"/>
  <c r="C54" i="5"/>
  <c r="B54" i="5"/>
  <c r="G53" i="5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B51" i="5"/>
  <c r="G50" i="5"/>
  <c r="F50" i="5"/>
  <c r="E50" i="5"/>
  <c r="D50" i="5"/>
  <c r="C50" i="5"/>
  <c r="B50" i="5"/>
  <c r="G49" i="5"/>
  <c r="F49" i="5"/>
  <c r="E49" i="5"/>
  <c r="D49" i="5"/>
  <c r="C49" i="5"/>
  <c r="B49" i="5"/>
  <c r="G48" i="5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B46" i="5"/>
  <c r="G45" i="5"/>
  <c r="F45" i="5"/>
  <c r="E45" i="5"/>
  <c r="D45" i="5"/>
  <c r="C45" i="5"/>
  <c r="B45" i="5"/>
  <c r="G44" i="5"/>
  <c r="F44" i="5"/>
  <c r="E44" i="5"/>
  <c r="D44" i="5"/>
  <c r="C44" i="5"/>
  <c r="B44" i="5"/>
  <c r="G43" i="5"/>
  <c r="F43" i="5"/>
  <c r="E43" i="5"/>
  <c r="D43" i="5"/>
  <c r="C43" i="5"/>
  <c r="B43" i="5"/>
  <c r="G42" i="5"/>
  <c r="F42" i="5"/>
  <c r="E42" i="5"/>
  <c r="D42" i="5"/>
  <c r="C42" i="5"/>
  <c r="B42" i="5"/>
  <c r="G41" i="5"/>
  <c r="F41" i="5"/>
  <c r="E41" i="5"/>
  <c r="D41" i="5"/>
  <c r="C41" i="5"/>
  <c r="B41" i="5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37" i="5"/>
  <c r="F37" i="5"/>
  <c r="E37" i="5"/>
  <c r="D37" i="5"/>
  <c r="C37" i="5"/>
  <c r="B37" i="5"/>
  <c r="G36" i="5"/>
  <c r="F36" i="5"/>
  <c r="E36" i="5"/>
  <c r="D36" i="5"/>
  <c r="C36" i="5"/>
  <c r="B36" i="5"/>
  <c r="G35" i="5"/>
  <c r="F35" i="5"/>
  <c r="E35" i="5"/>
  <c r="D35" i="5"/>
  <c r="C35" i="5"/>
  <c r="B35" i="5"/>
  <c r="G34" i="5"/>
  <c r="F34" i="5"/>
  <c r="E34" i="5"/>
  <c r="D34" i="5"/>
  <c r="C34" i="5"/>
  <c r="B34" i="5"/>
  <c r="G33" i="5"/>
  <c r="F33" i="5"/>
  <c r="E33" i="5"/>
  <c r="D33" i="5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D29" i="5"/>
  <c r="C29" i="5"/>
  <c r="B29" i="5"/>
  <c r="G28" i="5"/>
  <c r="F28" i="5"/>
  <c r="E28" i="5"/>
  <c r="D28" i="5"/>
  <c r="C28" i="5"/>
  <c r="B28" i="5"/>
  <c r="G27" i="5"/>
  <c r="F27" i="5"/>
  <c r="E27" i="5"/>
  <c r="D27" i="5"/>
  <c r="C27" i="5"/>
  <c r="B27" i="5"/>
  <c r="G26" i="5"/>
  <c r="F26" i="5"/>
  <c r="E26" i="5"/>
  <c r="D26" i="5"/>
  <c r="C26" i="5"/>
  <c r="B26" i="5"/>
  <c r="G25" i="5"/>
  <c r="F25" i="5"/>
  <c r="E25" i="5"/>
  <c r="D25" i="5"/>
  <c r="C25" i="5"/>
  <c r="B25" i="5"/>
  <c r="G24" i="5"/>
  <c r="F24" i="5"/>
  <c r="E24" i="5"/>
  <c r="D24" i="5"/>
  <c r="C24" i="5"/>
  <c r="B24" i="5"/>
  <c r="G23" i="5"/>
  <c r="F23" i="5"/>
  <c r="E23" i="5"/>
  <c r="D23" i="5"/>
  <c r="C23" i="5"/>
  <c r="B23" i="5"/>
  <c r="G22" i="5"/>
  <c r="F22" i="5"/>
  <c r="E22" i="5"/>
  <c r="D22" i="5"/>
  <c r="C22" i="5"/>
  <c r="B22" i="5"/>
  <c r="G21" i="5"/>
  <c r="F21" i="5"/>
  <c r="E21" i="5"/>
  <c r="D21" i="5"/>
  <c r="C21" i="5"/>
  <c r="B21" i="5"/>
  <c r="G20" i="5"/>
  <c r="F20" i="5"/>
  <c r="E20" i="5"/>
  <c r="D20" i="5"/>
  <c r="C20" i="5"/>
  <c r="B20" i="5"/>
  <c r="G19" i="5"/>
  <c r="F19" i="5"/>
  <c r="E19" i="5"/>
  <c r="D19" i="5"/>
  <c r="C19" i="5"/>
  <c r="B19" i="5"/>
  <c r="G18" i="5"/>
  <c r="F18" i="5"/>
  <c r="E18" i="5"/>
  <c r="D18" i="5"/>
  <c r="C18" i="5"/>
  <c r="B18" i="5"/>
  <c r="G17" i="5"/>
  <c r="F17" i="5"/>
  <c r="E17" i="5"/>
  <c r="D17" i="5"/>
  <c r="C17" i="5"/>
  <c r="B17" i="5"/>
  <c r="G16" i="5"/>
  <c r="F16" i="5"/>
  <c r="E16" i="5"/>
  <c r="D16" i="5"/>
  <c r="C16" i="5"/>
  <c r="B16" i="5"/>
  <c r="G15" i="5"/>
  <c r="F15" i="5"/>
  <c r="E15" i="5"/>
  <c r="D15" i="5"/>
  <c r="C15" i="5"/>
  <c r="B15" i="5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D7" i="5"/>
  <c r="C7" i="5"/>
  <c r="B7" i="5"/>
  <c r="G6" i="5"/>
  <c r="F6" i="5"/>
  <c r="E6" i="5"/>
  <c r="D6" i="5"/>
  <c r="C6" i="5"/>
  <c r="B6" i="5"/>
  <c r="G5" i="5"/>
  <c r="F5" i="5"/>
  <c r="E5" i="5"/>
  <c r="D5" i="5"/>
  <c r="C5" i="5"/>
  <c r="B5" i="5"/>
  <c r="G4" i="5"/>
  <c r="F4" i="5"/>
  <c r="E4" i="5"/>
  <c r="D4" i="5"/>
  <c r="C4" i="5"/>
  <c r="B4" i="5"/>
  <c r="G3" i="5"/>
  <c r="F3" i="5"/>
  <c r="E3" i="5"/>
  <c r="D3" i="5"/>
  <c r="C3" i="5"/>
  <c r="B3" i="5"/>
  <c r="G2" i="5"/>
  <c r="F2" i="5"/>
  <c r="E2" i="5"/>
  <c r="D2" i="5"/>
  <c r="C2" i="5"/>
  <c r="B2" i="5"/>
  <c r="L202" i="3"/>
  <c r="K202" i="3"/>
  <c r="J202" i="3"/>
  <c r="I202" i="3"/>
  <c r="L201" i="3"/>
  <c r="K201" i="3"/>
  <c r="J201" i="3"/>
  <c r="I201" i="3"/>
  <c r="L200" i="3"/>
  <c r="K200" i="3"/>
  <c r="J200" i="3"/>
  <c r="I200" i="3"/>
  <c r="L199" i="3"/>
  <c r="K199" i="3"/>
  <c r="J199" i="3"/>
  <c r="I199" i="3"/>
  <c r="L198" i="3"/>
  <c r="K198" i="3"/>
  <c r="J198" i="3"/>
  <c r="I198" i="3"/>
  <c r="L197" i="3"/>
  <c r="K197" i="3"/>
  <c r="J197" i="3"/>
  <c r="I197" i="3"/>
  <c r="L196" i="3"/>
  <c r="K196" i="3"/>
  <c r="J196" i="3"/>
  <c r="I196" i="3"/>
  <c r="L195" i="3"/>
  <c r="K195" i="3"/>
  <c r="J195" i="3"/>
  <c r="I195" i="3"/>
  <c r="L194" i="3"/>
  <c r="K194" i="3"/>
  <c r="J194" i="3"/>
  <c r="I194" i="3"/>
  <c r="L193" i="3"/>
  <c r="K193" i="3"/>
  <c r="J193" i="3"/>
  <c r="I193" i="3"/>
  <c r="L192" i="3"/>
  <c r="K192" i="3"/>
  <c r="J192" i="3"/>
  <c r="I192" i="3"/>
  <c r="L191" i="3"/>
  <c r="K191" i="3"/>
  <c r="J191" i="3"/>
  <c r="I191" i="3"/>
  <c r="L190" i="3"/>
  <c r="K190" i="3"/>
  <c r="J190" i="3"/>
  <c r="I190" i="3"/>
  <c r="L189" i="3"/>
  <c r="K189" i="3"/>
  <c r="J189" i="3"/>
  <c r="I189" i="3"/>
  <c r="L188" i="3"/>
  <c r="K188" i="3"/>
  <c r="J188" i="3"/>
  <c r="I188" i="3"/>
  <c r="L187" i="3"/>
  <c r="K187" i="3"/>
  <c r="J187" i="3"/>
  <c r="I187" i="3"/>
  <c r="L186" i="3"/>
  <c r="K186" i="3"/>
  <c r="J186" i="3"/>
  <c r="I186" i="3"/>
  <c r="L185" i="3"/>
  <c r="K185" i="3"/>
  <c r="J185" i="3"/>
  <c r="I185" i="3"/>
  <c r="L184" i="3"/>
  <c r="K184" i="3"/>
  <c r="J184" i="3"/>
  <c r="I184" i="3"/>
  <c r="L183" i="3"/>
  <c r="K183" i="3"/>
  <c r="J183" i="3"/>
  <c r="I183" i="3"/>
  <c r="L182" i="3"/>
  <c r="K182" i="3"/>
  <c r="J182" i="3"/>
  <c r="I182" i="3"/>
  <c r="L181" i="3"/>
  <c r="K181" i="3"/>
  <c r="J181" i="3"/>
  <c r="I181" i="3"/>
  <c r="L180" i="3"/>
  <c r="K180" i="3"/>
  <c r="J180" i="3"/>
  <c r="I180" i="3"/>
  <c r="L179" i="3"/>
  <c r="K179" i="3"/>
  <c r="J179" i="3"/>
  <c r="I179" i="3"/>
  <c r="L178" i="3"/>
  <c r="K178" i="3"/>
  <c r="J178" i="3"/>
  <c r="I178" i="3"/>
  <c r="L177" i="3"/>
  <c r="K177" i="3"/>
  <c r="J177" i="3"/>
  <c r="I177" i="3"/>
  <c r="L176" i="3"/>
  <c r="K176" i="3"/>
  <c r="J176" i="3"/>
  <c r="I176" i="3"/>
  <c r="L175" i="3"/>
  <c r="K175" i="3"/>
  <c r="J175" i="3"/>
  <c r="I175" i="3"/>
  <c r="L174" i="3"/>
  <c r="K174" i="3"/>
  <c r="J174" i="3"/>
  <c r="I174" i="3"/>
  <c r="L173" i="3"/>
  <c r="K173" i="3"/>
  <c r="J173" i="3"/>
  <c r="I173" i="3"/>
  <c r="L172" i="3"/>
  <c r="K172" i="3"/>
  <c r="J172" i="3"/>
  <c r="I172" i="3"/>
  <c r="L171" i="3"/>
  <c r="K171" i="3"/>
  <c r="J171" i="3"/>
  <c r="I171" i="3"/>
  <c r="L170" i="3"/>
  <c r="K170" i="3"/>
  <c r="J170" i="3"/>
  <c r="I170" i="3"/>
  <c r="L169" i="3"/>
  <c r="K169" i="3"/>
  <c r="J169" i="3"/>
  <c r="I169" i="3"/>
  <c r="L168" i="3"/>
  <c r="K168" i="3"/>
  <c r="J168" i="3"/>
  <c r="I168" i="3"/>
  <c r="L167" i="3"/>
  <c r="K167" i="3"/>
  <c r="J167" i="3"/>
  <c r="I167" i="3"/>
  <c r="L166" i="3"/>
  <c r="K166" i="3"/>
  <c r="J166" i="3"/>
  <c r="I166" i="3"/>
  <c r="L165" i="3"/>
  <c r="K165" i="3"/>
  <c r="J165" i="3"/>
  <c r="I165" i="3"/>
  <c r="L164" i="3"/>
  <c r="K164" i="3"/>
  <c r="J164" i="3"/>
  <c r="I164" i="3"/>
  <c r="L163" i="3"/>
  <c r="K163" i="3"/>
  <c r="J163" i="3"/>
  <c r="I163" i="3"/>
  <c r="L162" i="3"/>
  <c r="K162" i="3"/>
  <c r="J162" i="3"/>
  <c r="I162" i="3"/>
  <c r="L161" i="3"/>
  <c r="K161" i="3"/>
  <c r="J161" i="3"/>
  <c r="I161" i="3"/>
  <c r="L160" i="3"/>
  <c r="K160" i="3"/>
  <c r="J160" i="3"/>
  <c r="I160" i="3"/>
  <c r="L159" i="3"/>
  <c r="K159" i="3"/>
  <c r="J159" i="3"/>
  <c r="I159" i="3"/>
  <c r="L158" i="3"/>
  <c r="K158" i="3"/>
  <c r="J158" i="3"/>
  <c r="I158" i="3"/>
  <c r="L157" i="3"/>
  <c r="K157" i="3"/>
  <c r="J157" i="3"/>
  <c r="I157" i="3"/>
  <c r="L156" i="3"/>
  <c r="K156" i="3"/>
  <c r="J156" i="3"/>
  <c r="I156" i="3"/>
  <c r="L155" i="3"/>
  <c r="K155" i="3"/>
  <c r="J155" i="3"/>
  <c r="I155" i="3"/>
  <c r="L154" i="3"/>
  <c r="K154" i="3"/>
  <c r="J154" i="3"/>
  <c r="I154" i="3"/>
  <c r="L153" i="3"/>
  <c r="K153" i="3"/>
  <c r="J153" i="3"/>
  <c r="I153" i="3"/>
  <c r="L152" i="3"/>
  <c r="K152" i="3"/>
  <c r="J152" i="3"/>
  <c r="I152" i="3"/>
  <c r="L151" i="3"/>
  <c r="K151" i="3"/>
  <c r="J151" i="3"/>
  <c r="I151" i="3"/>
  <c r="L150" i="3"/>
  <c r="K150" i="3"/>
  <c r="J150" i="3"/>
  <c r="I150" i="3"/>
  <c r="L149" i="3"/>
  <c r="K149" i="3"/>
  <c r="J149" i="3"/>
  <c r="I149" i="3"/>
  <c r="L148" i="3"/>
  <c r="K148" i="3"/>
  <c r="J148" i="3"/>
  <c r="I148" i="3"/>
  <c r="L147" i="3"/>
  <c r="K147" i="3"/>
  <c r="J147" i="3"/>
  <c r="I147" i="3"/>
  <c r="L146" i="3"/>
  <c r="K146" i="3"/>
  <c r="J146" i="3"/>
  <c r="I146" i="3"/>
  <c r="L145" i="3"/>
  <c r="K145" i="3"/>
  <c r="J145" i="3"/>
  <c r="I145" i="3"/>
  <c r="L144" i="3"/>
  <c r="K144" i="3"/>
  <c r="J144" i="3"/>
  <c r="I144" i="3"/>
  <c r="L143" i="3"/>
  <c r="K143" i="3"/>
  <c r="J143" i="3"/>
  <c r="I143" i="3"/>
  <c r="L142" i="3"/>
  <c r="K142" i="3"/>
  <c r="J142" i="3"/>
  <c r="I142" i="3"/>
  <c r="L141" i="3"/>
  <c r="K141" i="3"/>
  <c r="J141" i="3"/>
  <c r="I141" i="3"/>
  <c r="L140" i="3"/>
  <c r="K140" i="3"/>
  <c r="J140" i="3"/>
  <c r="I140" i="3"/>
  <c r="L139" i="3"/>
  <c r="K139" i="3"/>
  <c r="J139" i="3"/>
  <c r="I139" i="3"/>
  <c r="L138" i="3"/>
  <c r="K138" i="3"/>
  <c r="J138" i="3"/>
  <c r="I138" i="3"/>
  <c r="L137" i="3"/>
  <c r="K137" i="3"/>
  <c r="J137" i="3"/>
  <c r="I137" i="3"/>
  <c r="L136" i="3"/>
  <c r="K136" i="3"/>
  <c r="J136" i="3"/>
  <c r="I136" i="3"/>
  <c r="L135" i="3"/>
  <c r="K135" i="3"/>
  <c r="J135" i="3"/>
  <c r="I135" i="3"/>
  <c r="L134" i="3"/>
  <c r="K134" i="3"/>
  <c r="J134" i="3"/>
  <c r="I134" i="3"/>
  <c r="L133" i="3"/>
  <c r="K133" i="3"/>
  <c r="J133" i="3"/>
  <c r="I133" i="3"/>
  <c r="L132" i="3"/>
  <c r="K132" i="3"/>
  <c r="J132" i="3"/>
  <c r="I132" i="3"/>
  <c r="L131" i="3"/>
  <c r="K131" i="3"/>
  <c r="J131" i="3"/>
  <c r="I131" i="3"/>
  <c r="L130" i="3"/>
  <c r="K130" i="3"/>
  <c r="J130" i="3"/>
  <c r="I130" i="3"/>
  <c r="L129" i="3"/>
  <c r="K129" i="3"/>
  <c r="J129" i="3"/>
  <c r="I129" i="3"/>
  <c r="L128" i="3"/>
  <c r="K128" i="3"/>
  <c r="J128" i="3"/>
  <c r="I128" i="3"/>
  <c r="L127" i="3"/>
  <c r="K127" i="3"/>
  <c r="J127" i="3"/>
  <c r="I127" i="3"/>
  <c r="L126" i="3"/>
  <c r="K126" i="3"/>
  <c r="J126" i="3"/>
  <c r="I126" i="3"/>
  <c r="L125" i="3"/>
  <c r="K125" i="3"/>
  <c r="J125" i="3"/>
  <c r="I125" i="3"/>
  <c r="L124" i="3"/>
  <c r="K124" i="3"/>
  <c r="J124" i="3"/>
  <c r="I124" i="3"/>
  <c r="L123" i="3"/>
  <c r="K123" i="3"/>
  <c r="J123" i="3"/>
  <c r="I123" i="3"/>
  <c r="L122" i="3"/>
  <c r="K122" i="3"/>
  <c r="J122" i="3"/>
  <c r="I122" i="3"/>
  <c r="L121" i="3"/>
  <c r="K121" i="3"/>
  <c r="J121" i="3"/>
  <c r="I121" i="3"/>
  <c r="L120" i="3"/>
  <c r="K120" i="3"/>
  <c r="J120" i="3"/>
  <c r="I120" i="3"/>
  <c r="L119" i="3"/>
  <c r="K119" i="3"/>
  <c r="J119" i="3"/>
  <c r="I119" i="3"/>
  <c r="L118" i="3"/>
  <c r="K118" i="3"/>
  <c r="J118" i="3"/>
  <c r="I118" i="3"/>
  <c r="L117" i="3"/>
  <c r="K117" i="3"/>
  <c r="J117" i="3"/>
  <c r="I117" i="3"/>
  <c r="L116" i="3"/>
  <c r="K116" i="3"/>
  <c r="J116" i="3"/>
  <c r="I116" i="3"/>
  <c r="L115" i="3"/>
  <c r="K115" i="3"/>
  <c r="J115" i="3"/>
  <c r="I115" i="3"/>
  <c r="L114" i="3"/>
  <c r="K114" i="3"/>
  <c r="J114" i="3"/>
  <c r="I114" i="3"/>
  <c r="L113" i="3"/>
  <c r="K113" i="3"/>
  <c r="J113" i="3"/>
  <c r="I113" i="3"/>
  <c r="L112" i="3"/>
  <c r="K112" i="3"/>
  <c r="J112" i="3"/>
  <c r="I112" i="3"/>
  <c r="L111" i="3"/>
  <c r="K111" i="3"/>
  <c r="J111" i="3"/>
  <c r="I111" i="3"/>
  <c r="L110" i="3"/>
  <c r="K110" i="3"/>
  <c r="J110" i="3"/>
  <c r="I110" i="3"/>
  <c r="L109" i="3"/>
  <c r="K109" i="3"/>
  <c r="J109" i="3"/>
  <c r="I109" i="3"/>
  <c r="L108" i="3"/>
  <c r="K108" i="3"/>
  <c r="J108" i="3"/>
  <c r="I108" i="3"/>
  <c r="L107" i="3"/>
  <c r="K107" i="3"/>
  <c r="J107" i="3"/>
  <c r="I107" i="3"/>
  <c r="L106" i="3"/>
  <c r="K106" i="3"/>
  <c r="J106" i="3"/>
  <c r="I106" i="3"/>
  <c r="L105" i="3"/>
  <c r="K105" i="3"/>
  <c r="J105" i="3"/>
  <c r="I105" i="3"/>
  <c r="L104" i="3"/>
  <c r="K104" i="3"/>
  <c r="J104" i="3"/>
  <c r="I104" i="3"/>
  <c r="L103" i="3"/>
  <c r="K103" i="3"/>
  <c r="J103" i="3"/>
  <c r="I103" i="3"/>
  <c r="L102" i="3"/>
  <c r="K102" i="3"/>
  <c r="J102" i="3"/>
  <c r="I102" i="3"/>
  <c r="L101" i="3"/>
  <c r="K101" i="3"/>
  <c r="J101" i="3"/>
  <c r="I101" i="3"/>
  <c r="L100" i="3"/>
  <c r="K100" i="3"/>
  <c r="J100" i="3"/>
  <c r="I100" i="3"/>
  <c r="L99" i="3"/>
  <c r="K99" i="3"/>
  <c r="J99" i="3"/>
  <c r="I99" i="3"/>
  <c r="L98" i="3"/>
  <c r="K98" i="3"/>
  <c r="J98" i="3"/>
  <c r="I98" i="3"/>
  <c r="L97" i="3"/>
  <c r="K97" i="3"/>
  <c r="J97" i="3"/>
  <c r="I97" i="3"/>
  <c r="L96" i="3"/>
  <c r="K96" i="3"/>
  <c r="J96" i="3"/>
  <c r="I96" i="3"/>
  <c r="L95" i="3"/>
  <c r="K95" i="3"/>
  <c r="J95" i="3"/>
  <c r="I95" i="3"/>
  <c r="L94" i="3"/>
  <c r="K94" i="3"/>
  <c r="J94" i="3"/>
  <c r="I94" i="3"/>
  <c r="L93" i="3"/>
  <c r="K93" i="3"/>
  <c r="J93" i="3"/>
  <c r="I93" i="3"/>
  <c r="L92" i="3"/>
  <c r="K92" i="3"/>
  <c r="J92" i="3"/>
  <c r="I92" i="3"/>
  <c r="L91" i="3"/>
  <c r="K91" i="3"/>
  <c r="J91" i="3"/>
  <c r="I91" i="3"/>
  <c r="L90" i="3"/>
  <c r="K90" i="3"/>
  <c r="J90" i="3"/>
  <c r="I90" i="3"/>
  <c r="L89" i="3"/>
  <c r="K89" i="3"/>
  <c r="J89" i="3"/>
  <c r="I89" i="3"/>
  <c r="L88" i="3"/>
  <c r="K88" i="3"/>
  <c r="J88" i="3"/>
  <c r="I88" i="3"/>
  <c r="L87" i="3"/>
  <c r="K87" i="3"/>
  <c r="J87" i="3"/>
  <c r="I87" i="3"/>
  <c r="L86" i="3"/>
  <c r="K86" i="3"/>
  <c r="J86" i="3"/>
  <c r="I86" i="3"/>
  <c r="L85" i="3"/>
  <c r="K85" i="3"/>
  <c r="J85" i="3"/>
  <c r="I85" i="3"/>
  <c r="L84" i="3"/>
  <c r="K84" i="3"/>
  <c r="J84" i="3"/>
  <c r="I84" i="3"/>
  <c r="L83" i="3"/>
  <c r="K83" i="3"/>
  <c r="J83" i="3"/>
  <c r="I83" i="3"/>
  <c r="L82" i="3"/>
  <c r="K82" i="3"/>
  <c r="J82" i="3"/>
  <c r="I82" i="3"/>
  <c r="L81" i="3"/>
  <c r="K81" i="3"/>
  <c r="J81" i="3"/>
  <c r="I81" i="3"/>
  <c r="L80" i="3"/>
  <c r="K80" i="3"/>
  <c r="J80" i="3"/>
  <c r="I80" i="3"/>
  <c r="L79" i="3"/>
  <c r="K79" i="3"/>
  <c r="J79" i="3"/>
  <c r="I79" i="3"/>
  <c r="L78" i="3"/>
  <c r="K78" i="3"/>
  <c r="J78" i="3"/>
  <c r="I78" i="3"/>
  <c r="L77" i="3"/>
  <c r="K77" i="3"/>
  <c r="J77" i="3"/>
  <c r="I77" i="3"/>
  <c r="L76" i="3"/>
  <c r="K76" i="3"/>
  <c r="J76" i="3"/>
  <c r="I76" i="3"/>
  <c r="L75" i="3"/>
  <c r="K75" i="3"/>
  <c r="J75" i="3"/>
  <c r="I75" i="3"/>
  <c r="L74" i="3"/>
  <c r="K74" i="3"/>
  <c r="J74" i="3"/>
  <c r="I74" i="3"/>
  <c r="L73" i="3"/>
  <c r="K73" i="3"/>
  <c r="J73" i="3"/>
  <c r="I73" i="3"/>
  <c r="L72" i="3"/>
  <c r="K72" i="3"/>
  <c r="J72" i="3"/>
  <c r="I72" i="3"/>
  <c r="L71" i="3"/>
  <c r="K71" i="3"/>
  <c r="J71" i="3"/>
  <c r="I71" i="3"/>
  <c r="L70" i="3"/>
  <c r="K70" i="3"/>
  <c r="J70" i="3"/>
  <c r="I70" i="3"/>
  <c r="L69" i="3"/>
  <c r="K69" i="3"/>
  <c r="J69" i="3"/>
  <c r="I69" i="3"/>
  <c r="L68" i="3"/>
  <c r="K68" i="3"/>
  <c r="J68" i="3"/>
  <c r="I68" i="3"/>
  <c r="L67" i="3"/>
  <c r="K67" i="3"/>
  <c r="J67" i="3"/>
  <c r="I67" i="3"/>
  <c r="L66" i="3"/>
  <c r="K66" i="3"/>
  <c r="J66" i="3"/>
  <c r="I66" i="3"/>
  <c r="L65" i="3"/>
  <c r="K65" i="3"/>
  <c r="J65" i="3"/>
  <c r="I65" i="3"/>
  <c r="L64" i="3"/>
  <c r="K64" i="3"/>
  <c r="J64" i="3"/>
  <c r="I64" i="3"/>
  <c r="L63" i="3"/>
  <c r="K63" i="3"/>
  <c r="J63" i="3"/>
  <c r="I63" i="3"/>
  <c r="L62" i="3"/>
  <c r="K62" i="3"/>
  <c r="J62" i="3"/>
  <c r="I62" i="3"/>
  <c r="L61" i="3"/>
  <c r="K61" i="3"/>
  <c r="J61" i="3"/>
  <c r="I61" i="3"/>
  <c r="L60" i="3"/>
  <c r="K60" i="3"/>
  <c r="J60" i="3"/>
  <c r="I60" i="3"/>
  <c r="L59" i="3"/>
  <c r="K59" i="3"/>
  <c r="J59" i="3"/>
  <c r="I59" i="3"/>
  <c r="L58" i="3"/>
  <c r="K58" i="3"/>
  <c r="J58" i="3"/>
  <c r="I58" i="3"/>
  <c r="L57" i="3"/>
  <c r="K57" i="3"/>
  <c r="J57" i="3"/>
  <c r="I57" i="3"/>
  <c r="L56" i="3"/>
  <c r="K56" i="3"/>
  <c r="J56" i="3"/>
  <c r="I56" i="3"/>
  <c r="L55" i="3"/>
  <c r="K55" i="3"/>
  <c r="J55" i="3"/>
  <c r="I55" i="3"/>
  <c r="L54" i="3"/>
  <c r="K54" i="3"/>
  <c r="J54" i="3"/>
  <c r="I54" i="3"/>
  <c r="L53" i="3"/>
  <c r="K53" i="3"/>
  <c r="J53" i="3"/>
  <c r="I53" i="3"/>
  <c r="L52" i="3"/>
  <c r="K52" i="3"/>
  <c r="J52" i="3"/>
  <c r="I52" i="3"/>
  <c r="L51" i="3"/>
  <c r="K51" i="3"/>
  <c r="J51" i="3"/>
  <c r="I51" i="3"/>
  <c r="L50" i="3"/>
  <c r="K50" i="3"/>
  <c r="J50" i="3"/>
  <c r="I50" i="3"/>
  <c r="L49" i="3"/>
  <c r="K49" i="3"/>
  <c r="J49" i="3"/>
  <c r="I49" i="3"/>
  <c r="L48" i="3"/>
  <c r="K48" i="3"/>
  <c r="J48" i="3"/>
  <c r="I48" i="3"/>
  <c r="L47" i="3"/>
  <c r="K47" i="3"/>
  <c r="J47" i="3"/>
  <c r="I47" i="3"/>
  <c r="L46" i="3"/>
  <c r="K46" i="3"/>
  <c r="J46" i="3"/>
  <c r="I46" i="3"/>
  <c r="L45" i="3"/>
  <c r="K45" i="3"/>
  <c r="J45" i="3"/>
  <c r="I45" i="3"/>
  <c r="L44" i="3"/>
  <c r="K44" i="3"/>
  <c r="J44" i="3"/>
  <c r="I44" i="3"/>
  <c r="L43" i="3"/>
  <c r="K43" i="3"/>
  <c r="J43" i="3"/>
  <c r="I43" i="3"/>
  <c r="L42" i="3"/>
  <c r="K42" i="3"/>
  <c r="J42" i="3"/>
  <c r="I42" i="3"/>
  <c r="L41" i="3"/>
  <c r="K41" i="3"/>
  <c r="J41" i="3"/>
  <c r="I41" i="3"/>
  <c r="L40" i="3"/>
  <c r="K40" i="3"/>
  <c r="J40" i="3"/>
  <c r="I40" i="3"/>
  <c r="L39" i="3"/>
  <c r="K39" i="3"/>
  <c r="J39" i="3"/>
  <c r="I39" i="3"/>
  <c r="L38" i="3"/>
  <c r="K38" i="3"/>
  <c r="J38" i="3"/>
  <c r="I38" i="3"/>
  <c r="L37" i="3"/>
  <c r="K37" i="3"/>
  <c r="J37" i="3"/>
  <c r="I37" i="3"/>
  <c r="L36" i="3"/>
  <c r="K36" i="3"/>
  <c r="J36" i="3"/>
  <c r="I36" i="3"/>
  <c r="L35" i="3"/>
  <c r="K35" i="3"/>
  <c r="J35" i="3"/>
  <c r="I35" i="3"/>
  <c r="L34" i="3"/>
  <c r="K34" i="3"/>
  <c r="J34" i="3"/>
  <c r="I34" i="3"/>
  <c r="L33" i="3"/>
  <c r="K33" i="3"/>
  <c r="J33" i="3"/>
  <c r="I33" i="3"/>
  <c r="L32" i="3"/>
  <c r="K32" i="3"/>
  <c r="J32" i="3"/>
  <c r="I32" i="3"/>
  <c r="L31" i="3"/>
  <c r="K31" i="3"/>
  <c r="J31" i="3"/>
  <c r="I31" i="3"/>
  <c r="L30" i="3"/>
  <c r="K30" i="3"/>
  <c r="J30" i="3"/>
  <c r="I30" i="3"/>
  <c r="L29" i="3"/>
  <c r="K29" i="3"/>
  <c r="J29" i="3"/>
  <c r="I29" i="3"/>
  <c r="L28" i="3"/>
  <c r="K28" i="3"/>
  <c r="J28" i="3"/>
  <c r="I28" i="3"/>
  <c r="L27" i="3"/>
  <c r="K27" i="3"/>
  <c r="J27" i="3"/>
  <c r="I27" i="3"/>
  <c r="L26" i="3"/>
  <c r="K26" i="3"/>
  <c r="J26" i="3"/>
  <c r="I26" i="3"/>
  <c r="L25" i="3"/>
  <c r="K25" i="3"/>
  <c r="J25" i="3"/>
  <c r="I25" i="3"/>
  <c r="L24" i="3"/>
  <c r="K24" i="3"/>
  <c r="J24" i="3"/>
  <c r="I24" i="3"/>
  <c r="L23" i="3"/>
  <c r="K23" i="3"/>
  <c r="J23" i="3"/>
  <c r="I23" i="3"/>
  <c r="L22" i="3"/>
  <c r="K22" i="3"/>
  <c r="J22" i="3"/>
  <c r="I22" i="3"/>
  <c r="L21" i="3"/>
  <c r="K21" i="3"/>
  <c r="J21" i="3"/>
  <c r="I21" i="3"/>
  <c r="L20" i="3"/>
  <c r="K20" i="3"/>
  <c r="J20" i="3"/>
  <c r="I20" i="3"/>
  <c r="L19" i="3"/>
  <c r="K19" i="3"/>
  <c r="J19" i="3"/>
  <c r="I19" i="3"/>
  <c r="L18" i="3"/>
  <c r="K18" i="3"/>
  <c r="J18" i="3"/>
  <c r="I18" i="3"/>
  <c r="L17" i="3"/>
  <c r="K17" i="3"/>
  <c r="J17" i="3"/>
  <c r="I17" i="3"/>
  <c r="L16" i="3"/>
  <c r="K16" i="3"/>
  <c r="J16" i="3"/>
  <c r="I16" i="3"/>
  <c r="L15" i="3"/>
  <c r="K15" i="3"/>
  <c r="J15" i="3"/>
  <c r="I15" i="3"/>
  <c r="L14" i="3"/>
  <c r="K14" i="3"/>
  <c r="J14" i="3"/>
  <c r="I14" i="3"/>
  <c r="L13" i="3"/>
  <c r="K13" i="3"/>
  <c r="J13" i="3"/>
  <c r="I13" i="3"/>
  <c r="L12" i="3"/>
  <c r="K12" i="3"/>
  <c r="J12" i="3"/>
  <c r="I12" i="3"/>
  <c r="L11" i="3"/>
  <c r="K11" i="3"/>
  <c r="J11" i="3"/>
  <c r="I11" i="3"/>
  <c r="L10" i="3"/>
  <c r="K10" i="3"/>
  <c r="J10" i="3"/>
  <c r="I10" i="3"/>
  <c r="L9" i="3"/>
  <c r="K9" i="3"/>
  <c r="J9" i="3"/>
  <c r="I9" i="3"/>
  <c r="L8" i="3"/>
  <c r="K8" i="3"/>
  <c r="J8" i="3"/>
  <c r="I8" i="3"/>
  <c r="L7" i="3"/>
  <c r="K7" i="3"/>
  <c r="J7" i="3"/>
  <c r="I7" i="3"/>
  <c r="L6" i="3"/>
  <c r="K6" i="3"/>
  <c r="J6" i="3"/>
  <c r="I6" i="3"/>
  <c r="L5" i="3"/>
  <c r="K5" i="3"/>
  <c r="J5" i="3"/>
  <c r="I5" i="3"/>
  <c r="L4" i="3"/>
  <c r="K4" i="3"/>
  <c r="J4" i="3"/>
  <c r="I4" i="3"/>
  <c r="L3" i="3"/>
  <c r="K3" i="3"/>
  <c r="J3" i="3"/>
  <c r="I3" i="3"/>
  <c r="L2" i="3"/>
  <c r="K2" i="3"/>
  <c r="J2" i="3"/>
  <c r="I2" i="3"/>
  <c r="H202" i="3" l="1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G201" i="3"/>
  <c r="F201" i="3"/>
  <c r="E201" i="3"/>
  <c r="D201" i="3"/>
  <c r="C201" i="3"/>
  <c r="B201" i="3"/>
  <c r="G200" i="3"/>
  <c r="F200" i="3"/>
  <c r="E200" i="3"/>
  <c r="D200" i="3"/>
  <c r="C200" i="3"/>
  <c r="B200" i="3"/>
  <c r="G199" i="3"/>
  <c r="F199" i="3"/>
  <c r="E199" i="3"/>
  <c r="D199" i="3"/>
  <c r="C199" i="3"/>
  <c r="B199" i="3"/>
  <c r="G198" i="3"/>
  <c r="F198" i="3"/>
  <c r="E198" i="3"/>
  <c r="D198" i="3"/>
  <c r="C198" i="3"/>
  <c r="B198" i="3"/>
  <c r="G197" i="3"/>
  <c r="F197" i="3"/>
  <c r="E197" i="3"/>
  <c r="D197" i="3"/>
  <c r="C197" i="3"/>
  <c r="B197" i="3"/>
  <c r="G196" i="3"/>
  <c r="F196" i="3"/>
  <c r="E196" i="3"/>
  <c r="D196" i="3"/>
  <c r="C196" i="3"/>
  <c r="B196" i="3"/>
  <c r="G195" i="3"/>
  <c r="F195" i="3"/>
  <c r="E195" i="3"/>
  <c r="D195" i="3"/>
  <c r="C195" i="3"/>
  <c r="B195" i="3"/>
  <c r="G194" i="3"/>
  <c r="F194" i="3"/>
  <c r="E194" i="3"/>
  <c r="D194" i="3"/>
  <c r="C194" i="3"/>
  <c r="B194" i="3"/>
  <c r="G193" i="3"/>
  <c r="F193" i="3"/>
  <c r="E193" i="3"/>
  <c r="D193" i="3"/>
  <c r="C193" i="3"/>
  <c r="B193" i="3"/>
  <c r="G192" i="3"/>
  <c r="F192" i="3"/>
  <c r="E192" i="3"/>
  <c r="D192" i="3"/>
  <c r="C192" i="3"/>
  <c r="B192" i="3"/>
  <c r="G191" i="3"/>
  <c r="F191" i="3"/>
  <c r="E191" i="3"/>
  <c r="D191" i="3"/>
  <c r="C191" i="3"/>
  <c r="B191" i="3"/>
  <c r="G190" i="3"/>
  <c r="F190" i="3"/>
  <c r="E190" i="3"/>
  <c r="D190" i="3"/>
  <c r="C190" i="3"/>
  <c r="B190" i="3"/>
  <c r="G189" i="3"/>
  <c r="F189" i="3"/>
  <c r="E189" i="3"/>
  <c r="D189" i="3"/>
  <c r="C189" i="3"/>
  <c r="B189" i="3"/>
  <c r="G188" i="3"/>
  <c r="F188" i="3"/>
  <c r="E188" i="3"/>
  <c r="D188" i="3"/>
  <c r="C188" i="3"/>
  <c r="B188" i="3"/>
  <c r="G187" i="3"/>
  <c r="F187" i="3"/>
  <c r="E187" i="3"/>
  <c r="D187" i="3"/>
  <c r="C187" i="3"/>
  <c r="B187" i="3"/>
  <c r="G186" i="3"/>
  <c r="F186" i="3"/>
  <c r="E186" i="3"/>
  <c r="D186" i="3"/>
  <c r="C186" i="3"/>
  <c r="B186" i="3"/>
  <c r="G185" i="3"/>
  <c r="F185" i="3"/>
  <c r="E185" i="3"/>
  <c r="D185" i="3"/>
  <c r="C185" i="3"/>
  <c r="B185" i="3"/>
  <c r="G184" i="3"/>
  <c r="F184" i="3"/>
  <c r="E184" i="3"/>
  <c r="D184" i="3"/>
  <c r="C184" i="3"/>
  <c r="B184" i="3"/>
  <c r="G183" i="3"/>
  <c r="F183" i="3"/>
  <c r="E183" i="3"/>
  <c r="D183" i="3"/>
  <c r="C183" i="3"/>
  <c r="B183" i="3"/>
  <c r="G182" i="3"/>
  <c r="F182" i="3"/>
  <c r="E182" i="3"/>
  <c r="D182" i="3"/>
  <c r="C182" i="3"/>
  <c r="B182" i="3"/>
  <c r="G181" i="3"/>
  <c r="F181" i="3"/>
  <c r="E181" i="3"/>
  <c r="D181" i="3"/>
  <c r="C181" i="3"/>
  <c r="B181" i="3"/>
  <c r="G180" i="3"/>
  <c r="F180" i="3"/>
  <c r="E180" i="3"/>
  <c r="D180" i="3"/>
  <c r="C180" i="3"/>
  <c r="B180" i="3"/>
  <c r="G179" i="3"/>
  <c r="F179" i="3"/>
  <c r="E179" i="3"/>
  <c r="D179" i="3"/>
  <c r="C179" i="3"/>
  <c r="B179" i="3"/>
  <c r="G178" i="3"/>
  <c r="F178" i="3"/>
  <c r="E178" i="3"/>
  <c r="D178" i="3"/>
  <c r="C178" i="3"/>
  <c r="B178" i="3"/>
  <c r="G177" i="3"/>
  <c r="F177" i="3"/>
  <c r="E177" i="3"/>
  <c r="D177" i="3"/>
  <c r="C177" i="3"/>
  <c r="B177" i="3"/>
  <c r="G176" i="3"/>
  <c r="F176" i="3"/>
  <c r="E176" i="3"/>
  <c r="D176" i="3"/>
  <c r="C176" i="3"/>
  <c r="B176" i="3"/>
  <c r="G175" i="3"/>
  <c r="F175" i="3"/>
  <c r="E175" i="3"/>
  <c r="D175" i="3"/>
  <c r="C175" i="3"/>
  <c r="B175" i="3"/>
  <c r="G174" i="3"/>
  <c r="F174" i="3"/>
  <c r="E174" i="3"/>
  <c r="D174" i="3"/>
  <c r="C174" i="3"/>
  <c r="B174" i="3"/>
  <c r="G173" i="3"/>
  <c r="F173" i="3"/>
  <c r="E173" i="3"/>
  <c r="D173" i="3"/>
  <c r="C173" i="3"/>
  <c r="B173" i="3"/>
  <c r="G172" i="3"/>
  <c r="F172" i="3"/>
  <c r="E172" i="3"/>
  <c r="D172" i="3"/>
  <c r="C172" i="3"/>
  <c r="B172" i="3"/>
  <c r="G171" i="3"/>
  <c r="F171" i="3"/>
  <c r="E171" i="3"/>
  <c r="D171" i="3"/>
  <c r="C171" i="3"/>
  <c r="B171" i="3"/>
  <c r="G170" i="3"/>
  <c r="F170" i="3"/>
  <c r="E170" i="3"/>
  <c r="D170" i="3"/>
  <c r="C170" i="3"/>
  <c r="B170" i="3"/>
  <c r="G169" i="3"/>
  <c r="F169" i="3"/>
  <c r="E169" i="3"/>
  <c r="D169" i="3"/>
  <c r="C169" i="3"/>
  <c r="B169" i="3"/>
  <c r="G168" i="3"/>
  <c r="F168" i="3"/>
  <c r="E168" i="3"/>
  <c r="D168" i="3"/>
  <c r="C168" i="3"/>
  <c r="B168" i="3"/>
  <c r="G167" i="3"/>
  <c r="F167" i="3"/>
  <c r="E167" i="3"/>
  <c r="D167" i="3"/>
  <c r="C167" i="3"/>
  <c r="B167" i="3"/>
  <c r="G166" i="3"/>
  <c r="F166" i="3"/>
  <c r="E166" i="3"/>
  <c r="D166" i="3"/>
  <c r="C166" i="3"/>
  <c r="B166" i="3"/>
  <c r="G165" i="3"/>
  <c r="F165" i="3"/>
  <c r="E165" i="3"/>
  <c r="D165" i="3"/>
  <c r="C165" i="3"/>
  <c r="B165" i="3"/>
  <c r="G164" i="3"/>
  <c r="F164" i="3"/>
  <c r="E164" i="3"/>
  <c r="D164" i="3"/>
  <c r="C164" i="3"/>
  <c r="B164" i="3"/>
  <c r="G163" i="3"/>
  <c r="F163" i="3"/>
  <c r="E163" i="3"/>
  <c r="D163" i="3"/>
  <c r="C163" i="3"/>
  <c r="B163" i="3"/>
  <c r="G162" i="3"/>
  <c r="F162" i="3"/>
  <c r="E162" i="3"/>
  <c r="D162" i="3"/>
  <c r="C162" i="3"/>
  <c r="B162" i="3"/>
  <c r="G161" i="3"/>
  <c r="F161" i="3"/>
  <c r="E161" i="3"/>
  <c r="D161" i="3"/>
  <c r="C161" i="3"/>
  <c r="B161" i="3"/>
  <c r="G160" i="3"/>
  <c r="F160" i="3"/>
  <c r="E160" i="3"/>
  <c r="D160" i="3"/>
  <c r="C160" i="3"/>
  <c r="B160" i="3"/>
  <c r="G159" i="3"/>
  <c r="F159" i="3"/>
  <c r="E159" i="3"/>
  <c r="D159" i="3"/>
  <c r="C159" i="3"/>
  <c r="B159" i="3"/>
  <c r="G158" i="3"/>
  <c r="F158" i="3"/>
  <c r="E158" i="3"/>
  <c r="D158" i="3"/>
  <c r="C158" i="3"/>
  <c r="B158" i="3"/>
  <c r="G157" i="3"/>
  <c r="F157" i="3"/>
  <c r="E157" i="3"/>
  <c r="D157" i="3"/>
  <c r="C157" i="3"/>
  <c r="B157" i="3"/>
  <c r="G156" i="3"/>
  <c r="F156" i="3"/>
  <c r="E156" i="3"/>
  <c r="D156" i="3"/>
  <c r="C156" i="3"/>
  <c r="B156" i="3"/>
  <c r="G155" i="3"/>
  <c r="F155" i="3"/>
  <c r="E155" i="3"/>
  <c r="D155" i="3"/>
  <c r="C155" i="3"/>
  <c r="B155" i="3"/>
  <c r="G154" i="3"/>
  <c r="F154" i="3"/>
  <c r="E154" i="3"/>
  <c r="D154" i="3"/>
  <c r="C154" i="3"/>
  <c r="B154" i="3"/>
  <c r="G153" i="3"/>
  <c r="F153" i="3"/>
  <c r="E153" i="3"/>
  <c r="D153" i="3"/>
  <c r="C153" i="3"/>
  <c r="B153" i="3"/>
  <c r="G152" i="3"/>
  <c r="F152" i="3"/>
  <c r="E152" i="3"/>
  <c r="D152" i="3"/>
  <c r="C152" i="3"/>
  <c r="B152" i="3"/>
  <c r="G151" i="3"/>
  <c r="F151" i="3"/>
  <c r="E151" i="3"/>
  <c r="D151" i="3"/>
  <c r="C151" i="3"/>
  <c r="B151" i="3"/>
  <c r="G150" i="3"/>
  <c r="F150" i="3"/>
  <c r="E150" i="3"/>
  <c r="D150" i="3"/>
  <c r="C150" i="3"/>
  <c r="B150" i="3"/>
  <c r="G149" i="3"/>
  <c r="F149" i="3"/>
  <c r="E149" i="3"/>
  <c r="D149" i="3"/>
  <c r="C149" i="3"/>
  <c r="B149" i="3"/>
  <c r="G148" i="3"/>
  <c r="F148" i="3"/>
  <c r="E148" i="3"/>
  <c r="D148" i="3"/>
  <c r="C148" i="3"/>
  <c r="B148" i="3"/>
  <c r="G147" i="3"/>
  <c r="F147" i="3"/>
  <c r="E147" i="3"/>
  <c r="D147" i="3"/>
  <c r="C147" i="3"/>
  <c r="B147" i="3"/>
  <c r="G146" i="3"/>
  <c r="F146" i="3"/>
  <c r="E146" i="3"/>
  <c r="D146" i="3"/>
  <c r="C146" i="3"/>
  <c r="B146" i="3"/>
  <c r="G145" i="3"/>
  <c r="F145" i="3"/>
  <c r="E145" i="3"/>
  <c r="D145" i="3"/>
  <c r="C145" i="3"/>
  <c r="B145" i="3"/>
  <c r="G144" i="3"/>
  <c r="F144" i="3"/>
  <c r="E144" i="3"/>
  <c r="D144" i="3"/>
  <c r="C144" i="3"/>
  <c r="B144" i="3"/>
  <c r="G143" i="3"/>
  <c r="F143" i="3"/>
  <c r="E143" i="3"/>
  <c r="D143" i="3"/>
  <c r="C143" i="3"/>
  <c r="B143" i="3"/>
  <c r="G142" i="3"/>
  <c r="F142" i="3"/>
  <c r="E142" i="3"/>
  <c r="D142" i="3"/>
  <c r="C142" i="3"/>
  <c r="B142" i="3"/>
  <c r="G141" i="3"/>
  <c r="F141" i="3"/>
  <c r="E141" i="3"/>
  <c r="D141" i="3"/>
  <c r="C141" i="3"/>
  <c r="B141" i="3"/>
  <c r="G140" i="3"/>
  <c r="F140" i="3"/>
  <c r="E140" i="3"/>
  <c r="D140" i="3"/>
  <c r="C140" i="3"/>
  <c r="B140" i="3"/>
  <c r="G139" i="3"/>
  <c r="F139" i="3"/>
  <c r="E139" i="3"/>
  <c r="D139" i="3"/>
  <c r="C139" i="3"/>
  <c r="B139" i="3"/>
  <c r="G138" i="3"/>
  <c r="F138" i="3"/>
  <c r="E138" i="3"/>
  <c r="D138" i="3"/>
  <c r="C138" i="3"/>
  <c r="B138" i="3"/>
  <c r="G137" i="3"/>
  <c r="F137" i="3"/>
  <c r="E137" i="3"/>
  <c r="D137" i="3"/>
  <c r="C137" i="3"/>
  <c r="B137" i="3"/>
  <c r="G136" i="3"/>
  <c r="F136" i="3"/>
  <c r="E136" i="3"/>
  <c r="D136" i="3"/>
  <c r="C136" i="3"/>
  <c r="B136" i="3"/>
  <c r="G135" i="3"/>
  <c r="F135" i="3"/>
  <c r="E135" i="3"/>
  <c r="D135" i="3"/>
  <c r="C135" i="3"/>
  <c r="B135" i="3"/>
  <c r="G134" i="3"/>
  <c r="F134" i="3"/>
  <c r="E134" i="3"/>
  <c r="D134" i="3"/>
  <c r="C134" i="3"/>
  <c r="B134" i="3"/>
  <c r="G133" i="3"/>
  <c r="F133" i="3"/>
  <c r="E133" i="3"/>
  <c r="D133" i="3"/>
  <c r="C133" i="3"/>
  <c r="B133" i="3"/>
  <c r="G132" i="3"/>
  <c r="F132" i="3"/>
  <c r="E132" i="3"/>
  <c r="D132" i="3"/>
  <c r="C132" i="3"/>
  <c r="B132" i="3"/>
  <c r="G131" i="3"/>
  <c r="F131" i="3"/>
  <c r="E131" i="3"/>
  <c r="D131" i="3"/>
  <c r="C131" i="3"/>
  <c r="B131" i="3"/>
  <c r="G130" i="3"/>
  <c r="F130" i="3"/>
  <c r="E130" i="3"/>
  <c r="D130" i="3"/>
  <c r="C130" i="3"/>
  <c r="B130" i="3"/>
  <c r="G129" i="3"/>
  <c r="F129" i="3"/>
  <c r="E129" i="3"/>
  <c r="D129" i="3"/>
  <c r="C129" i="3"/>
  <c r="B129" i="3"/>
  <c r="G128" i="3"/>
  <c r="F128" i="3"/>
  <c r="E128" i="3"/>
  <c r="D128" i="3"/>
  <c r="C128" i="3"/>
  <c r="B128" i="3"/>
  <c r="G127" i="3"/>
  <c r="F127" i="3"/>
  <c r="E127" i="3"/>
  <c r="D127" i="3"/>
  <c r="C127" i="3"/>
  <c r="B127" i="3"/>
  <c r="G126" i="3"/>
  <c r="F126" i="3"/>
  <c r="E126" i="3"/>
  <c r="D126" i="3"/>
  <c r="C126" i="3"/>
  <c r="B126" i="3"/>
  <c r="G125" i="3"/>
  <c r="F125" i="3"/>
  <c r="E125" i="3"/>
  <c r="D125" i="3"/>
  <c r="C125" i="3"/>
  <c r="B125" i="3"/>
  <c r="G124" i="3"/>
  <c r="F124" i="3"/>
  <c r="E124" i="3"/>
  <c r="D124" i="3"/>
  <c r="C124" i="3"/>
  <c r="B124" i="3"/>
  <c r="G123" i="3"/>
  <c r="F123" i="3"/>
  <c r="E123" i="3"/>
  <c r="D123" i="3"/>
  <c r="C123" i="3"/>
  <c r="B123" i="3"/>
  <c r="G122" i="3"/>
  <c r="F122" i="3"/>
  <c r="E122" i="3"/>
  <c r="D122" i="3"/>
  <c r="C122" i="3"/>
  <c r="B122" i="3"/>
  <c r="G121" i="3"/>
  <c r="F121" i="3"/>
  <c r="E121" i="3"/>
  <c r="D121" i="3"/>
  <c r="C121" i="3"/>
  <c r="B121" i="3"/>
  <c r="G120" i="3"/>
  <c r="F120" i="3"/>
  <c r="E120" i="3"/>
  <c r="D120" i="3"/>
  <c r="C120" i="3"/>
  <c r="B120" i="3"/>
  <c r="G119" i="3"/>
  <c r="F119" i="3"/>
  <c r="E119" i="3"/>
  <c r="D119" i="3"/>
  <c r="C119" i="3"/>
  <c r="B119" i="3"/>
  <c r="G118" i="3"/>
  <c r="F118" i="3"/>
  <c r="E118" i="3"/>
  <c r="D118" i="3"/>
  <c r="C118" i="3"/>
  <c r="B118" i="3"/>
  <c r="G117" i="3"/>
  <c r="F117" i="3"/>
  <c r="E117" i="3"/>
  <c r="D117" i="3"/>
  <c r="C117" i="3"/>
  <c r="B117" i="3"/>
  <c r="G116" i="3"/>
  <c r="F116" i="3"/>
  <c r="E116" i="3"/>
  <c r="D116" i="3"/>
  <c r="C116" i="3"/>
  <c r="B116" i="3"/>
  <c r="G115" i="3"/>
  <c r="F115" i="3"/>
  <c r="E115" i="3"/>
  <c r="D115" i="3"/>
  <c r="C115" i="3"/>
  <c r="B115" i="3"/>
  <c r="G114" i="3"/>
  <c r="F114" i="3"/>
  <c r="E114" i="3"/>
  <c r="D114" i="3"/>
  <c r="C114" i="3"/>
  <c r="B114" i="3"/>
  <c r="G113" i="3"/>
  <c r="F113" i="3"/>
  <c r="E113" i="3"/>
  <c r="D113" i="3"/>
  <c r="C113" i="3"/>
  <c r="B113" i="3"/>
  <c r="G112" i="3"/>
  <c r="F112" i="3"/>
  <c r="E112" i="3"/>
  <c r="D112" i="3"/>
  <c r="C112" i="3"/>
  <c r="B112" i="3"/>
  <c r="G111" i="3"/>
  <c r="F111" i="3"/>
  <c r="E111" i="3"/>
  <c r="D111" i="3"/>
  <c r="C111" i="3"/>
  <c r="B111" i="3"/>
  <c r="G110" i="3"/>
  <c r="F110" i="3"/>
  <c r="E110" i="3"/>
  <c r="D110" i="3"/>
  <c r="C110" i="3"/>
  <c r="B110" i="3"/>
  <c r="G109" i="3"/>
  <c r="F109" i="3"/>
  <c r="E109" i="3"/>
  <c r="D109" i="3"/>
  <c r="C109" i="3"/>
  <c r="B109" i="3"/>
  <c r="G108" i="3"/>
  <c r="F108" i="3"/>
  <c r="E108" i="3"/>
  <c r="D108" i="3"/>
  <c r="C108" i="3"/>
  <c r="B108" i="3"/>
  <c r="G107" i="3"/>
  <c r="F107" i="3"/>
  <c r="E107" i="3"/>
  <c r="D107" i="3"/>
  <c r="C107" i="3"/>
  <c r="B107" i="3"/>
  <c r="G106" i="3"/>
  <c r="F106" i="3"/>
  <c r="E106" i="3"/>
  <c r="D106" i="3"/>
  <c r="C106" i="3"/>
  <c r="B106" i="3"/>
  <c r="G105" i="3"/>
  <c r="F105" i="3"/>
  <c r="E105" i="3"/>
  <c r="D105" i="3"/>
  <c r="C105" i="3"/>
  <c r="B105" i="3"/>
  <c r="G104" i="3"/>
  <c r="F104" i="3"/>
  <c r="E104" i="3"/>
  <c r="D104" i="3"/>
  <c r="C104" i="3"/>
  <c r="B104" i="3"/>
  <c r="G103" i="3"/>
  <c r="F103" i="3"/>
  <c r="E103" i="3"/>
  <c r="D103" i="3"/>
  <c r="C103" i="3"/>
  <c r="B103" i="3"/>
  <c r="G102" i="3"/>
  <c r="F102" i="3"/>
  <c r="E102" i="3"/>
  <c r="D102" i="3"/>
  <c r="C102" i="3"/>
  <c r="B102" i="3"/>
  <c r="G101" i="3"/>
  <c r="F101" i="3"/>
  <c r="E101" i="3"/>
  <c r="D101" i="3"/>
  <c r="C101" i="3"/>
  <c r="B101" i="3"/>
  <c r="G100" i="3"/>
  <c r="F100" i="3"/>
  <c r="E100" i="3"/>
  <c r="D100" i="3"/>
  <c r="C100" i="3"/>
  <c r="B100" i="3"/>
  <c r="G99" i="3"/>
  <c r="F99" i="3"/>
  <c r="E99" i="3"/>
  <c r="D99" i="3"/>
  <c r="C99" i="3"/>
  <c r="B99" i="3"/>
  <c r="G98" i="3"/>
  <c r="F98" i="3"/>
  <c r="E98" i="3"/>
  <c r="D98" i="3"/>
  <c r="C98" i="3"/>
  <c r="B98" i="3"/>
  <c r="G97" i="3"/>
  <c r="F97" i="3"/>
  <c r="E97" i="3"/>
  <c r="D97" i="3"/>
  <c r="C97" i="3"/>
  <c r="B97" i="3"/>
  <c r="G96" i="3"/>
  <c r="F96" i="3"/>
  <c r="E96" i="3"/>
  <c r="D96" i="3"/>
  <c r="C96" i="3"/>
  <c r="B96" i="3"/>
  <c r="G95" i="3"/>
  <c r="F95" i="3"/>
  <c r="E95" i="3"/>
  <c r="D95" i="3"/>
  <c r="C95" i="3"/>
  <c r="B95" i="3"/>
  <c r="G94" i="3"/>
  <c r="F94" i="3"/>
  <c r="E94" i="3"/>
  <c r="D94" i="3"/>
  <c r="C94" i="3"/>
  <c r="B94" i="3"/>
  <c r="G93" i="3"/>
  <c r="F93" i="3"/>
  <c r="E93" i="3"/>
  <c r="D93" i="3"/>
  <c r="C93" i="3"/>
  <c r="B93" i="3"/>
  <c r="G92" i="3"/>
  <c r="F92" i="3"/>
  <c r="E92" i="3"/>
  <c r="D92" i="3"/>
  <c r="C92" i="3"/>
  <c r="B92" i="3"/>
  <c r="G91" i="3"/>
  <c r="F91" i="3"/>
  <c r="E91" i="3"/>
  <c r="D91" i="3"/>
  <c r="C91" i="3"/>
  <c r="B91" i="3"/>
  <c r="G90" i="3"/>
  <c r="F90" i="3"/>
  <c r="E90" i="3"/>
  <c r="D90" i="3"/>
  <c r="C90" i="3"/>
  <c r="B90" i="3"/>
  <c r="G89" i="3"/>
  <c r="F89" i="3"/>
  <c r="E89" i="3"/>
  <c r="D89" i="3"/>
  <c r="C89" i="3"/>
  <c r="B89" i="3"/>
  <c r="G88" i="3"/>
  <c r="F88" i="3"/>
  <c r="E88" i="3"/>
  <c r="D88" i="3"/>
  <c r="C88" i="3"/>
  <c r="B88" i="3"/>
  <c r="G87" i="3"/>
  <c r="F87" i="3"/>
  <c r="E87" i="3"/>
  <c r="D87" i="3"/>
  <c r="C87" i="3"/>
  <c r="B87" i="3"/>
  <c r="G86" i="3"/>
  <c r="F86" i="3"/>
  <c r="E86" i="3"/>
  <c r="D86" i="3"/>
  <c r="C86" i="3"/>
  <c r="B86" i="3"/>
  <c r="G85" i="3"/>
  <c r="F85" i="3"/>
  <c r="E85" i="3"/>
  <c r="D85" i="3"/>
  <c r="C85" i="3"/>
  <c r="B85" i="3"/>
  <c r="G84" i="3"/>
  <c r="F84" i="3"/>
  <c r="E84" i="3"/>
  <c r="D84" i="3"/>
  <c r="C84" i="3"/>
  <c r="B84" i="3"/>
  <c r="G83" i="3"/>
  <c r="F83" i="3"/>
  <c r="E83" i="3"/>
  <c r="D83" i="3"/>
  <c r="C83" i="3"/>
  <c r="B83" i="3"/>
  <c r="G82" i="3"/>
  <c r="F82" i="3"/>
  <c r="E82" i="3"/>
  <c r="D82" i="3"/>
  <c r="C82" i="3"/>
  <c r="B82" i="3"/>
  <c r="G81" i="3"/>
  <c r="F81" i="3"/>
  <c r="E81" i="3"/>
  <c r="D81" i="3"/>
  <c r="C81" i="3"/>
  <c r="B81" i="3"/>
  <c r="G80" i="3"/>
  <c r="F80" i="3"/>
  <c r="E80" i="3"/>
  <c r="D80" i="3"/>
  <c r="C80" i="3"/>
  <c r="B80" i="3"/>
  <c r="G79" i="3"/>
  <c r="F79" i="3"/>
  <c r="E79" i="3"/>
  <c r="D79" i="3"/>
  <c r="C79" i="3"/>
  <c r="B79" i="3"/>
  <c r="G78" i="3"/>
  <c r="F78" i="3"/>
  <c r="E78" i="3"/>
  <c r="D78" i="3"/>
  <c r="C78" i="3"/>
  <c r="B78" i="3"/>
  <c r="G77" i="3"/>
  <c r="F77" i="3"/>
  <c r="E77" i="3"/>
  <c r="D77" i="3"/>
  <c r="C77" i="3"/>
  <c r="B77" i="3"/>
  <c r="G76" i="3"/>
  <c r="F76" i="3"/>
  <c r="E76" i="3"/>
  <c r="D76" i="3"/>
  <c r="C76" i="3"/>
  <c r="B76" i="3"/>
  <c r="G75" i="3"/>
  <c r="F75" i="3"/>
  <c r="E75" i="3"/>
  <c r="D75" i="3"/>
  <c r="C75" i="3"/>
  <c r="B75" i="3"/>
  <c r="G74" i="3"/>
  <c r="F74" i="3"/>
  <c r="E74" i="3"/>
  <c r="D74" i="3"/>
  <c r="C74" i="3"/>
  <c r="B74" i="3"/>
  <c r="G73" i="3"/>
  <c r="F73" i="3"/>
  <c r="E73" i="3"/>
  <c r="D73" i="3"/>
  <c r="C73" i="3"/>
  <c r="B73" i="3"/>
  <c r="G72" i="3"/>
  <c r="F72" i="3"/>
  <c r="E72" i="3"/>
  <c r="D72" i="3"/>
  <c r="C72" i="3"/>
  <c r="B72" i="3"/>
  <c r="G71" i="3"/>
  <c r="F71" i="3"/>
  <c r="E71" i="3"/>
  <c r="D71" i="3"/>
  <c r="C71" i="3"/>
  <c r="B71" i="3"/>
  <c r="G70" i="3"/>
  <c r="F70" i="3"/>
  <c r="E70" i="3"/>
  <c r="D70" i="3"/>
  <c r="C70" i="3"/>
  <c r="B70" i="3"/>
  <c r="G69" i="3"/>
  <c r="F69" i="3"/>
  <c r="E69" i="3"/>
  <c r="D69" i="3"/>
  <c r="C69" i="3"/>
  <c r="B69" i="3"/>
  <c r="G68" i="3"/>
  <c r="F68" i="3"/>
  <c r="E68" i="3"/>
  <c r="D68" i="3"/>
  <c r="C68" i="3"/>
  <c r="B68" i="3"/>
  <c r="G67" i="3"/>
  <c r="F67" i="3"/>
  <c r="E67" i="3"/>
  <c r="D67" i="3"/>
  <c r="C67" i="3"/>
  <c r="B67" i="3"/>
  <c r="G66" i="3"/>
  <c r="F66" i="3"/>
  <c r="E66" i="3"/>
  <c r="D66" i="3"/>
  <c r="C66" i="3"/>
  <c r="B66" i="3"/>
  <c r="G65" i="3"/>
  <c r="F65" i="3"/>
  <c r="E65" i="3"/>
  <c r="D65" i="3"/>
  <c r="C65" i="3"/>
  <c r="B65" i="3"/>
  <c r="G64" i="3"/>
  <c r="F64" i="3"/>
  <c r="E64" i="3"/>
  <c r="D64" i="3"/>
  <c r="C64" i="3"/>
  <c r="B64" i="3"/>
  <c r="G63" i="3"/>
  <c r="F63" i="3"/>
  <c r="E63" i="3"/>
  <c r="D63" i="3"/>
  <c r="C63" i="3"/>
  <c r="B63" i="3"/>
  <c r="G62" i="3"/>
  <c r="F62" i="3"/>
  <c r="E62" i="3"/>
  <c r="D62" i="3"/>
  <c r="C62" i="3"/>
  <c r="B62" i="3"/>
  <c r="G61" i="3"/>
  <c r="F61" i="3"/>
  <c r="E61" i="3"/>
  <c r="D61" i="3"/>
  <c r="C61" i="3"/>
  <c r="B61" i="3"/>
  <c r="G60" i="3"/>
  <c r="F60" i="3"/>
  <c r="E60" i="3"/>
  <c r="D60" i="3"/>
  <c r="C60" i="3"/>
  <c r="B60" i="3"/>
  <c r="G59" i="3"/>
  <c r="F59" i="3"/>
  <c r="E59" i="3"/>
  <c r="D59" i="3"/>
  <c r="C59" i="3"/>
  <c r="B59" i="3"/>
  <c r="G58" i="3"/>
  <c r="F58" i="3"/>
  <c r="E58" i="3"/>
  <c r="D58" i="3"/>
  <c r="C58" i="3"/>
  <c r="B58" i="3"/>
  <c r="G57" i="3"/>
  <c r="F57" i="3"/>
  <c r="E57" i="3"/>
  <c r="D57" i="3"/>
  <c r="C57" i="3"/>
  <c r="B57" i="3"/>
  <c r="G56" i="3"/>
  <c r="F56" i="3"/>
  <c r="E56" i="3"/>
  <c r="D56" i="3"/>
  <c r="C56" i="3"/>
  <c r="B56" i="3"/>
  <c r="G55" i="3"/>
  <c r="F55" i="3"/>
  <c r="E55" i="3"/>
  <c r="D55" i="3"/>
  <c r="C55" i="3"/>
  <c r="B55" i="3"/>
  <c r="G54" i="3"/>
  <c r="F54" i="3"/>
  <c r="E54" i="3"/>
  <c r="D54" i="3"/>
  <c r="C54" i="3"/>
  <c r="B54" i="3"/>
  <c r="G53" i="3"/>
  <c r="F53" i="3"/>
  <c r="E53" i="3"/>
  <c r="D53" i="3"/>
  <c r="C53" i="3"/>
  <c r="B53" i="3"/>
  <c r="G52" i="3"/>
  <c r="F52" i="3"/>
  <c r="E52" i="3"/>
  <c r="D52" i="3"/>
  <c r="C52" i="3"/>
  <c r="B52" i="3"/>
  <c r="G51" i="3"/>
  <c r="F51" i="3"/>
  <c r="E51" i="3"/>
  <c r="D51" i="3"/>
  <c r="C51" i="3"/>
  <c r="B51" i="3"/>
  <c r="G50" i="3"/>
  <c r="F50" i="3"/>
  <c r="E50" i="3"/>
  <c r="D50" i="3"/>
  <c r="C50" i="3"/>
  <c r="B50" i="3"/>
  <c r="G49" i="3"/>
  <c r="F49" i="3"/>
  <c r="E49" i="3"/>
  <c r="D49" i="3"/>
  <c r="C49" i="3"/>
  <c r="B49" i="3"/>
  <c r="G48" i="3"/>
  <c r="F48" i="3"/>
  <c r="E48" i="3"/>
  <c r="D48" i="3"/>
  <c r="C48" i="3"/>
  <c r="B48" i="3"/>
  <c r="G47" i="3"/>
  <c r="F47" i="3"/>
  <c r="E47" i="3"/>
  <c r="D47" i="3"/>
  <c r="C47" i="3"/>
  <c r="B47" i="3"/>
  <c r="G46" i="3"/>
  <c r="F46" i="3"/>
  <c r="E46" i="3"/>
  <c r="D46" i="3"/>
  <c r="C46" i="3"/>
  <c r="B46" i="3"/>
  <c r="G45" i="3"/>
  <c r="F45" i="3"/>
  <c r="E45" i="3"/>
  <c r="D45" i="3"/>
  <c r="C45" i="3"/>
  <c r="B45" i="3"/>
  <c r="G44" i="3"/>
  <c r="F44" i="3"/>
  <c r="E44" i="3"/>
  <c r="D44" i="3"/>
  <c r="C44" i="3"/>
  <c r="B44" i="3"/>
  <c r="G43" i="3"/>
  <c r="F43" i="3"/>
  <c r="E43" i="3"/>
  <c r="D43" i="3"/>
  <c r="C43" i="3"/>
  <c r="B43" i="3"/>
  <c r="G42" i="3"/>
  <c r="F42" i="3"/>
  <c r="E42" i="3"/>
  <c r="D42" i="3"/>
  <c r="C42" i="3"/>
  <c r="B42" i="3"/>
  <c r="G41" i="3"/>
  <c r="F41" i="3"/>
  <c r="E41" i="3"/>
  <c r="D41" i="3"/>
  <c r="C41" i="3"/>
  <c r="B41" i="3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37" i="3"/>
  <c r="F37" i="3"/>
  <c r="E37" i="3"/>
  <c r="D37" i="3"/>
  <c r="C37" i="3"/>
  <c r="B37" i="3"/>
  <c r="G36" i="3"/>
  <c r="F36" i="3"/>
  <c r="E36" i="3"/>
  <c r="D36" i="3"/>
  <c r="C36" i="3"/>
  <c r="B36" i="3"/>
  <c r="G35" i="3"/>
  <c r="F35" i="3"/>
  <c r="E35" i="3"/>
  <c r="D35" i="3"/>
  <c r="C35" i="3"/>
  <c r="B35" i="3"/>
  <c r="G34" i="3"/>
  <c r="F34" i="3"/>
  <c r="E34" i="3"/>
  <c r="D34" i="3"/>
  <c r="C34" i="3"/>
  <c r="B34" i="3"/>
  <c r="G33" i="3"/>
  <c r="F33" i="3"/>
  <c r="E33" i="3"/>
  <c r="D33" i="3"/>
  <c r="C33" i="3"/>
  <c r="B33" i="3"/>
  <c r="G32" i="3"/>
  <c r="F32" i="3"/>
  <c r="E32" i="3"/>
  <c r="D32" i="3"/>
  <c r="C32" i="3"/>
  <c r="B32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E28" i="3"/>
  <c r="D28" i="3"/>
  <c r="C28" i="3"/>
  <c r="B28" i="3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G21" i="3"/>
  <c r="F21" i="3"/>
  <c r="E21" i="3"/>
  <c r="D21" i="3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G4" i="3"/>
  <c r="F4" i="3"/>
  <c r="E4" i="3"/>
  <c r="D4" i="3"/>
  <c r="C4" i="3"/>
  <c r="B4" i="3"/>
  <c r="G3" i="3"/>
  <c r="F3" i="3"/>
  <c r="E3" i="3"/>
  <c r="D3" i="3"/>
  <c r="C3" i="3"/>
  <c r="B3" i="3"/>
  <c r="B2" i="3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189" i="1"/>
  <c r="L202" i="1"/>
  <c r="K202" i="1"/>
  <c r="J202" i="1"/>
  <c r="I202" i="1"/>
  <c r="L201" i="1"/>
  <c r="K201" i="1"/>
  <c r="J201" i="1"/>
  <c r="I201" i="1"/>
  <c r="L200" i="1"/>
  <c r="K200" i="1"/>
  <c r="J200" i="1"/>
  <c r="I200" i="1"/>
  <c r="L199" i="1"/>
  <c r="K199" i="1"/>
  <c r="J199" i="1"/>
  <c r="I199" i="1"/>
  <c r="L198" i="1"/>
  <c r="K198" i="1"/>
  <c r="J198" i="1"/>
  <c r="I198" i="1"/>
  <c r="L197" i="1"/>
  <c r="K197" i="1"/>
  <c r="J197" i="1"/>
  <c r="I197" i="1"/>
  <c r="L196" i="1"/>
  <c r="K196" i="1"/>
  <c r="J196" i="1"/>
  <c r="I196" i="1"/>
  <c r="L195" i="1"/>
  <c r="K195" i="1"/>
  <c r="J195" i="1"/>
  <c r="I195" i="1"/>
  <c r="L194" i="1"/>
  <c r="K194" i="1"/>
  <c r="J194" i="1"/>
  <c r="I194" i="1"/>
  <c r="L193" i="1"/>
  <c r="K193" i="1"/>
  <c r="J193" i="1"/>
  <c r="I193" i="1"/>
  <c r="L192" i="1"/>
  <c r="K192" i="1"/>
  <c r="J192" i="1"/>
  <c r="I192" i="1"/>
  <c r="L191" i="1"/>
  <c r="K191" i="1"/>
  <c r="J191" i="1"/>
  <c r="I191" i="1"/>
  <c r="L190" i="1"/>
  <c r="K190" i="1"/>
  <c r="J190" i="1"/>
  <c r="I190" i="1"/>
  <c r="L189" i="1"/>
  <c r="K189" i="1"/>
  <c r="J189" i="1"/>
  <c r="I189" i="1"/>
  <c r="L188" i="1"/>
  <c r="K188" i="1"/>
  <c r="J188" i="1"/>
  <c r="I188" i="1"/>
  <c r="L187" i="1"/>
  <c r="K187" i="1"/>
  <c r="J187" i="1"/>
  <c r="I187" i="1"/>
  <c r="L186" i="1"/>
  <c r="K186" i="1"/>
  <c r="J186" i="1"/>
  <c r="I186" i="1"/>
  <c r="L185" i="1"/>
  <c r="K185" i="1"/>
  <c r="J185" i="1"/>
  <c r="I185" i="1"/>
  <c r="L184" i="1"/>
  <c r="K184" i="1"/>
  <c r="J184" i="1"/>
  <c r="I184" i="1"/>
  <c r="L183" i="1"/>
  <c r="K183" i="1"/>
  <c r="J183" i="1"/>
  <c r="I183" i="1"/>
  <c r="L182" i="1"/>
  <c r="K182" i="1"/>
  <c r="J182" i="1"/>
  <c r="I182" i="1"/>
  <c r="L181" i="1"/>
  <c r="K181" i="1"/>
  <c r="J181" i="1"/>
  <c r="I181" i="1"/>
  <c r="L180" i="1"/>
  <c r="K180" i="1"/>
  <c r="J180" i="1"/>
  <c r="I180" i="1"/>
  <c r="L179" i="1"/>
  <c r="K179" i="1"/>
  <c r="J179" i="1"/>
  <c r="I179" i="1"/>
  <c r="L178" i="1"/>
  <c r="K178" i="1"/>
  <c r="J178" i="1"/>
  <c r="I178" i="1"/>
  <c r="L177" i="1"/>
  <c r="K177" i="1"/>
  <c r="J177" i="1"/>
  <c r="I177" i="1"/>
  <c r="L176" i="1"/>
  <c r="K176" i="1"/>
  <c r="J176" i="1"/>
  <c r="I176" i="1"/>
  <c r="L175" i="1"/>
  <c r="K175" i="1"/>
  <c r="J175" i="1"/>
  <c r="I175" i="1"/>
  <c r="L174" i="1"/>
  <c r="K174" i="1"/>
  <c r="J174" i="1"/>
  <c r="I174" i="1"/>
  <c r="L173" i="1"/>
  <c r="K173" i="1"/>
  <c r="J173" i="1"/>
  <c r="I173" i="1"/>
  <c r="L172" i="1"/>
  <c r="K172" i="1"/>
  <c r="J172" i="1"/>
  <c r="I172" i="1"/>
  <c r="L171" i="1"/>
  <c r="K171" i="1"/>
  <c r="J171" i="1"/>
  <c r="I171" i="1"/>
  <c r="L170" i="1"/>
  <c r="K170" i="1"/>
  <c r="J170" i="1"/>
  <c r="I170" i="1"/>
  <c r="L169" i="1"/>
  <c r="K169" i="1"/>
  <c r="J169" i="1"/>
  <c r="I169" i="1"/>
  <c r="L168" i="1"/>
  <c r="K168" i="1"/>
  <c r="J168" i="1"/>
  <c r="I168" i="1"/>
  <c r="L167" i="1"/>
  <c r="K167" i="1"/>
  <c r="J167" i="1"/>
  <c r="I167" i="1"/>
  <c r="L166" i="1"/>
  <c r="K166" i="1"/>
  <c r="J166" i="1"/>
  <c r="I166" i="1"/>
  <c r="L165" i="1"/>
  <c r="K165" i="1"/>
  <c r="J165" i="1"/>
  <c r="I165" i="1"/>
  <c r="L164" i="1"/>
  <c r="K164" i="1"/>
  <c r="J164" i="1"/>
  <c r="I164" i="1"/>
  <c r="L163" i="1"/>
  <c r="K163" i="1"/>
  <c r="J163" i="1"/>
  <c r="I163" i="1"/>
  <c r="L162" i="1"/>
  <c r="K162" i="1"/>
  <c r="J162" i="1"/>
  <c r="I162" i="1"/>
  <c r="L161" i="1"/>
  <c r="K161" i="1"/>
  <c r="J161" i="1"/>
  <c r="I161" i="1"/>
  <c r="L160" i="1"/>
  <c r="K160" i="1"/>
  <c r="J160" i="1"/>
  <c r="I160" i="1"/>
  <c r="L159" i="1"/>
  <c r="K159" i="1"/>
  <c r="J159" i="1"/>
  <c r="I159" i="1"/>
  <c r="L158" i="1"/>
  <c r="K158" i="1"/>
  <c r="J158" i="1"/>
  <c r="I158" i="1"/>
  <c r="L157" i="1"/>
  <c r="K157" i="1"/>
  <c r="J157" i="1"/>
  <c r="I157" i="1"/>
  <c r="L156" i="1"/>
  <c r="K156" i="1"/>
  <c r="J156" i="1"/>
  <c r="I156" i="1"/>
  <c r="L155" i="1"/>
  <c r="K155" i="1"/>
  <c r="J155" i="1"/>
  <c r="I155" i="1"/>
  <c r="L154" i="1"/>
  <c r="K154" i="1"/>
  <c r="J154" i="1"/>
  <c r="I154" i="1"/>
  <c r="L153" i="1"/>
  <c r="K153" i="1"/>
  <c r="J153" i="1"/>
  <c r="I153" i="1"/>
  <c r="L152" i="1"/>
  <c r="K152" i="1"/>
  <c r="J152" i="1"/>
  <c r="I152" i="1"/>
  <c r="L151" i="1"/>
  <c r="K151" i="1"/>
  <c r="J151" i="1"/>
  <c r="I151" i="1"/>
  <c r="L150" i="1"/>
  <c r="K150" i="1"/>
  <c r="J150" i="1"/>
  <c r="I150" i="1"/>
  <c r="L149" i="1"/>
  <c r="K149" i="1"/>
  <c r="J149" i="1"/>
  <c r="I149" i="1"/>
  <c r="L148" i="1"/>
  <c r="K148" i="1"/>
  <c r="J148" i="1"/>
  <c r="I148" i="1"/>
  <c r="L147" i="1"/>
  <c r="K147" i="1"/>
  <c r="J147" i="1"/>
  <c r="I147" i="1"/>
  <c r="L146" i="1"/>
  <c r="K146" i="1"/>
  <c r="J146" i="1"/>
  <c r="I146" i="1"/>
  <c r="L145" i="1"/>
  <c r="K145" i="1"/>
  <c r="J145" i="1"/>
  <c r="I145" i="1"/>
  <c r="L144" i="1"/>
  <c r="K144" i="1"/>
  <c r="J144" i="1"/>
  <c r="I144" i="1"/>
  <c r="L143" i="1"/>
  <c r="K143" i="1"/>
  <c r="J143" i="1"/>
  <c r="I143" i="1"/>
  <c r="L142" i="1"/>
  <c r="K142" i="1"/>
  <c r="J142" i="1"/>
  <c r="I142" i="1"/>
  <c r="L141" i="1"/>
  <c r="K141" i="1"/>
  <c r="J141" i="1"/>
  <c r="I141" i="1"/>
  <c r="L140" i="1"/>
  <c r="K140" i="1"/>
  <c r="J140" i="1"/>
  <c r="I140" i="1"/>
  <c r="L139" i="1"/>
  <c r="K139" i="1"/>
  <c r="J139" i="1"/>
  <c r="I139" i="1"/>
  <c r="L138" i="1"/>
  <c r="K138" i="1"/>
  <c r="J138" i="1"/>
  <c r="I138" i="1"/>
  <c r="L137" i="1"/>
  <c r="K137" i="1"/>
  <c r="J137" i="1"/>
  <c r="I137" i="1"/>
  <c r="L136" i="1"/>
  <c r="K136" i="1"/>
  <c r="J136" i="1"/>
  <c r="I136" i="1"/>
  <c r="L135" i="1"/>
  <c r="K135" i="1"/>
  <c r="J135" i="1"/>
  <c r="I135" i="1"/>
  <c r="L134" i="1"/>
  <c r="K134" i="1"/>
  <c r="J134" i="1"/>
  <c r="I134" i="1"/>
  <c r="L133" i="1"/>
  <c r="K133" i="1"/>
  <c r="J133" i="1"/>
  <c r="I133" i="1"/>
  <c r="L132" i="1"/>
  <c r="K132" i="1"/>
  <c r="J132" i="1"/>
  <c r="I132" i="1"/>
  <c r="L131" i="1"/>
  <c r="K131" i="1"/>
  <c r="J131" i="1"/>
  <c r="I131" i="1"/>
  <c r="L130" i="1"/>
  <c r="K130" i="1"/>
  <c r="J130" i="1"/>
  <c r="I130" i="1"/>
  <c r="L129" i="1"/>
  <c r="K129" i="1"/>
  <c r="J129" i="1"/>
  <c r="I129" i="1"/>
  <c r="L128" i="1"/>
  <c r="K128" i="1"/>
  <c r="J128" i="1"/>
  <c r="I128" i="1"/>
  <c r="L127" i="1"/>
  <c r="K127" i="1"/>
  <c r="J127" i="1"/>
  <c r="I127" i="1"/>
  <c r="L126" i="1"/>
  <c r="K126" i="1"/>
  <c r="J126" i="1"/>
  <c r="I126" i="1"/>
  <c r="L125" i="1"/>
  <c r="K125" i="1"/>
  <c r="J125" i="1"/>
  <c r="I125" i="1"/>
  <c r="L124" i="1"/>
  <c r="K124" i="1"/>
  <c r="J124" i="1"/>
  <c r="I124" i="1"/>
  <c r="L123" i="1"/>
  <c r="K123" i="1"/>
  <c r="J123" i="1"/>
  <c r="I123" i="1"/>
  <c r="L122" i="1"/>
  <c r="K122" i="1"/>
  <c r="J122" i="1"/>
  <c r="I122" i="1"/>
  <c r="L121" i="1"/>
  <c r="K121" i="1"/>
  <c r="J121" i="1"/>
  <c r="I121" i="1"/>
  <c r="L120" i="1"/>
  <c r="K120" i="1"/>
  <c r="J120" i="1"/>
  <c r="I120" i="1"/>
  <c r="L119" i="1"/>
  <c r="K119" i="1"/>
  <c r="J119" i="1"/>
  <c r="I119" i="1"/>
  <c r="L118" i="1"/>
  <c r="K118" i="1"/>
  <c r="J118" i="1"/>
  <c r="I118" i="1"/>
  <c r="L117" i="1"/>
  <c r="K117" i="1"/>
  <c r="J117" i="1"/>
  <c r="I117" i="1"/>
  <c r="L116" i="1"/>
  <c r="K116" i="1"/>
  <c r="J116" i="1"/>
  <c r="I116" i="1"/>
  <c r="L115" i="1"/>
  <c r="K115" i="1"/>
  <c r="J115" i="1"/>
  <c r="I115" i="1"/>
  <c r="L114" i="1"/>
  <c r="K114" i="1"/>
  <c r="J114" i="1"/>
  <c r="I114" i="1"/>
  <c r="L113" i="1"/>
  <c r="K113" i="1"/>
  <c r="J113" i="1"/>
  <c r="I113" i="1"/>
  <c r="L112" i="1"/>
  <c r="K112" i="1"/>
  <c r="J112" i="1"/>
  <c r="I112" i="1"/>
  <c r="L111" i="1"/>
  <c r="K111" i="1"/>
  <c r="J111" i="1"/>
  <c r="I111" i="1"/>
  <c r="L110" i="1"/>
  <c r="K110" i="1"/>
  <c r="J110" i="1"/>
  <c r="I110" i="1"/>
  <c r="L109" i="1"/>
  <c r="K109" i="1"/>
  <c r="J109" i="1"/>
  <c r="I109" i="1"/>
  <c r="L108" i="1"/>
  <c r="K108" i="1"/>
  <c r="J108" i="1"/>
  <c r="I108" i="1"/>
  <c r="L107" i="1"/>
  <c r="K107" i="1"/>
  <c r="J107" i="1"/>
  <c r="I107" i="1"/>
  <c r="L106" i="1"/>
  <c r="K106" i="1"/>
  <c r="J106" i="1"/>
  <c r="I106" i="1"/>
  <c r="L105" i="1"/>
  <c r="K105" i="1"/>
  <c r="J105" i="1"/>
  <c r="I105" i="1"/>
  <c r="L104" i="1"/>
  <c r="K104" i="1"/>
  <c r="J104" i="1"/>
  <c r="I104" i="1"/>
  <c r="L103" i="1"/>
  <c r="K103" i="1"/>
  <c r="J103" i="1"/>
  <c r="I103" i="1"/>
  <c r="L102" i="1"/>
  <c r="K102" i="1"/>
  <c r="J102" i="1"/>
  <c r="I102" i="1"/>
  <c r="L101" i="1"/>
  <c r="K101" i="1"/>
  <c r="J101" i="1"/>
  <c r="I101" i="1"/>
  <c r="L100" i="1"/>
  <c r="K100" i="1"/>
  <c r="J100" i="1"/>
  <c r="I100" i="1"/>
  <c r="L99" i="1"/>
  <c r="K99" i="1"/>
  <c r="J99" i="1"/>
  <c r="I99" i="1"/>
  <c r="L98" i="1"/>
  <c r="K98" i="1"/>
  <c r="J98" i="1"/>
  <c r="I98" i="1"/>
  <c r="L97" i="1"/>
  <c r="K97" i="1"/>
  <c r="J97" i="1"/>
  <c r="I97" i="1"/>
  <c r="L96" i="1"/>
  <c r="K96" i="1"/>
  <c r="J96" i="1"/>
  <c r="I96" i="1"/>
  <c r="L95" i="1"/>
  <c r="K95" i="1"/>
  <c r="J95" i="1"/>
  <c r="I95" i="1"/>
  <c r="L94" i="1"/>
  <c r="K94" i="1"/>
  <c r="J94" i="1"/>
  <c r="I94" i="1"/>
  <c r="L93" i="1"/>
  <c r="K93" i="1"/>
  <c r="J93" i="1"/>
  <c r="I93" i="1"/>
  <c r="L92" i="1"/>
  <c r="K92" i="1"/>
  <c r="J92" i="1"/>
  <c r="I92" i="1"/>
  <c r="L91" i="1"/>
  <c r="K91" i="1"/>
  <c r="J91" i="1"/>
  <c r="I91" i="1"/>
  <c r="L90" i="1"/>
  <c r="K90" i="1"/>
  <c r="J90" i="1"/>
  <c r="I90" i="1"/>
  <c r="L89" i="1"/>
  <c r="K89" i="1"/>
  <c r="J89" i="1"/>
  <c r="I89" i="1"/>
  <c r="L88" i="1"/>
  <c r="K88" i="1"/>
  <c r="J88" i="1"/>
  <c r="I88" i="1"/>
  <c r="L87" i="1"/>
  <c r="K87" i="1"/>
  <c r="J87" i="1"/>
  <c r="I87" i="1"/>
  <c r="L86" i="1"/>
  <c r="K86" i="1"/>
  <c r="J86" i="1"/>
  <c r="I86" i="1"/>
  <c r="L85" i="1"/>
  <c r="K85" i="1"/>
  <c r="J85" i="1"/>
  <c r="I85" i="1"/>
  <c r="L84" i="1"/>
  <c r="K84" i="1"/>
  <c r="J84" i="1"/>
  <c r="I84" i="1"/>
  <c r="L83" i="1"/>
  <c r="K83" i="1"/>
  <c r="J83" i="1"/>
  <c r="I83" i="1"/>
  <c r="L82" i="1"/>
  <c r="K82" i="1"/>
  <c r="J82" i="1"/>
  <c r="I82" i="1"/>
  <c r="L81" i="1"/>
  <c r="K81" i="1"/>
  <c r="J81" i="1"/>
  <c r="I81" i="1"/>
  <c r="L80" i="1"/>
  <c r="K80" i="1"/>
  <c r="J80" i="1"/>
  <c r="I80" i="1"/>
  <c r="L79" i="1"/>
  <c r="K79" i="1"/>
  <c r="J79" i="1"/>
  <c r="I79" i="1"/>
  <c r="L78" i="1"/>
  <c r="K78" i="1"/>
  <c r="J78" i="1"/>
  <c r="I78" i="1"/>
  <c r="L77" i="1"/>
  <c r="K77" i="1"/>
  <c r="J77" i="1"/>
  <c r="I77" i="1"/>
  <c r="L76" i="1"/>
  <c r="K76" i="1"/>
  <c r="J76" i="1"/>
  <c r="I76" i="1"/>
  <c r="L75" i="1"/>
  <c r="K75" i="1"/>
  <c r="J75" i="1"/>
  <c r="I75" i="1"/>
  <c r="L74" i="1"/>
  <c r="K74" i="1"/>
  <c r="J74" i="1"/>
  <c r="I74" i="1"/>
  <c r="L73" i="1"/>
  <c r="K73" i="1"/>
  <c r="J73" i="1"/>
  <c r="I73" i="1"/>
  <c r="L72" i="1"/>
  <c r="K72" i="1"/>
  <c r="J72" i="1"/>
  <c r="I72" i="1"/>
  <c r="L71" i="1"/>
  <c r="K71" i="1"/>
  <c r="J71" i="1"/>
  <c r="I71" i="1"/>
  <c r="L70" i="1"/>
  <c r="K70" i="1"/>
  <c r="J70" i="1"/>
  <c r="I70" i="1"/>
  <c r="L69" i="1"/>
  <c r="K69" i="1"/>
  <c r="J69" i="1"/>
  <c r="I69" i="1"/>
  <c r="L68" i="1"/>
  <c r="K68" i="1"/>
  <c r="J68" i="1"/>
  <c r="I68" i="1"/>
  <c r="L67" i="1"/>
  <c r="K67" i="1"/>
  <c r="J67" i="1"/>
  <c r="I67" i="1"/>
  <c r="L66" i="1"/>
  <c r="K66" i="1"/>
  <c r="J66" i="1"/>
  <c r="I66" i="1"/>
  <c r="L65" i="1"/>
  <c r="K65" i="1"/>
  <c r="J65" i="1"/>
  <c r="I65" i="1"/>
  <c r="L64" i="1"/>
  <c r="K64" i="1"/>
  <c r="J64" i="1"/>
  <c r="I64" i="1"/>
  <c r="L63" i="1"/>
  <c r="K63" i="1"/>
  <c r="J63" i="1"/>
  <c r="I63" i="1"/>
  <c r="L62" i="1"/>
  <c r="K62" i="1"/>
  <c r="J62" i="1"/>
  <c r="I62" i="1"/>
  <c r="L61" i="1"/>
  <c r="K61" i="1"/>
  <c r="J61" i="1"/>
  <c r="I61" i="1"/>
  <c r="L60" i="1"/>
  <c r="K60" i="1"/>
  <c r="J60" i="1"/>
  <c r="I60" i="1"/>
  <c r="L59" i="1"/>
  <c r="K59" i="1"/>
  <c r="J59" i="1"/>
  <c r="I59" i="1"/>
  <c r="L58" i="1"/>
  <c r="K58" i="1"/>
  <c r="J58" i="1"/>
  <c r="I58" i="1"/>
  <c r="L57" i="1"/>
  <c r="K57" i="1"/>
  <c r="J57" i="1"/>
  <c r="I57" i="1"/>
  <c r="L56" i="1"/>
  <c r="K56" i="1"/>
  <c r="J56" i="1"/>
  <c r="I56" i="1"/>
  <c r="L55" i="1"/>
  <c r="K55" i="1"/>
  <c r="J55" i="1"/>
  <c r="I55" i="1"/>
  <c r="L54" i="1"/>
  <c r="K54" i="1"/>
  <c r="J54" i="1"/>
  <c r="I54" i="1"/>
  <c r="L53" i="1"/>
  <c r="K53" i="1"/>
  <c r="J53" i="1"/>
  <c r="I53" i="1"/>
  <c r="L52" i="1"/>
  <c r="K52" i="1"/>
  <c r="J52" i="1"/>
  <c r="I52" i="1"/>
  <c r="L51" i="1"/>
  <c r="K51" i="1"/>
  <c r="J51" i="1"/>
  <c r="I51" i="1"/>
  <c r="L50" i="1"/>
  <c r="K50" i="1"/>
  <c r="J50" i="1"/>
  <c r="I50" i="1"/>
  <c r="L49" i="1"/>
  <c r="K49" i="1"/>
  <c r="J49" i="1"/>
  <c r="I49" i="1"/>
  <c r="L48" i="1"/>
  <c r="K48" i="1"/>
  <c r="J48" i="1"/>
  <c r="I48" i="1"/>
  <c r="L47" i="1"/>
  <c r="K47" i="1"/>
  <c r="J47" i="1"/>
  <c r="I47" i="1"/>
  <c r="L46" i="1"/>
  <c r="K46" i="1"/>
  <c r="J46" i="1"/>
  <c r="I46" i="1"/>
  <c r="L45" i="1"/>
  <c r="K45" i="1"/>
  <c r="J45" i="1"/>
  <c r="I45" i="1"/>
  <c r="L44" i="1"/>
  <c r="K44" i="1"/>
  <c r="J44" i="1"/>
  <c r="I44" i="1"/>
  <c r="L43" i="1"/>
  <c r="K43" i="1"/>
  <c r="J43" i="1"/>
  <c r="I43" i="1"/>
  <c r="L42" i="1"/>
  <c r="K42" i="1"/>
  <c r="J42" i="1"/>
  <c r="I42" i="1"/>
  <c r="L41" i="1"/>
  <c r="K41" i="1"/>
  <c r="J41" i="1"/>
  <c r="I41" i="1"/>
  <c r="L40" i="1"/>
  <c r="K40" i="1"/>
  <c r="J40" i="1"/>
  <c r="I40" i="1"/>
  <c r="L39" i="1"/>
  <c r="K39" i="1"/>
  <c r="J39" i="1"/>
  <c r="I39" i="1"/>
  <c r="L38" i="1"/>
  <c r="K38" i="1"/>
  <c r="J38" i="1"/>
  <c r="I38" i="1"/>
  <c r="L37" i="1"/>
  <c r="K37" i="1"/>
  <c r="J37" i="1"/>
  <c r="I37" i="1"/>
  <c r="L36" i="1"/>
  <c r="K36" i="1"/>
  <c r="J36" i="1"/>
  <c r="I36" i="1"/>
  <c r="L35" i="1"/>
  <c r="K35" i="1"/>
  <c r="J35" i="1"/>
  <c r="I35" i="1"/>
  <c r="L34" i="1"/>
  <c r="K34" i="1"/>
  <c r="J34" i="1"/>
  <c r="I34" i="1"/>
  <c r="L33" i="1"/>
  <c r="K33" i="1"/>
  <c r="J33" i="1"/>
  <c r="I33" i="1"/>
  <c r="L32" i="1"/>
  <c r="K32" i="1"/>
  <c r="J32" i="1"/>
  <c r="I32" i="1"/>
  <c r="L31" i="1"/>
  <c r="K31" i="1"/>
  <c r="J31" i="1"/>
  <c r="I31" i="1"/>
  <c r="L30" i="1"/>
  <c r="K30" i="1"/>
  <c r="J30" i="1"/>
  <c r="I30" i="1"/>
  <c r="L29" i="1"/>
  <c r="K29" i="1"/>
  <c r="J29" i="1"/>
  <c r="I29" i="1"/>
  <c r="L28" i="1"/>
  <c r="K28" i="1"/>
  <c r="J28" i="1"/>
  <c r="I28" i="1"/>
  <c r="L27" i="1"/>
  <c r="K27" i="1"/>
  <c r="J27" i="1"/>
  <c r="I27" i="1"/>
  <c r="L26" i="1"/>
  <c r="K26" i="1"/>
  <c r="J26" i="1"/>
  <c r="I26" i="1"/>
  <c r="L25" i="1"/>
  <c r="K25" i="1"/>
  <c r="J25" i="1"/>
  <c r="I25" i="1"/>
  <c r="L24" i="1"/>
  <c r="K24" i="1"/>
  <c r="J24" i="1"/>
  <c r="I24" i="1"/>
  <c r="L23" i="1"/>
  <c r="K23" i="1"/>
  <c r="J23" i="1"/>
  <c r="I23" i="1"/>
  <c r="L22" i="1"/>
  <c r="K22" i="1"/>
  <c r="J22" i="1"/>
  <c r="I22" i="1"/>
  <c r="L21" i="1"/>
  <c r="K21" i="1"/>
  <c r="J21" i="1"/>
  <c r="I21" i="1"/>
  <c r="L20" i="1"/>
  <c r="K20" i="1"/>
  <c r="J20" i="1"/>
  <c r="I20" i="1"/>
  <c r="L19" i="1"/>
  <c r="K19" i="1"/>
  <c r="J19" i="1"/>
  <c r="I19" i="1"/>
  <c r="L18" i="1"/>
  <c r="K18" i="1"/>
  <c r="J18" i="1"/>
  <c r="I18" i="1"/>
  <c r="L17" i="1"/>
  <c r="K17" i="1"/>
  <c r="J17" i="1"/>
  <c r="I17" i="1"/>
  <c r="L16" i="1"/>
  <c r="K16" i="1"/>
  <c r="J16" i="1"/>
  <c r="I16" i="1"/>
  <c r="L15" i="1"/>
  <c r="K15" i="1"/>
  <c r="J15" i="1"/>
  <c r="I15" i="1"/>
  <c r="L14" i="1"/>
  <c r="K14" i="1"/>
  <c r="J14" i="1"/>
  <c r="I14" i="1"/>
  <c r="L13" i="1"/>
  <c r="K13" i="1"/>
  <c r="J13" i="1"/>
  <c r="I13" i="1"/>
  <c r="L12" i="1"/>
  <c r="K12" i="1"/>
  <c r="J12" i="1"/>
  <c r="I12" i="1"/>
  <c r="L11" i="1"/>
  <c r="K11" i="1"/>
  <c r="J11" i="1"/>
  <c r="I11" i="1"/>
  <c r="L10" i="1"/>
  <c r="K10" i="1"/>
  <c r="J10" i="1"/>
  <c r="I10" i="1"/>
  <c r="L9" i="1"/>
  <c r="K9" i="1"/>
  <c r="J9" i="1"/>
  <c r="I9" i="1"/>
  <c r="L8" i="1"/>
  <c r="K8" i="1"/>
  <c r="J8" i="1"/>
  <c r="I8" i="1"/>
  <c r="L7" i="1"/>
  <c r="K7" i="1"/>
  <c r="J7" i="1"/>
  <c r="I7" i="1"/>
  <c r="L6" i="1"/>
  <c r="K6" i="1"/>
  <c r="J6" i="1"/>
  <c r="I6" i="1"/>
  <c r="L5" i="1"/>
  <c r="K5" i="1"/>
  <c r="J5" i="1"/>
  <c r="I5" i="1"/>
  <c r="L4" i="1"/>
  <c r="K4" i="1"/>
  <c r="J4" i="1"/>
  <c r="I4" i="1"/>
  <c r="L3" i="1"/>
  <c r="K3" i="1"/>
  <c r="J3" i="1"/>
  <c r="I3" i="1"/>
  <c r="L2" i="1"/>
  <c r="K2" i="1"/>
  <c r="J2" i="1"/>
  <c r="I2" i="1"/>
  <c r="G198" i="1"/>
  <c r="F198" i="1"/>
  <c r="E198" i="1"/>
  <c r="D198" i="1"/>
  <c r="C198" i="1"/>
  <c r="B198" i="1"/>
  <c r="G197" i="1"/>
  <c r="F197" i="1"/>
  <c r="E197" i="1"/>
  <c r="D197" i="1"/>
  <c r="C197" i="1"/>
  <c r="B197" i="1"/>
  <c r="G196" i="1"/>
  <c r="F196" i="1"/>
  <c r="E196" i="1"/>
  <c r="D196" i="1"/>
  <c r="C196" i="1"/>
  <c r="B196" i="1"/>
  <c r="G195" i="1"/>
  <c r="F195" i="1"/>
  <c r="E195" i="1"/>
  <c r="D195" i="1"/>
  <c r="C195" i="1"/>
  <c r="B195" i="1"/>
  <c r="G194" i="1"/>
  <c r="F194" i="1"/>
  <c r="E194" i="1"/>
  <c r="D194" i="1"/>
  <c r="C194" i="1"/>
  <c r="B194" i="1"/>
  <c r="G193" i="1"/>
  <c r="F193" i="1"/>
  <c r="E193" i="1"/>
  <c r="D193" i="1"/>
  <c r="C193" i="1"/>
  <c r="B193" i="1"/>
  <c r="G192" i="1"/>
  <c r="F192" i="1"/>
  <c r="E192" i="1"/>
  <c r="D192" i="1"/>
  <c r="C192" i="1"/>
  <c r="B192" i="1"/>
  <c r="G191" i="1"/>
  <c r="F191" i="1"/>
  <c r="E191" i="1"/>
  <c r="D191" i="1"/>
  <c r="C191" i="1"/>
  <c r="B191" i="1"/>
  <c r="G190" i="1"/>
  <c r="F190" i="1"/>
  <c r="E190" i="1"/>
  <c r="D190" i="1"/>
  <c r="C190" i="1"/>
  <c r="B190" i="1"/>
  <c r="G189" i="1"/>
  <c r="F189" i="1"/>
  <c r="E189" i="1"/>
  <c r="D189" i="1"/>
  <c r="C189" i="1"/>
  <c r="B189" i="1"/>
  <c r="G188" i="1"/>
  <c r="F188" i="1"/>
  <c r="E188" i="1"/>
  <c r="D188" i="1"/>
  <c r="C188" i="1"/>
  <c r="B188" i="1"/>
  <c r="G187" i="1"/>
  <c r="F187" i="1"/>
  <c r="E187" i="1"/>
  <c r="D187" i="1"/>
  <c r="C187" i="1"/>
  <c r="B187" i="1"/>
  <c r="G186" i="1"/>
  <c r="F186" i="1"/>
  <c r="E186" i="1"/>
  <c r="D186" i="1"/>
  <c r="C186" i="1"/>
  <c r="B186" i="1"/>
  <c r="G185" i="1"/>
  <c r="F185" i="1"/>
  <c r="E185" i="1"/>
  <c r="D185" i="1"/>
  <c r="C185" i="1"/>
  <c r="B185" i="1"/>
  <c r="G184" i="1"/>
  <c r="F184" i="1"/>
  <c r="E184" i="1"/>
  <c r="D184" i="1"/>
  <c r="C184" i="1"/>
  <c r="B184" i="1"/>
  <c r="G183" i="1"/>
  <c r="F183" i="1"/>
  <c r="E183" i="1"/>
  <c r="D183" i="1"/>
  <c r="C183" i="1"/>
  <c r="B183" i="1"/>
  <c r="G182" i="1"/>
  <c r="F182" i="1"/>
  <c r="E182" i="1"/>
  <c r="D182" i="1"/>
  <c r="C182" i="1"/>
  <c r="B182" i="1"/>
  <c r="G181" i="1"/>
  <c r="F181" i="1"/>
  <c r="E181" i="1"/>
  <c r="D181" i="1"/>
  <c r="C181" i="1"/>
  <c r="B181" i="1"/>
  <c r="G180" i="1"/>
  <c r="F180" i="1"/>
  <c r="E180" i="1"/>
  <c r="D180" i="1"/>
  <c r="C180" i="1"/>
  <c r="B180" i="1"/>
  <c r="G179" i="1"/>
  <c r="F179" i="1"/>
  <c r="E179" i="1"/>
  <c r="D179" i="1"/>
  <c r="C179" i="1"/>
  <c r="B179" i="1"/>
  <c r="G178" i="1"/>
  <c r="F178" i="1"/>
  <c r="E178" i="1"/>
  <c r="D178" i="1"/>
  <c r="C178" i="1"/>
  <c r="B178" i="1"/>
  <c r="G177" i="1"/>
  <c r="F177" i="1"/>
  <c r="E177" i="1"/>
  <c r="D177" i="1"/>
  <c r="C177" i="1"/>
  <c r="B177" i="1"/>
  <c r="G176" i="1"/>
  <c r="F176" i="1"/>
  <c r="E176" i="1"/>
  <c r="D176" i="1"/>
  <c r="C176" i="1"/>
  <c r="B176" i="1"/>
  <c r="G175" i="1"/>
  <c r="F175" i="1"/>
  <c r="E175" i="1"/>
  <c r="D175" i="1"/>
  <c r="C175" i="1"/>
  <c r="B175" i="1"/>
  <c r="G174" i="1"/>
  <c r="F174" i="1"/>
  <c r="E174" i="1"/>
  <c r="D174" i="1"/>
  <c r="C174" i="1"/>
  <c r="B174" i="1"/>
  <c r="G173" i="1"/>
  <c r="F173" i="1"/>
  <c r="E173" i="1"/>
  <c r="D173" i="1"/>
  <c r="C173" i="1"/>
  <c r="B173" i="1"/>
  <c r="G172" i="1"/>
  <c r="F172" i="1"/>
  <c r="E172" i="1"/>
  <c r="D172" i="1"/>
  <c r="C172" i="1"/>
  <c r="B172" i="1"/>
  <c r="G171" i="1"/>
  <c r="F171" i="1"/>
  <c r="E171" i="1"/>
  <c r="D171" i="1"/>
  <c r="C171" i="1"/>
  <c r="B171" i="1"/>
  <c r="G170" i="1"/>
  <c r="F170" i="1"/>
  <c r="E170" i="1"/>
  <c r="D170" i="1"/>
  <c r="C170" i="1"/>
  <c r="B170" i="1"/>
  <c r="G169" i="1"/>
  <c r="F169" i="1"/>
  <c r="E169" i="1"/>
  <c r="D169" i="1"/>
  <c r="C169" i="1"/>
  <c r="B169" i="1"/>
  <c r="G168" i="1"/>
  <c r="F168" i="1"/>
  <c r="E168" i="1"/>
  <c r="D168" i="1"/>
  <c r="C168" i="1"/>
  <c r="B168" i="1"/>
  <c r="G167" i="1"/>
  <c r="F167" i="1"/>
  <c r="E167" i="1"/>
  <c r="D167" i="1"/>
  <c r="C167" i="1"/>
  <c r="B167" i="1"/>
  <c r="G166" i="1"/>
  <c r="F166" i="1"/>
  <c r="E166" i="1"/>
  <c r="D166" i="1"/>
  <c r="C166" i="1"/>
  <c r="B166" i="1"/>
  <c r="G165" i="1"/>
  <c r="F165" i="1"/>
  <c r="E165" i="1"/>
  <c r="D165" i="1"/>
  <c r="C165" i="1"/>
  <c r="B165" i="1"/>
  <c r="G164" i="1"/>
  <c r="F164" i="1"/>
  <c r="E164" i="1"/>
  <c r="D164" i="1"/>
  <c r="C164" i="1"/>
  <c r="B164" i="1"/>
  <c r="G163" i="1"/>
  <c r="F163" i="1"/>
  <c r="E163" i="1"/>
  <c r="D163" i="1"/>
  <c r="C163" i="1"/>
  <c r="B163" i="1"/>
  <c r="G162" i="1"/>
  <c r="F162" i="1"/>
  <c r="E162" i="1"/>
  <c r="D162" i="1"/>
  <c r="C162" i="1"/>
  <c r="B162" i="1"/>
  <c r="G161" i="1"/>
  <c r="F161" i="1"/>
  <c r="E161" i="1"/>
  <c r="D161" i="1"/>
  <c r="C161" i="1"/>
  <c r="B161" i="1"/>
  <c r="G160" i="1"/>
  <c r="F160" i="1"/>
  <c r="E160" i="1"/>
  <c r="D160" i="1"/>
  <c r="C160" i="1"/>
  <c r="B160" i="1"/>
  <c r="G159" i="1"/>
  <c r="F159" i="1"/>
  <c r="E159" i="1"/>
  <c r="D159" i="1"/>
  <c r="C159" i="1"/>
  <c r="B159" i="1"/>
  <c r="G158" i="1"/>
  <c r="F158" i="1"/>
  <c r="E158" i="1"/>
  <c r="D158" i="1"/>
  <c r="C158" i="1"/>
  <c r="B158" i="1"/>
  <c r="G157" i="1"/>
  <c r="F157" i="1"/>
  <c r="E157" i="1"/>
  <c r="D157" i="1"/>
  <c r="C157" i="1"/>
  <c r="B157" i="1"/>
  <c r="G156" i="1"/>
  <c r="F156" i="1"/>
  <c r="E156" i="1"/>
  <c r="D156" i="1"/>
  <c r="C156" i="1"/>
  <c r="B156" i="1"/>
  <c r="G155" i="1"/>
  <c r="F155" i="1"/>
  <c r="E155" i="1"/>
  <c r="D155" i="1"/>
  <c r="C155" i="1"/>
  <c r="B155" i="1"/>
  <c r="G154" i="1"/>
  <c r="F154" i="1"/>
  <c r="E154" i="1"/>
  <c r="D154" i="1"/>
  <c r="C154" i="1"/>
  <c r="B154" i="1"/>
  <c r="G153" i="1"/>
  <c r="F153" i="1"/>
  <c r="E153" i="1"/>
  <c r="D153" i="1"/>
  <c r="C153" i="1"/>
  <c r="B153" i="1"/>
  <c r="G152" i="1"/>
  <c r="F152" i="1"/>
  <c r="E152" i="1"/>
  <c r="D152" i="1"/>
  <c r="C152" i="1"/>
  <c r="B152" i="1"/>
  <c r="G151" i="1"/>
  <c r="F151" i="1"/>
  <c r="E151" i="1"/>
  <c r="D151" i="1"/>
  <c r="C151" i="1"/>
  <c r="B151" i="1"/>
  <c r="G150" i="1"/>
  <c r="F150" i="1"/>
  <c r="E150" i="1"/>
  <c r="D150" i="1"/>
  <c r="C150" i="1"/>
  <c r="B150" i="1"/>
  <c r="G149" i="1"/>
  <c r="F149" i="1"/>
  <c r="E149" i="1"/>
  <c r="D149" i="1"/>
  <c r="C149" i="1"/>
  <c r="B149" i="1"/>
  <c r="G148" i="1"/>
  <c r="F148" i="1"/>
  <c r="E148" i="1"/>
  <c r="D148" i="1"/>
  <c r="C148" i="1"/>
  <c r="B148" i="1"/>
  <c r="G147" i="1"/>
  <c r="F147" i="1"/>
  <c r="E147" i="1"/>
  <c r="D147" i="1"/>
  <c r="C147" i="1"/>
  <c r="B147" i="1"/>
  <c r="G146" i="1"/>
  <c r="F146" i="1"/>
  <c r="E146" i="1"/>
  <c r="D146" i="1"/>
  <c r="C146" i="1"/>
  <c r="B146" i="1"/>
  <c r="G145" i="1"/>
  <c r="F145" i="1"/>
  <c r="E145" i="1"/>
  <c r="D145" i="1"/>
  <c r="C145" i="1"/>
  <c r="B145" i="1"/>
  <c r="G144" i="1"/>
  <c r="F144" i="1"/>
  <c r="E144" i="1"/>
  <c r="D144" i="1"/>
  <c r="C144" i="1"/>
  <c r="B144" i="1"/>
  <c r="G143" i="1"/>
  <c r="F143" i="1"/>
  <c r="E143" i="1"/>
  <c r="D143" i="1"/>
  <c r="C143" i="1"/>
  <c r="B143" i="1"/>
  <c r="G142" i="1"/>
  <c r="F142" i="1"/>
  <c r="E142" i="1"/>
  <c r="D142" i="1"/>
  <c r="C142" i="1"/>
  <c r="B142" i="1"/>
  <c r="G141" i="1"/>
  <c r="F141" i="1"/>
  <c r="E141" i="1"/>
  <c r="D141" i="1"/>
  <c r="C141" i="1"/>
  <c r="B141" i="1"/>
  <c r="G140" i="1"/>
  <c r="F140" i="1"/>
  <c r="E140" i="1"/>
  <c r="D140" i="1"/>
  <c r="C140" i="1"/>
  <c r="B140" i="1"/>
  <c r="G139" i="1"/>
  <c r="F139" i="1"/>
  <c r="E139" i="1"/>
  <c r="D139" i="1"/>
  <c r="C139" i="1"/>
  <c r="B139" i="1"/>
  <c r="G138" i="1"/>
  <c r="F138" i="1"/>
  <c r="E138" i="1"/>
  <c r="D138" i="1"/>
  <c r="C138" i="1"/>
  <c r="B138" i="1"/>
  <c r="G137" i="1"/>
  <c r="F137" i="1"/>
  <c r="E137" i="1"/>
  <c r="D137" i="1"/>
  <c r="C137" i="1"/>
  <c r="B137" i="1"/>
  <c r="G136" i="1"/>
  <c r="F136" i="1"/>
  <c r="E136" i="1"/>
  <c r="D136" i="1"/>
  <c r="C136" i="1"/>
  <c r="B136" i="1"/>
  <c r="G135" i="1"/>
  <c r="F135" i="1"/>
  <c r="E135" i="1"/>
  <c r="D135" i="1"/>
  <c r="C135" i="1"/>
  <c r="B135" i="1"/>
  <c r="G134" i="1"/>
  <c r="F134" i="1"/>
  <c r="E134" i="1"/>
  <c r="D134" i="1"/>
  <c r="C134" i="1"/>
  <c r="B134" i="1"/>
  <c r="G133" i="1"/>
  <c r="F133" i="1"/>
  <c r="E133" i="1"/>
  <c r="D133" i="1"/>
  <c r="C133" i="1"/>
  <c r="B133" i="1"/>
  <c r="G132" i="1"/>
  <c r="F132" i="1"/>
  <c r="E132" i="1"/>
  <c r="D132" i="1"/>
  <c r="C132" i="1"/>
  <c r="B132" i="1"/>
  <c r="G131" i="1"/>
  <c r="F131" i="1"/>
  <c r="E131" i="1"/>
  <c r="D131" i="1"/>
  <c r="C131" i="1"/>
  <c r="B131" i="1"/>
  <c r="G130" i="1"/>
  <c r="F130" i="1"/>
  <c r="E130" i="1"/>
  <c r="D130" i="1"/>
  <c r="C130" i="1"/>
  <c r="B130" i="1"/>
  <c r="G129" i="1"/>
  <c r="F129" i="1"/>
  <c r="E129" i="1"/>
  <c r="D129" i="1"/>
  <c r="C129" i="1"/>
  <c r="B129" i="1"/>
  <c r="G128" i="1"/>
  <c r="F128" i="1"/>
  <c r="E128" i="1"/>
  <c r="D128" i="1"/>
  <c r="C128" i="1"/>
  <c r="B128" i="1"/>
  <c r="G127" i="1"/>
  <c r="F127" i="1"/>
  <c r="E127" i="1"/>
  <c r="D127" i="1"/>
  <c r="C127" i="1"/>
  <c r="B127" i="1"/>
  <c r="G126" i="1"/>
  <c r="F126" i="1"/>
  <c r="E126" i="1"/>
  <c r="D126" i="1"/>
  <c r="C126" i="1"/>
  <c r="B126" i="1"/>
  <c r="G125" i="1"/>
  <c r="F125" i="1"/>
  <c r="E125" i="1"/>
  <c r="D125" i="1"/>
  <c r="C125" i="1"/>
  <c r="B125" i="1"/>
  <c r="G124" i="1"/>
  <c r="F124" i="1"/>
  <c r="E124" i="1"/>
  <c r="D124" i="1"/>
  <c r="C124" i="1"/>
  <c r="B124" i="1"/>
  <c r="G123" i="1"/>
  <c r="F123" i="1"/>
  <c r="E123" i="1"/>
  <c r="D123" i="1"/>
  <c r="C123" i="1"/>
  <c r="B123" i="1"/>
  <c r="G122" i="1"/>
  <c r="F122" i="1"/>
  <c r="E122" i="1"/>
  <c r="D122" i="1"/>
  <c r="C122" i="1"/>
  <c r="B122" i="1"/>
  <c r="G121" i="1"/>
  <c r="F121" i="1"/>
  <c r="E121" i="1"/>
  <c r="D121" i="1"/>
  <c r="C121" i="1"/>
  <c r="B121" i="1"/>
  <c r="G120" i="1"/>
  <c r="F120" i="1"/>
  <c r="E120" i="1"/>
  <c r="D120" i="1"/>
  <c r="C120" i="1"/>
  <c r="B120" i="1"/>
  <c r="G119" i="1"/>
  <c r="F119" i="1"/>
  <c r="E119" i="1"/>
  <c r="D119" i="1"/>
  <c r="C119" i="1"/>
  <c r="B119" i="1"/>
  <c r="G118" i="1"/>
  <c r="F118" i="1"/>
  <c r="E118" i="1"/>
  <c r="D118" i="1"/>
  <c r="C118" i="1"/>
  <c r="B118" i="1"/>
  <c r="G117" i="1"/>
  <c r="F117" i="1"/>
  <c r="E117" i="1"/>
  <c r="D117" i="1"/>
  <c r="C117" i="1"/>
  <c r="B117" i="1"/>
  <c r="G116" i="1"/>
  <c r="F116" i="1"/>
  <c r="E116" i="1"/>
  <c r="D116" i="1"/>
  <c r="C116" i="1"/>
  <c r="B116" i="1"/>
  <c r="G115" i="1"/>
  <c r="F115" i="1"/>
  <c r="E115" i="1"/>
  <c r="D115" i="1"/>
  <c r="C115" i="1"/>
  <c r="B115" i="1"/>
  <c r="G114" i="1"/>
  <c r="F114" i="1"/>
  <c r="E114" i="1"/>
  <c r="D114" i="1"/>
  <c r="C114" i="1"/>
  <c r="B114" i="1"/>
  <c r="G113" i="1"/>
  <c r="F113" i="1"/>
  <c r="E113" i="1"/>
  <c r="D113" i="1"/>
  <c r="C113" i="1"/>
  <c r="B113" i="1"/>
  <c r="G112" i="1"/>
  <c r="F112" i="1"/>
  <c r="E112" i="1"/>
  <c r="D112" i="1"/>
  <c r="C112" i="1"/>
  <c r="B112" i="1"/>
  <c r="G111" i="1"/>
  <c r="F111" i="1"/>
  <c r="E111" i="1"/>
  <c r="D111" i="1"/>
  <c r="C111" i="1"/>
  <c r="B111" i="1"/>
  <c r="G110" i="1"/>
  <c r="F110" i="1"/>
  <c r="E110" i="1"/>
  <c r="D110" i="1"/>
  <c r="C110" i="1"/>
  <c r="B110" i="1"/>
  <c r="G109" i="1"/>
  <c r="F109" i="1"/>
  <c r="E109" i="1"/>
  <c r="D109" i="1"/>
  <c r="C109" i="1"/>
  <c r="B109" i="1"/>
  <c r="G108" i="1"/>
  <c r="F108" i="1"/>
  <c r="E108" i="1"/>
  <c r="D108" i="1"/>
  <c r="C108" i="1"/>
  <c r="B108" i="1"/>
  <c r="G107" i="1"/>
  <c r="F107" i="1"/>
  <c r="E107" i="1"/>
  <c r="D107" i="1"/>
  <c r="C107" i="1"/>
  <c r="B107" i="1"/>
  <c r="G106" i="1"/>
  <c r="F106" i="1"/>
  <c r="E106" i="1"/>
  <c r="D106" i="1"/>
  <c r="C106" i="1"/>
  <c r="B106" i="1"/>
  <c r="G105" i="1"/>
  <c r="F105" i="1"/>
  <c r="E105" i="1"/>
  <c r="D105" i="1"/>
  <c r="C105" i="1"/>
  <c r="B105" i="1"/>
  <c r="G104" i="1"/>
  <c r="F104" i="1"/>
  <c r="E104" i="1"/>
  <c r="D104" i="1"/>
  <c r="C104" i="1"/>
  <c r="B104" i="1"/>
  <c r="G103" i="1"/>
  <c r="F103" i="1"/>
  <c r="E103" i="1"/>
  <c r="D103" i="1"/>
  <c r="C103" i="1"/>
  <c r="B103" i="1"/>
  <c r="G102" i="1"/>
  <c r="F102" i="1"/>
  <c r="E102" i="1"/>
  <c r="D102" i="1"/>
  <c r="C102" i="1"/>
  <c r="B102" i="1"/>
  <c r="G101" i="1"/>
  <c r="F101" i="1"/>
  <c r="E101" i="1"/>
  <c r="D101" i="1"/>
  <c r="C101" i="1"/>
  <c r="B101" i="1"/>
  <c r="G100" i="1"/>
  <c r="F100" i="1"/>
  <c r="E100" i="1"/>
  <c r="D100" i="1"/>
  <c r="C100" i="1"/>
  <c r="B100" i="1"/>
  <c r="G99" i="1"/>
  <c r="F99" i="1"/>
  <c r="E99" i="1"/>
  <c r="D99" i="1"/>
  <c r="C99" i="1"/>
  <c r="B99" i="1"/>
  <c r="G98" i="1"/>
  <c r="F98" i="1"/>
  <c r="E98" i="1"/>
  <c r="D98" i="1"/>
  <c r="C98" i="1"/>
  <c r="B98" i="1"/>
  <c r="G97" i="1"/>
  <c r="F97" i="1"/>
  <c r="E97" i="1"/>
  <c r="D97" i="1"/>
  <c r="C97" i="1"/>
  <c r="B97" i="1"/>
  <c r="G96" i="1"/>
  <c r="F96" i="1"/>
  <c r="E96" i="1"/>
  <c r="D96" i="1"/>
  <c r="C96" i="1"/>
  <c r="B96" i="1"/>
  <c r="G95" i="1"/>
  <c r="F95" i="1"/>
  <c r="E95" i="1"/>
  <c r="D95" i="1"/>
  <c r="C95" i="1"/>
  <c r="B95" i="1"/>
  <c r="G94" i="1"/>
  <c r="F94" i="1"/>
  <c r="E94" i="1"/>
  <c r="D94" i="1"/>
  <c r="C94" i="1"/>
  <c r="B94" i="1"/>
  <c r="G93" i="1"/>
  <c r="F93" i="1"/>
  <c r="E93" i="1"/>
  <c r="D93" i="1"/>
  <c r="C93" i="1"/>
  <c r="B93" i="1"/>
  <c r="G92" i="1"/>
  <c r="F92" i="1"/>
  <c r="E92" i="1"/>
  <c r="D92" i="1"/>
  <c r="C92" i="1"/>
  <c r="B92" i="1"/>
  <c r="G91" i="1"/>
  <c r="F91" i="1"/>
  <c r="E91" i="1"/>
  <c r="D91" i="1"/>
  <c r="C91" i="1"/>
  <c r="B91" i="1"/>
  <c r="G90" i="1"/>
  <c r="F90" i="1"/>
  <c r="E90" i="1"/>
  <c r="D90" i="1"/>
  <c r="C90" i="1"/>
  <c r="B90" i="1"/>
  <c r="G89" i="1"/>
  <c r="F89" i="1"/>
  <c r="E89" i="1"/>
  <c r="D89" i="1"/>
  <c r="C89" i="1"/>
  <c r="B89" i="1"/>
  <c r="G88" i="1"/>
  <c r="F88" i="1"/>
  <c r="E88" i="1"/>
  <c r="D88" i="1"/>
  <c r="C88" i="1"/>
  <c r="B88" i="1"/>
  <c r="G87" i="1"/>
  <c r="F87" i="1"/>
  <c r="E87" i="1"/>
  <c r="D87" i="1"/>
  <c r="C87" i="1"/>
  <c r="B87" i="1"/>
  <c r="G86" i="1"/>
  <c r="F86" i="1"/>
  <c r="E86" i="1"/>
  <c r="D86" i="1"/>
  <c r="C86" i="1"/>
  <c r="B86" i="1"/>
  <c r="G85" i="1"/>
  <c r="F85" i="1"/>
  <c r="E85" i="1"/>
  <c r="D85" i="1"/>
  <c r="C85" i="1"/>
  <c r="B85" i="1"/>
  <c r="G84" i="1"/>
  <c r="F84" i="1"/>
  <c r="E84" i="1"/>
  <c r="D84" i="1"/>
  <c r="C84" i="1"/>
  <c r="B84" i="1"/>
  <c r="G83" i="1"/>
  <c r="F83" i="1"/>
  <c r="E83" i="1"/>
  <c r="D83" i="1"/>
  <c r="C83" i="1"/>
  <c r="B83" i="1"/>
  <c r="G82" i="1"/>
  <c r="F82" i="1"/>
  <c r="E82" i="1"/>
  <c r="D82" i="1"/>
  <c r="C82" i="1"/>
  <c r="B82" i="1"/>
  <c r="G81" i="1"/>
  <c r="F81" i="1"/>
  <c r="E81" i="1"/>
  <c r="D81" i="1"/>
  <c r="C81" i="1"/>
  <c r="B81" i="1"/>
  <c r="G80" i="1"/>
  <c r="F80" i="1"/>
  <c r="E80" i="1"/>
  <c r="D80" i="1"/>
  <c r="C80" i="1"/>
  <c r="B80" i="1"/>
  <c r="G79" i="1"/>
  <c r="F79" i="1"/>
  <c r="E79" i="1"/>
  <c r="D79" i="1"/>
  <c r="C79" i="1"/>
  <c r="B79" i="1"/>
  <c r="G78" i="1"/>
  <c r="F78" i="1"/>
  <c r="E78" i="1"/>
  <c r="D78" i="1"/>
  <c r="C78" i="1"/>
  <c r="B78" i="1"/>
  <c r="G77" i="1"/>
  <c r="F77" i="1"/>
  <c r="E77" i="1"/>
  <c r="D77" i="1"/>
  <c r="C77" i="1"/>
  <c r="B77" i="1"/>
  <c r="G76" i="1"/>
  <c r="F76" i="1"/>
  <c r="E76" i="1"/>
  <c r="D76" i="1"/>
  <c r="C76" i="1"/>
  <c r="B76" i="1"/>
  <c r="G75" i="1"/>
  <c r="F75" i="1"/>
  <c r="E75" i="1"/>
  <c r="D75" i="1"/>
  <c r="C75" i="1"/>
  <c r="B75" i="1"/>
  <c r="G74" i="1"/>
  <c r="F74" i="1"/>
  <c r="E74" i="1"/>
  <c r="D74" i="1"/>
  <c r="C74" i="1"/>
  <c r="B74" i="1"/>
  <c r="G73" i="1"/>
  <c r="F73" i="1"/>
  <c r="E73" i="1"/>
  <c r="D73" i="1"/>
  <c r="C73" i="1"/>
  <c r="B73" i="1"/>
  <c r="G72" i="1"/>
  <c r="F72" i="1"/>
  <c r="E72" i="1"/>
  <c r="D72" i="1"/>
  <c r="C72" i="1"/>
  <c r="B72" i="1"/>
  <c r="G71" i="1"/>
  <c r="F71" i="1"/>
  <c r="E71" i="1"/>
  <c r="D71" i="1"/>
  <c r="C71" i="1"/>
  <c r="B71" i="1"/>
  <c r="G70" i="1"/>
  <c r="F70" i="1"/>
  <c r="E70" i="1"/>
  <c r="D70" i="1"/>
  <c r="C70" i="1"/>
  <c r="B70" i="1"/>
  <c r="G69" i="1"/>
  <c r="F69" i="1"/>
  <c r="E69" i="1"/>
  <c r="D69" i="1"/>
  <c r="C69" i="1"/>
  <c r="B69" i="1"/>
  <c r="G68" i="1"/>
  <c r="F68" i="1"/>
  <c r="E68" i="1"/>
  <c r="D68" i="1"/>
  <c r="C68" i="1"/>
  <c r="B68" i="1"/>
  <c r="G67" i="1"/>
  <c r="F67" i="1"/>
  <c r="E67" i="1"/>
  <c r="D67" i="1"/>
  <c r="C67" i="1"/>
  <c r="B67" i="1"/>
  <c r="G66" i="1"/>
  <c r="F66" i="1"/>
  <c r="E66" i="1"/>
  <c r="D66" i="1"/>
  <c r="C66" i="1"/>
  <c r="B66" i="1"/>
  <c r="G65" i="1"/>
  <c r="F65" i="1"/>
  <c r="E65" i="1"/>
  <c r="D65" i="1"/>
  <c r="C65" i="1"/>
  <c r="B65" i="1"/>
  <c r="G64" i="1"/>
  <c r="F64" i="1"/>
  <c r="E64" i="1"/>
  <c r="D64" i="1"/>
  <c r="C64" i="1"/>
  <c r="B64" i="1"/>
  <c r="G63" i="1"/>
  <c r="F63" i="1"/>
  <c r="E63" i="1"/>
  <c r="D63" i="1"/>
  <c r="C63" i="1"/>
  <c r="B63" i="1"/>
  <c r="G62" i="1"/>
  <c r="F62" i="1"/>
  <c r="E62" i="1"/>
  <c r="D62" i="1"/>
  <c r="C62" i="1"/>
  <c r="B62" i="1"/>
  <c r="G61" i="1"/>
  <c r="F61" i="1"/>
  <c r="E61" i="1"/>
  <c r="D61" i="1"/>
  <c r="C61" i="1"/>
  <c r="B61" i="1"/>
  <c r="G60" i="1"/>
  <c r="F60" i="1"/>
  <c r="E60" i="1"/>
  <c r="D60" i="1"/>
  <c r="C60" i="1"/>
  <c r="B60" i="1"/>
  <c r="G59" i="1"/>
  <c r="F59" i="1"/>
  <c r="E59" i="1"/>
  <c r="D59" i="1"/>
  <c r="C59" i="1"/>
  <c r="B59" i="1"/>
  <c r="G58" i="1"/>
  <c r="F58" i="1"/>
  <c r="E58" i="1"/>
  <c r="D58" i="1"/>
  <c r="C58" i="1"/>
  <c r="B58" i="1"/>
  <c r="G57" i="1"/>
  <c r="F57" i="1"/>
  <c r="E57" i="1"/>
  <c r="D57" i="1"/>
  <c r="C57" i="1"/>
  <c r="B57" i="1"/>
  <c r="G56" i="1"/>
  <c r="F56" i="1"/>
  <c r="E56" i="1"/>
  <c r="D56" i="1"/>
  <c r="C56" i="1"/>
  <c r="B56" i="1"/>
  <c r="G55" i="1"/>
  <c r="F55" i="1"/>
  <c r="E55" i="1"/>
  <c r="D55" i="1"/>
  <c r="C55" i="1"/>
  <c r="B55" i="1"/>
  <c r="G54" i="1"/>
  <c r="F54" i="1"/>
  <c r="E54" i="1"/>
  <c r="D54" i="1"/>
  <c r="C54" i="1"/>
  <c r="B54" i="1"/>
  <c r="G53" i="1"/>
  <c r="F53" i="1"/>
  <c r="E53" i="1"/>
  <c r="D53" i="1"/>
  <c r="C53" i="1"/>
  <c r="B53" i="1"/>
  <c r="G52" i="1"/>
  <c r="F52" i="1"/>
  <c r="E52" i="1"/>
  <c r="D52" i="1"/>
  <c r="C52" i="1"/>
  <c r="B52" i="1"/>
  <c r="G51" i="1"/>
  <c r="F51" i="1"/>
  <c r="E51" i="1"/>
  <c r="D51" i="1"/>
  <c r="C51" i="1"/>
  <c r="B51" i="1"/>
  <c r="G50" i="1"/>
  <c r="F50" i="1"/>
  <c r="E50" i="1"/>
  <c r="D50" i="1"/>
  <c r="C50" i="1"/>
  <c r="B50" i="1"/>
  <c r="G49" i="1"/>
  <c r="F49" i="1"/>
  <c r="E49" i="1"/>
  <c r="D49" i="1"/>
  <c r="C49" i="1"/>
  <c r="B49" i="1"/>
  <c r="G48" i="1"/>
  <c r="F48" i="1"/>
  <c r="E48" i="1"/>
  <c r="D48" i="1"/>
  <c r="C48" i="1"/>
  <c r="B48" i="1"/>
  <c r="G47" i="1"/>
  <c r="F47" i="1"/>
  <c r="E47" i="1"/>
  <c r="D47" i="1"/>
  <c r="C47" i="1"/>
  <c r="B47" i="1"/>
  <c r="G46" i="1"/>
  <c r="F46" i="1"/>
  <c r="E46" i="1"/>
  <c r="D46" i="1"/>
  <c r="C46" i="1"/>
  <c r="B46" i="1"/>
  <c r="G45" i="1"/>
  <c r="F45" i="1"/>
  <c r="E45" i="1"/>
  <c r="D45" i="1"/>
  <c r="C45" i="1"/>
  <c r="B45" i="1"/>
  <c r="G44" i="1"/>
  <c r="F44" i="1"/>
  <c r="E44" i="1"/>
  <c r="D44" i="1"/>
  <c r="C44" i="1"/>
  <c r="B44" i="1"/>
  <c r="G43" i="1"/>
  <c r="F43" i="1"/>
  <c r="E43" i="1"/>
  <c r="D43" i="1"/>
  <c r="C43" i="1"/>
  <c r="B43" i="1"/>
  <c r="G42" i="1"/>
  <c r="F42" i="1"/>
  <c r="E42" i="1"/>
  <c r="D42" i="1"/>
  <c r="C42" i="1"/>
  <c r="B42" i="1"/>
  <c r="G41" i="1"/>
  <c r="F41" i="1"/>
  <c r="E41" i="1"/>
  <c r="D41" i="1"/>
  <c r="C41" i="1"/>
  <c r="B41" i="1"/>
  <c r="G40" i="1"/>
  <c r="F40" i="1"/>
  <c r="E40" i="1"/>
  <c r="D40" i="1"/>
  <c r="C40" i="1"/>
  <c r="B40" i="1"/>
  <c r="G39" i="1"/>
  <c r="F39" i="1"/>
  <c r="E39" i="1"/>
  <c r="D39" i="1"/>
  <c r="C39" i="1"/>
  <c r="B39" i="1"/>
  <c r="G38" i="1"/>
  <c r="F38" i="1"/>
  <c r="E38" i="1"/>
  <c r="D38" i="1"/>
  <c r="C38" i="1"/>
  <c r="B38" i="1"/>
  <c r="G37" i="1"/>
  <c r="F37" i="1"/>
  <c r="E37" i="1"/>
  <c r="D37" i="1"/>
  <c r="C37" i="1"/>
  <c r="B37" i="1"/>
  <c r="G36" i="1"/>
  <c r="F36" i="1"/>
  <c r="E36" i="1"/>
  <c r="D36" i="1"/>
  <c r="C36" i="1"/>
  <c r="B36" i="1"/>
  <c r="G35" i="1"/>
  <c r="F35" i="1"/>
  <c r="E35" i="1"/>
  <c r="D35" i="1"/>
  <c r="C35" i="1"/>
  <c r="B35" i="1"/>
  <c r="G34" i="1"/>
  <c r="F34" i="1"/>
  <c r="E34" i="1"/>
  <c r="D34" i="1"/>
  <c r="C34" i="1"/>
  <c r="B34" i="1"/>
  <c r="G33" i="1"/>
  <c r="F33" i="1"/>
  <c r="E33" i="1"/>
  <c r="D33" i="1"/>
  <c r="C33" i="1"/>
  <c r="B33" i="1"/>
  <c r="G32" i="1"/>
  <c r="F32" i="1"/>
  <c r="E32" i="1"/>
  <c r="D32" i="1"/>
  <c r="C32" i="1"/>
  <c r="B32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E28" i="1"/>
  <c r="D28" i="1"/>
  <c r="C28" i="1"/>
  <c r="B28" i="1"/>
  <c r="G27" i="1"/>
  <c r="F27" i="1"/>
  <c r="E27" i="1"/>
  <c r="D27" i="1"/>
  <c r="C27" i="1"/>
  <c r="B27" i="1"/>
  <c r="G26" i="1"/>
  <c r="F26" i="1"/>
  <c r="E26" i="1"/>
  <c r="D26" i="1"/>
  <c r="C26" i="1"/>
  <c r="B26" i="1"/>
  <c r="G25" i="1"/>
  <c r="F25" i="1"/>
  <c r="E25" i="1"/>
  <c r="D25" i="1"/>
  <c r="C25" i="1"/>
  <c r="B25" i="1"/>
  <c r="G24" i="1"/>
  <c r="F24" i="1"/>
  <c r="E24" i="1"/>
  <c r="D24" i="1"/>
  <c r="C24" i="1"/>
  <c r="B24" i="1"/>
  <c r="G23" i="1"/>
  <c r="F23" i="1"/>
  <c r="E23" i="1"/>
  <c r="D23" i="1"/>
  <c r="C23" i="1"/>
  <c r="B23" i="1"/>
  <c r="G22" i="1"/>
  <c r="F22" i="1"/>
  <c r="E22" i="1"/>
  <c r="D22" i="1"/>
  <c r="C22" i="1"/>
  <c r="B22" i="1"/>
  <c r="G21" i="1"/>
  <c r="F21" i="1"/>
  <c r="E21" i="1"/>
  <c r="D21" i="1"/>
  <c r="C21" i="1"/>
  <c r="B21" i="1"/>
  <c r="G20" i="1"/>
  <c r="F20" i="1"/>
  <c r="E20" i="1"/>
  <c r="D20" i="1"/>
  <c r="C20" i="1"/>
  <c r="B20" i="1"/>
  <c r="G19" i="1"/>
  <c r="F19" i="1"/>
  <c r="E19" i="1"/>
  <c r="D19" i="1"/>
  <c r="C19" i="1"/>
  <c r="B19" i="1"/>
  <c r="G18" i="1"/>
  <c r="F18" i="1"/>
  <c r="E18" i="1"/>
  <c r="D18" i="1"/>
  <c r="C18" i="1"/>
  <c r="B18" i="1"/>
  <c r="G17" i="1"/>
  <c r="F17" i="1"/>
  <c r="E17" i="1"/>
  <c r="D17" i="1"/>
  <c r="C17" i="1"/>
  <c r="B17" i="1"/>
  <c r="G16" i="1"/>
  <c r="F16" i="1"/>
  <c r="E16" i="1"/>
  <c r="D16" i="1"/>
  <c r="C16" i="1"/>
  <c r="B16" i="1"/>
  <c r="G15" i="1"/>
  <c r="F15" i="1"/>
  <c r="E15" i="1"/>
  <c r="D15" i="1"/>
  <c r="C15" i="1"/>
  <c r="B15" i="1"/>
  <c r="G14" i="1"/>
  <c r="F14" i="1"/>
  <c r="E14" i="1"/>
  <c r="D14" i="1"/>
  <c r="C14" i="1"/>
  <c r="B14" i="1"/>
  <c r="G13" i="1"/>
  <c r="F13" i="1"/>
  <c r="E13" i="1"/>
  <c r="D13" i="1"/>
  <c r="C13" i="1"/>
  <c r="B13" i="1"/>
  <c r="G12" i="1"/>
  <c r="F12" i="1"/>
  <c r="E12" i="1"/>
  <c r="D12" i="1"/>
  <c r="C12" i="1"/>
  <c r="B12" i="1"/>
  <c r="G11" i="1"/>
  <c r="F11" i="1"/>
  <c r="E11" i="1"/>
  <c r="D11" i="1"/>
  <c r="C11" i="1"/>
  <c r="B11" i="1"/>
  <c r="G10" i="1"/>
  <c r="F10" i="1"/>
  <c r="E10" i="1"/>
  <c r="D10" i="1"/>
  <c r="C10" i="1"/>
  <c r="B10" i="1"/>
  <c r="G9" i="1"/>
  <c r="F9" i="1"/>
  <c r="E9" i="1"/>
  <c r="D9" i="1"/>
  <c r="C9" i="1"/>
  <c r="B9" i="1"/>
  <c r="G8" i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D6" i="1"/>
  <c r="C6" i="1"/>
  <c r="B6" i="1"/>
  <c r="G5" i="1"/>
  <c r="F5" i="1"/>
  <c r="E5" i="1"/>
  <c r="D5" i="1"/>
  <c r="C5" i="1"/>
  <c r="B5" i="1"/>
  <c r="G4" i="1"/>
  <c r="F4" i="1"/>
  <c r="E4" i="1"/>
  <c r="D4" i="1"/>
  <c r="C4" i="1"/>
  <c r="B4" i="1"/>
  <c r="G3" i="1"/>
  <c r="F3" i="1"/>
  <c r="E3" i="1"/>
  <c r="D3" i="1"/>
  <c r="C3" i="1"/>
  <c r="B3" i="1"/>
  <c r="G2" i="1"/>
  <c r="F2" i="1"/>
  <c r="E2" i="1"/>
  <c r="D2" i="1"/>
  <c r="C2" i="1"/>
  <c r="B2" i="1"/>
  <c r="M184" i="3" l="1"/>
  <c r="M187" i="3"/>
  <c r="M185" i="3"/>
  <c r="M186" i="3"/>
  <c r="M183" i="3"/>
  <c r="M18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2" i="3"/>
</calcChain>
</file>

<file path=xl/sharedStrings.xml><?xml version="1.0" encoding="utf-8"?>
<sst xmlns="http://schemas.openxmlformats.org/spreadsheetml/2006/main" count="97" uniqueCount="46">
  <si>
    <t>c_bis_gap</t>
  </si>
  <si>
    <t>c_b_gap</t>
  </si>
  <si>
    <t>c_hcsf_gap</t>
  </si>
  <si>
    <t>c_hcsf_net_gap</t>
  </si>
  <si>
    <t>BRI</t>
  </si>
  <si>
    <t>Bancaire</t>
  </si>
  <si>
    <t>HCSF</t>
  </si>
  <si>
    <t>HCSF net</t>
  </si>
  <si>
    <t>Seuil ESRB</t>
  </si>
  <si>
    <t>Date</t>
  </si>
  <si>
    <t>Gap BRI</t>
  </si>
  <si>
    <t>Gap bancaire</t>
  </si>
  <si>
    <t>Gap HCSF</t>
  </si>
  <si>
    <t>Gap HCSF net</t>
  </si>
  <si>
    <t>cm_gap</t>
  </si>
  <si>
    <t>ce_hcsf_gap</t>
  </si>
  <si>
    <t>Ménages</t>
  </si>
  <si>
    <t>Entreprises (HCSF)</t>
  </si>
  <si>
    <t>cm_gap_pib</t>
  </si>
  <si>
    <t>ce_hcsf_gap_pib</t>
  </si>
  <si>
    <t>c_bis_ccyb</t>
  </si>
  <si>
    <t>c_b_ccyb</t>
  </si>
  <si>
    <t>c_hcsf_ccyb</t>
  </si>
  <si>
    <t>c_hcsf_net_ccyb</t>
  </si>
  <si>
    <t>df_cg$date2</t>
  </si>
  <si>
    <t>CCyB bâlois</t>
  </si>
  <si>
    <t>CCyB bancaire</t>
  </si>
  <si>
    <t>CCyB HCSF (BdF)</t>
  </si>
  <si>
    <t>CCyB HCSF net des liquidités</t>
  </si>
  <si>
    <t>Médiane</t>
  </si>
  <si>
    <t>c_bis_gap_pib</t>
  </si>
  <si>
    <t>c_b_gap_pib</t>
  </si>
  <si>
    <t>c_hcsf_gap_pib</t>
  </si>
  <si>
    <t>c_hcsf_net_gap_pib</t>
  </si>
  <si>
    <t>&gt;&gt;&gt;&gt;</t>
  </si>
  <si>
    <t xml:space="preserve">Coller en dur l'output R ici </t>
  </si>
  <si>
    <t>Puis tout sélectionner ctrl+h et remplacer "." par ","</t>
  </si>
  <si>
    <t xml:space="preserve">Cet excel permet de mettre en forme les graphiques de gaps de crédit. </t>
  </si>
  <si>
    <t xml:space="preserve">En fonction de la méthode de calcul (voir ci-dessous), il y a 3 feuilles où il faut coller en dur les données issues du script R (feuilles "Output R"). </t>
  </si>
  <si>
    <t>Il faut coller ces données dans le tableau de 3 (case en jaune indique là où il faut coller)</t>
  </si>
  <si>
    <t>Puis sélectionner le tableau et faire ctrl+h et changer les "." en ",".</t>
  </si>
  <si>
    <t>Ensuite les graphiques sont mis à jour.</t>
  </si>
  <si>
    <t>CGAPS1 : données jusqu'en 1999</t>
  </si>
  <si>
    <t>CGAPS 2: données jusqu'en 1977 (rétropolation)</t>
  </si>
  <si>
    <t>CGAPS 3 : données jusqu'en 1977 mais en neutralisant les baisses de PIB</t>
  </si>
  <si>
    <t>Puis tout sélectionner ctrl+h et remplacer "," par ","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</si>
</sst>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1" fontId="0" fillId="0" borderId="0" xfId="0" applyNumberFormat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7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6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9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chartsheet" Target="chartsheets/sheet6.xml"/><Relationship Id="rId5" Type="http://schemas.openxmlformats.org/officeDocument/2006/relationships/chartsheet" Target="chartsheets/sheet2.xml"/><Relationship Id="rId15" Type="http://schemas.openxmlformats.org/officeDocument/2006/relationships/chartsheet" Target="chartsheets/sheet8.xml"/><Relationship Id="rId10" Type="http://schemas.openxmlformats.org/officeDocument/2006/relationships/chartsheet" Target="chartsheets/sheet5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chartsheet" Target="chartsheets/sheet4.xml"/><Relationship Id="rId14" Type="http://schemas.openxmlformats.org/officeDocument/2006/relationships/chartsheet" Target="chartsheets/sheet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Gaps de crédit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'Output R -CGAPS1'!$B$1</c:f>
              <c:strCache>
                <c:ptCount val="1"/>
                <c:pt idx="0">
                  <c:v>Gap BRI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'Output R -CGAPS1'!$A$2:$A$108</c:f>
              <c:numCache>
                <c:formatCode>mmm\-yy</c:formatCode>
                <c:ptCount val="107"/>
                <c:pt idx="0">
                  <c:v>36220</c:v>
                </c:pt>
                <c:pt idx="1">
                  <c:v>36312</c:v>
                </c:pt>
                <c:pt idx="2">
                  <c:v>36404</c:v>
                </c:pt>
                <c:pt idx="3">
                  <c:v>36495</c:v>
                </c:pt>
                <c:pt idx="4">
                  <c:v>36586</c:v>
                </c:pt>
                <c:pt idx="5">
                  <c:v>36678</c:v>
                </c:pt>
                <c:pt idx="6">
                  <c:v>36770</c:v>
                </c:pt>
                <c:pt idx="7">
                  <c:v>36861</c:v>
                </c:pt>
                <c:pt idx="8">
                  <c:v>36951</c:v>
                </c:pt>
                <c:pt idx="9">
                  <c:v>37043</c:v>
                </c:pt>
                <c:pt idx="10">
                  <c:v>37135</c:v>
                </c:pt>
                <c:pt idx="11">
                  <c:v>37226</c:v>
                </c:pt>
                <c:pt idx="12">
                  <c:v>37316</c:v>
                </c:pt>
                <c:pt idx="13">
                  <c:v>37408</c:v>
                </c:pt>
                <c:pt idx="14">
                  <c:v>37500</c:v>
                </c:pt>
                <c:pt idx="15">
                  <c:v>37591</c:v>
                </c:pt>
                <c:pt idx="16">
                  <c:v>37681</c:v>
                </c:pt>
                <c:pt idx="17">
                  <c:v>37773</c:v>
                </c:pt>
                <c:pt idx="18">
                  <c:v>37865</c:v>
                </c:pt>
                <c:pt idx="19">
                  <c:v>37956</c:v>
                </c:pt>
                <c:pt idx="20">
                  <c:v>38047</c:v>
                </c:pt>
                <c:pt idx="21">
                  <c:v>38139</c:v>
                </c:pt>
                <c:pt idx="22">
                  <c:v>38231</c:v>
                </c:pt>
                <c:pt idx="23">
                  <c:v>38322</c:v>
                </c:pt>
                <c:pt idx="24">
                  <c:v>38412</c:v>
                </c:pt>
                <c:pt idx="25">
                  <c:v>38504</c:v>
                </c:pt>
                <c:pt idx="26">
                  <c:v>38596</c:v>
                </c:pt>
                <c:pt idx="27">
                  <c:v>38687</c:v>
                </c:pt>
                <c:pt idx="28">
                  <c:v>38777</c:v>
                </c:pt>
                <c:pt idx="29">
                  <c:v>38869</c:v>
                </c:pt>
                <c:pt idx="30">
                  <c:v>38961</c:v>
                </c:pt>
                <c:pt idx="31">
                  <c:v>39052</c:v>
                </c:pt>
                <c:pt idx="32">
                  <c:v>39142</c:v>
                </c:pt>
                <c:pt idx="33">
                  <c:v>39234</c:v>
                </c:pt>
                <c:pt idx="34">
                  <c:v>39326</c:v>
                </c:pt>
                <c:pt idx="35">
                  <c:v>39417</c:v>
                </c:pt>
                <c:pt idx="36">
                  <c:v>39508</c:v>
                </c:pt>
                <c:pt idx="37">
                  <c:v>39600</c:v>
                </c:pt>
                <c:pt idx="38">
                  <c:v>39692</c:v>
                </c:pt>
                <c:pt idx="39">
                  <c:v>39783</c:v>
                </c:pt>
                <c:pt idx="40">
                  <c:v>39873</c:v>
                </c:pt>
                <c:pt idx="41">
                  <c:v>39965</c:v>
                </c:pt>
                <c:pt idx="42">
                  <c:v>40057</c:v>
                </c:pt>
                <c:pt idx="43">
                  <c:v>40148</c:v>
                </c:pt>
                <c:pt idx="44">
                  <c:v>40238</c:v>
                </c:pt>
                <c:pt idx="45">
                  <c:v>40330</c:v>
                </c:pt>
                <c:pt idx="46">
                  <c:v>40422</c:v>
                </c:pt>
                <c:pt idx="47">
                  <c:v>40513</c:v>
                </c:pt>
                <c:pt idx="48">
                  <c:v>40603</c:v>
                </c:pt>
                <c:pt idx="49">
                  <c:v>40695</c:v>
                </c:pt>
                <c:pt idx="50">
                  <c:v>40787</c:v>
                </c:pt>
                <c:pt idx="51">
                  <c:v>40878</c:v>
                </c:pt>
                <c:pt idx="52">
                  <c:v>40969</c:v>
                </c:pt>
                <c:pt idx="53">
                  <c:v>41061</c:v>
                </c:pt>
                <c:pt idx="54">
                  <c:v>41153</c:v>
                </c:pt>
                <c:pt idx="55">
                  <c:v>41244</c:v>
                </c:pt>
                <c:pt idx="56">
                  <c:v>41334</c:v>
                </c:pt>
                <c:pt idx="57">
                  <c:v>41426</c:v>
                </c:pt>
                <c:pt idx="58">
                  <c:v>41518</c:v>
                </c:pt>
                <c:pt idx="59">
                  <c:v>41609</c:v>
                </c:pt>
                <c:pt idx="60">
                  <c:v>41699</c:v>
                </c:pt>
                <c:pt idx="61">
                  <c:v>41791</c:v>
                </c:pt>
                <c:pt idx="62">
                  <c:v>41883</c:v>
                </c:pt>
                <c:pt idx="63">
                  <c:v>41974</c:v>
                </c:pt>
                <c:pt idx="64">
                  <c:v>42064</c:v>
                </c:pt>
                <c:pt idx="65">
                  <c:v>42156</c:v>
                </c:pt>
                <c:pt idx="66">
                  <c:v>42248</c:v>
                </c:pt>
                <c:pt idx="67">
                  <c:v>42339</c:v>
                </c:pt>
                <c:pt idx="68">
                  <c:v>42430</c:v>
                </c:pt>
                <c:pt idx="69">
                  <c:v>42522</c:v>
                </c:pt>
                <c:pt idx="70">
                  <c:v>42614</c:v>
                </c:pt>
                <c:pt idx="71">
                  <c:v>42705</c:v>
                </c:pt>
                <c:pt idx="72">
                  <c:v>42795</c:v>
                </c:pt>
                <c:pt idx="73">
                  <c:v>42887</c:v>
                </c:pt>
                <c:pt idx="74">
                  <c:v>42979</c:v>
                </c:pt>
                <c:pt idx="75">
                  <c:v>43070</c:v>
                </c:pt>
                <c:pt idx="76">
                  <c:v>43160</c:v>
                </c:pt>
                <c:pt idx="77">
                  <c:v>43252</c:v>
                </c:pt>
                <c:pt idx="78">
                  <c:v>43344</c:v>
                </c:pt>
                <c:pt idx="79">
                  <c:v>43435</c:v>
                </c:pt>
                <c:pt idx="80">
                  <c:v>43525</c:v>
                </c:pt>
                <c:pt idx="81">
                  <c:v>43617</c:v>
                </c:pt>
                <c:pt idx="82">
                  <c:v>43709</c:v>
                </c:pt>
                <c:pt idx="83">
                  <c:v>43800</c:v>
                </c:pt>
                <c:pt idx="84">
                  <c:v>43891</c:v>
                </c:pt>
                <c:pt idx="85">
                  <c:v>43983</c:v>
                </c:pt>
                <c:pt idx="86">
                  <c:v>44075</c:v>
                </c:pt>
                <c:pt idx="87">
                  <c:v>44166</c:v>
                </c:pt>
                <c:pt idx="88">
                  <c:v>44256</c:v>
                </c:pt>
                <c:pt idx="89">
                  <c:v>44348</c:v>
                </c:pt>
                <c:pt idx="90">
                  <c:v>44440</c:v>
                </c:pt>
                <c:pt idx="91">
                  <c:v>44531</c:v>
                </c:pt>
                <c:pt idx="92">
                  <c:v>44621</c:v>
                </c:pt>
                <c:pt idx="93">
                  <c:v>44713</c:v>
                </c:pt>
                <c:pt idx="94">
                  <c:v>44805</c:v>
                </c:pt>
                <c:pt idx="95">
                  <c:v>44896</c:v>
                </c:pt>
                <c:pt idx="96">
                  <c:v>44986</c:v>
                </c:pt>
                <c:pt idx="97">
                  <c:v>45078</c:v>
                </c:pt>
                <c:pt idx="98">
                  <c:v>45170</c:v>
                </c:pt>
                <c:pt idx="99">
                  <c:v>45261</c:v>
                </c:pt>
                <c:pt idx="100">
                  <c:v>45352</c:v>
                </c:pt>
              </c:numCache>
            </c:numRef>
          </c:cat>
          <c:val>
            <c:numRef>
              <c:f>'Output R -CGAPS1'!$B$2:$B$108</c:f>
              <c:numCache>
                <c:formatCode>General</c:formatCode>
                <c:ptCount val="107"/>
                <c:pt idx="0">
                  <c:v>4.8084267290613303</c:v>
                </c:pt>
                <c:pt idx="1">
                  <c:v>6.6742208427646297</c:v>
                </c:pt>
                <c:pt idx="2">
                  <c:v>4.3513981317721502</c:v>
                </c:pt>
                <c:pt idx="3">
                  <c:v>1.0892817250779701</c:v>
                </c:pt>
                <c:pt idx="4">
                  <c:v>1.64257395826653</c:v>
                </c:pt>
                <c:pt idx="5">
                  <c:v>-0.73096699438306001</c:v>
                </c:pt>
                <c:pt idx="6">
                  <c:v>-1.0833669923840601</c:v>
                </c:pt>
                <c:pt idx="7">
                  <c:v>-2.7294627202105999</c:v>
                </c:pt>
                <c:pt idx="8">
                  <c:v>-0.82436522827384695</c:v>
                </c:pt>
                <c:pt idx="9">
                  <c:v>-3.4766956868921399</c:v>
                </c:pt>
                <c:pt idx="10">
                  <c:v>-1.83144065986187</c:v>
                </c:pt>
                <c:pt idx="11">
                  <c:v>-2.38134062997795</c:v>
                </c:pt>
                <c:pt idx="12">
                  <c:v>-0.66305511135719697</c:v>
                </c:pt>
                <c:pt idx="13">
                  <c:v>-1.23297912525248</c:v>
                </c:pt>
                <c:pt idx="14">
                  <c:v>-1.9375558860466899</c:v>
                </c:pt>
                <c:pt idx="15">
                  <c:v>-2.3211378250127601</c:v>
                </c:pt>
                <c:pt idx="16">
                  <c:v>-1.31557991812346</c:v>
                </c:pt>
                <c:pt idx="17">
                  <c:v>-3.0071765016809899</c:v>
                </c:pt>
                <c:pt idx="18">
                  <c:v>-3.0915440042617401</c:v>
                </c:pt>
                <c:pt idx="19">
                  <c:v>-3.5368063703569801</c:v>
                </c:pt>
                <c:pt idx="20">
                  <c:v>-0.34540824402592202</c:v>
                </c:pt>
                <c:pt idx="21">
                  <c:v>-0.838433069304798</c:v>
                </c:pt>
                <c:pt idx="22">
                  <c:v>-0.17665852868479001</c:v>
                </c:pt>
                <c:pt idx="23">
                  <c:v>-1.0675364818481199</c:v>
                </c:pt>
                <c:pt idx="24">
                  <c:v>1.7179425800443899</c:v>
                </c:pt>
                <c:pt idx="25">
                  <c:v>0.31296038688699901</c:v>
                </c:pt>
                <c:pt idx="26">
                  <c:v>1.3096726342235401</c:v>
                </c:pt>
                <c:pt idx="27">
                  <c:v>1.4227512776064</c:v>
                </c:pt>
                <c:pt idx="28">
                  <c:v>2.8486748503447501</c:v>
                </c:pt>
                <c:pt idx="29">
                  <c:v>0.57841266541923397</c:v>
                </c:pt>
                <c:pt idx="30">
                  <c:v>0.70679154858628801</c:v>
                </c:pt>
                <c:pt idx="31">
                  <c:v>0.24088702265946901</c:v>
                </c:pt>
                <c:pt idx="32">
                  <c:v>2.2407717233506999</c:v>
                </c:pt>
                <c:pt idx="33">
                  <c:v>0.76371967564424703</c:v>
                </c:pt>
                <c:pt idx="34">
                  <c:v>0.33785854495892698</c:v>
                </c:pt>
                <c:pt idx="35">
                  <c:v>-1.1874267835654799</c:v>
                </c:pt>
                <c:pt idx="36">
                  <c:v>-1.25398639343045</c:v>
                </c:pt>
                <c:pt idx="37">
                  <c:v>0.96073683728002401</c:v>
                </c:pt>
                <c:pt idx="38">
                  <c:v>1.63262851131811</c:v>
                </c:pt>
                <c:pt idx="39">
                  <c:v>1.3932135096696601</c:v>
                </c:pt>
                <c:pt idx="40">
                  <c:v>2.0998413903843201</c:v>
                </c:pt>
                <c:pt idx="41">
                  <c:v>2.3183836466187802</c:v>
                </c:pt>
                <c:pt idx="42">
                  <c:v>2.79503958126601</c:v>
                </c:pt>
                <c:pt idx="43">
                  <c:v>3.1645898718466801</c:v>
                </c:pt>
                <c:pt idx="44">
                  <c:v>5.8351424145245501</c:v>
                </c:pt>
                <c:pt idx="45">
                  <c:v>4.3591157154032301</c:v>
                </c:pt>
                <c:pt idx="46">
                  <c:v>6.2231935770599804</c:v>
                </c:pt>
                <c:pt idx="47">
                  <c:v>5.7626222278322796</c:v>
                </c:pt>
                <c:pt idx="48">
                  <c:v>7.9087162419654797</c:v>
                </c:pt>
                <c:pt idx="49">
                  <c:v>7.93517146070901</c:v>
                </c:pt>
                <c:pt idx="50">
                  <c:v>7.7603110890760298</c:v>
                </c:pt>
                <c:pt idx="51">
                  <c:v>7.1378225439980998</c:v>
                </c:pt>
                <c:pt idx="52">
                  <c:v>11.0745500583505</c:v>
                </c:pt>
                <c:pt idx="53">
                  <c:v>10.633011536343</c:v>
                </c:pt>
                <c:pt idx="54">
                  <c:v>10.500250100738601</c:v>
                </c:pt>
                <c:pt idx="55">
                  <c:v>9.7763319134152997</c:v>
                </c:pt>
                <c:pt idx="56">
                  <c:v>10.5796116115304</c:v>
                </c:pt>
                <c:pt idx="57">
                  <c:v>10.448634230493401</c:v>
                </c:pt>
                <c:pt idx="58">
                  <c:v>9.8186382545411792</c:v>
                </c:pt>
                <c:pt idx="59">
                  <c:v>8.1685479267678307</c:v>
                </c:pt>
                <c:pt idx="60">
                  <c:v>10.325359552642</c:v>
                </c:pt>
                <c:pt idx="61">
                  <c:v>11.902863172165</c:v>
                </c:pt>
                <c:pt idx="62">
                  <c:v>12.6539659877836</c:v>
                </c:pt>
                <c:pt idx="63">
                  <c:v>11.8320460724643</c:v>
                </c:pt>
                <c:pt idx="64">
                  <c:v>9.2035971320497403</c:v>
                </c:pt>
                <c:pt idx="65">
                  <c:v>6.8287515682994604</c:v>
                </c:pt>
                <c:pt idx="66">
                  <c:v>3.7400155157844601</c:v>
                </c:pt>
                <c:pt idx="67">
                  <c:v>0.88700610694408699</c:v>
                </c:pt>
                <c:pt idx="68">
                  <c:v>0.97269087707970903</c:v>
                </c:pt>
                <c:pt idx="69">
                  <c:v>-1.4067552323239301</c:v>
                </c:pt>
                <c:pt idx="70">
                  <c:v>-0.97065346292959598</c:v>
                </c:pt>
                <c:pt idx="71">
                  <c:v>-2.1496764396319001</c:v>
                </c:pt>
                <c:pt idx="72">
                  <c:v>-2.8872852887008902</c:v>
                </c:pt>
                <c:pt idx="73">
                  <c:v>-4.0579027510033603</c:v>
                </c:pt>
                <c:pt idx="74">
                  <c:v>-4.5629680847280296</c:v>
                </c:pt>
                <c:pt idx="75">
                  <c:v>-5.7696546210478203</c:v>
                </c:pt>
                <c:pt idx="76">
                  <c:v>-5.1467839995865301</c:v>
                </c:pt>
                <c:pt idx="77">
                  <c:v>-4.7646081026009499</c:v>
                </c:pt>
                <c:pt idx="78">
                  <c:v>-4.8550184830347298</c:v>
                </c:pt>
                <c:pt idx="79">
                  <c:v>-5.7766372109263404</c:v>
                </c:pt>
                <c:pt idx="80">
                  <c:v>-6.2212208676390004</c:v>
                </c:pt>
                <c:pt idx="81">
                  <c:v>-6.5383793929629297</c:v>
                </c:pt>
                <c:pt idx="82">
                  <c:v>-7.00382885048323</c:v>
                </c:pt>
                <c:pt idx="83">
                  <c:v>-7.6014027573562801</c:v>
                </c:pt>
                <c:pt idx="84">
                  <c:v>-8.2340193346855095</c:v>
                </c:pt>
                <c:pt idx="85">
                  <c:v>-8.3649477447925307</c:v>
                </c:pt>
                <c:pt idx="86">
                  <c:v>-5.6112354862843903</c:v>
                </c:pt>
                <c:pt idx="87">
                  <c:v>-4.70593258549592</c:v>
                </c:pt>
                <c:pt idx="88">
                  <c:v>-2.33545471608682</c:v>
                </c:pt>
                <c:pt idx="89">
                  <c:v>-2.6346518016547198</c:v>
                </c:pt>
                <c:pt idx="90">
                  <c:v>-1.5229571694836599</c:v>
                </c:pt>
                <c:pt idx="91">
                  <c:v>3.8732754143330703E-2</c:v>
                </c:pt>
                <c:pt idx="92">
                  <c:v>0.38159226262215301</c:v>
                </c:pt>
                <c:pt idx="93">
                  <c:v>1.4341663884123499</c:v>
                </c:pt>
                <c:pt idx="94">
                  <c:v>2.8265534371930299</c:v>
                </c:pt>
                <c:pt idx="95">
                  <c:v>3.0294350537236499</c:v>
                </c:pt>
                <c:pt idx="96">
                  <c:v>3.3015859492297301</c:v>
                </c:pt>
                <c:pt idx="97">
                  <c:v>3.2144354907900401</c:v>
                </c:pt>
                <c:pt idx="98">
                  <c:v>2.40821968267747</c:v>
                </c:pt>
                <c:pt idx="99">
                  <c:v>1.4108269104990701</c:v>
                </c:pt>
                <c:pt idx="100">
                  <c:v>1.1934770297767401</c:v>
                </c:pt>
                <c:pt idx="101">
                  <c:v>1.45742915829174</c:v>
                </c:pt>
                <c:pt idx="102">
                  <c:v>1.2398340369268701</c:v>
                </c:pt>
                <c:pt idx="103">
                  <c:v>0.20336636136139799</c:v>
                </c:pt>
                <c:pt idx="104">
                  <c:v>-1.5440997606114499</c:v>
                </c:pt>
                <c:pt idx="105">
                  <c:v>-1.6409121448431501</c:v>
                </c:pt>
                <c:pt idx="106">
                  <c:v>-0.52004334979292899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EA-4931-818D-541827494261}"/>
            </c:ext>
          </c:extLst>
        </c:ser>
        <c:ser>
          <c:idx val="1"/>
          <c:order val="1"/>
          <c:tx>
            <c:strRef>
              <c:f>'Output R -CGAPS1'!$C$1</c:f>
              <c:strCache>
                <c:ptCount val="1"/>
                <c:pt idx="0">
                  <c:v>Gap bancaire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'Output R -CGAPS1'!$A$2:$A$108</c:f>
              <c:numCache>
                <c:formatCode>mmm\-yy</c:formatCode>
                <c:ptCount val="107"/>
                <c:pt idx="0">
                  <c:v>36220</c:v>
                </c:pt>
                <c:pt idx="1">
                  <c:v>36312</c:v>
                </c:pt>
                <c:pt idx="2">
                  <c:v>36404</c:v>
                </c:pt>
                <c:pt idx="3">
                  <c:v>36495</c:v>
                </c:pt>
                <c:pt idx="4">
                  <c:v>36586</c:v>
                </c:pt>
                <c:pt idx="5">
                  <c:v>36678</c:v>
                </c:pt>
                <c:pt idx="6">
                  <c:v>36770</c:v>
                </c:pt>
                <c:pt idx="7">
                  <c:v>36861</c:v>
                </c:pt>
                <c:pt idx="8">
                  <c:v>36951</c:v>
                </c:pt>
                <c:pt idx="9">
                  <c:v>37043</c:v>
                </c:pt>
                <c:pt idx="10">
                  <c:v>37135</c:v>
                </c:pt>
                <c:pt idx="11">
                  <c:v>37226</c:v>
                </c:pt>
                <c:pt idx="12">
                  <c:v>37316</c:v>
                </c:pt>
                <c:pt idx="13">
                  <c:v>37408</c:v>
                </c:pt>
                <c:pt idx="14">
                  <c:v>37500</c:v>
                </c:pt>
                <c:pt idx="15">
                  <c:v>37591</c:v>
                </c:pt>
                <c:pt idx="16">
                  <c:v>37681</c:v>
                </c:pt>
                <c:pt idx="17">
                  <c:v>37773</c:v>
                </c:pt>
                <c:pt idx="18">
                  <c:v>37865</c:v>
                </c:pt>
                <c:pt idx="19">
                  <c:v>37956</c:v>
                </c:pt>
                <c:pt idx="20">
                  <c:v>38047</c:v>
                </c:pt>
                <c:pt idx="21">
                  <c:v>38139</c:v>
                </c:pt>
                <c:pt idx="22">
                  <c:v>38231</c:v>
                </c:pt>
                <c:pt idx="23">
                  <c:v>38322</c:v>
                </c:pt>
                <c:pt idx="24">
                  <c:v>38412</c:v>
                </c:pt>
                <c:pt idx="25">
                  <c:v>38504</c:v>
                </c:pt>
                <c:pt idx="26">
                  <c:v>38596</c:v>
                </c:pt>
                <c:pt idx="27">
                  <c:v>38687</c:v>
                </c:pt>
                <c:pt idx="28">
                  <c:v>38777</c:v>
                </c:pt>
                <c:pt idx="29">
                  <c:v>38869</c:v>
                </c:pt>
                <c:pt idx="30">
                  <c:v>38961</c:v>
                </c:pt>
                <c:pt idx="31">
                  <c:v>39052</c:v>
                </c:pt>
                <c:pt idx="32">
                  <c:v>39142</c:v>
                </c:pt>
                <c:pt idx="33">
                  <c:v>39234</c:v>
                </c:pt>
                <c:pt idx="34">
                  <c:v>39326</c:v>
                </c:pt>
                <c:pt idx="35">
                  <c:v>39417</c:v>
                </c:pt>
                <c:pt idx="36">
                  <c:v>39508</c:v>
                </c:pt>
                <c:pt idx="37">
                  <c:v>39600</c:v>
                </c:pt>
                <c:pt idx="38">
                  <c:v>39692</c:v>
                </c:pt>
                <c:pt idx="39">
                  <c:v>39783</c:v>
                </c:pt>
                <c:pt idx="40">
                  <c:v>39873</c:v>
                </c:pt>
                <c:pt idx="41">
                  <c:v>39965</c:v>
                </c:pt>
                <c:pt idx="42">
                  <c:v>40057</c:v>
                </c:pt>
                <c:pt idx="43">
                  <c:v>40148</c:v>
                </c:pt>
                <c:pt idx="44">
                  <c:v>40238</c:v>
                </c:pt>
                <c:pt idx="45">
                  <c:v>40330</c:v>
                </c:pt>
                <c:pt idx="46">
                  <c:v>40422</c:v>
                </c:pt>
                <c:pt idx="47">
                  <c:v>40513</c:v>
                </c:pt>
                <c:pt idx="48">
                  <c:v>40603</c:v>
                </c:pt>
                <c:pt idx="49">
                  <c:v>40695</c:v>
                </c:pt>
                <c:pt idx="50">
                  <c:v>40787</c:v>
                </c:pt>
                <c:pt idx="51">
                  <c:v>40878</c:v>
                </c:pt>
                <c:pt idx="52">
                  <c:v>40969</c:v>
                </c:pt>
                <c:pt idx="53">
                  <c:v>41061</c:v>
                </c:pt>
                <c:pt idx="54">
                  <c:v>41153</c:v>
                </c:pt>
                <c:pt idx="55">
                  <c:v>41244</c:v>
                </c:pt>
                <c:pt idx="56">
                  <c:v>41334</c:v>
                </c:pt>
                <c:pt idx="57">
                  <c:v>41426</c:v>
                </c:pt>
                <c:pt idx="58">
                  <c:v>41518</c:v>
                </c:pt>
                <c:pt idx="59">
                  <c:v>41609</c:v>
                </c:pt>
                <c:pt idx="60">
                  <c:v>41699</c:v>
                </c:pt>
                <c:pt idx="61">
                  <c:v>41791</c:v>
                </c:pt>
                <c:pt idx="62">
                  <c:v>41883</c:v>
                </c:pt>
                <c:pt idx="63">
                  <c:v>41974</c:v>
                </c:pt>
                <c:pt idx="64">
                  <c:v>42064</c:v>
                </c:pt>
                <c:pt idx="65">
                  <c:v>42156</c:v>
                </c:pt>
                <c:pt idx="66">
                  <c:v>42248</c:v>
                </c:pt>
                <c:pt idx="67">
                  <c:v>42339</c:v>
                </c:pt>
                <c:pt idx="68">
                  <c:v>42430</c:v>
                </c:pt>
                <c:pt idx="69">
                  <c:v>42522</c:v>
                </c:pt>
                <c:pt idx="70">
                  <c:v>42614</c:v>
                </c:pt>
                <c:pt idx="71">
                  <c:v>42705</c:v>
                </c:pt>
                <c:pt idx="72">
                  <c:v>42795</c:v>
                </c:pt>
                <c:pt idx="73">
                  <c:v>42887</c:v>
                </c:pt>
                <c:pt idx="74">
                  <c:v>42979</c:v>
                </c:pt>
                <c:pt idx="75">
                  <c:v>43070</c:v>
                </c:pt>
                <c:pt idx="76">
                  <c:v>43160</c:v>
                </c:pt>
                <c:pt idx="77">
                  <c:v>43252</c:v>
                </c:pt>
                <c:pt idx="78">
                  <c:v>43344</c:v>
                </c:pt>
                <c:pt idx="79">
                  <c:v>43435</c:v>
                </c:pt>
                <c:pt idx="80">
                  <c:v>43525</c:v>
                </c:pt>
                <c:pt idx="81">
                  <c:v>43617</c:v>
                </c:pt>
                <c:pt idx="82">
                  <c:v>43709</c:v>
                </c:pt>
                <c:pt idx="83">
                  <c:v>43800</c:v>
                </c:pt>
                <c:pt idx="84">
                  <c:v>43891</c:v>
                </c:pt>
                <c:pt idx="85">
                  <c:v>43983</c:v>
                </c:pt>
                <c:pt idx="86">
                  <c:v>44075</c:v>
                </c:pt>
                <c:pt idx="87">
                  <c:v>44166</c:v>
                </c:pt>
                <c:pt idx="88">
                  <c:v>44256</c:v>
                </c:pt>
                <c:pt idx="89">
                  <c:v>44348</c:v>
                </c:pt>
                <c:pt idx="90">
                  <c:v>44440</c:v>
                </c:pt>
                <c:pt idx="91">
                  <c:v>44531</c:v>
                </c:pt>
                <c:pt idx="92">
                  <c:v>44621</c:v>
                </c:pt>
                <c:pt idx="93">
                  <c:v>44713</c:v>
                </c:pt>
                <c:pt idx="94">
                  <c:v>44805</c:v>
                </c:pt>
                <c:pt idx="95">
                  <c:v>44896</c:v>
                </c:pt>
                <c:pt idx="96">
                  <c:v>44986</c:v>
                </c:pt>
                <c:pt idx="97">
                  <c:v>45078</c:v>
                </c:pt>
                <c:pt idx="98">
                  <c:v>45170</c:v>
                </c:pt>
                <c:pt idx="99">
                  <c:v>45261</c:v>
                </c:pt>
                <c:pt idx="100">
                  <c:v>45352</c:v>
                </c:pt>
              </c:numCache>
            </c:numRef>
          </c:cat>
          <c:val>
            <c:numRef>
              <c:f>'Output R -CGAPS1'!$C$2:$C$108</c:f>
              <c:numCache>
                <c:formatCode>General</c:formatCode>
                <c:ptCount val="107"/>
                <c:pt idx="0">
                  <c:v>1.1542506502801499</c:v>
                </c:pt>
                <c:pt idx="1">
                  <c:v>1.88357076221942</c:v>
                </c:pt>
                <c:pt idx="2">
                  <c:v>0.97200970234620299</c:v>
                </c:pt>
                <c:pt idx="3">
                  <c:v>-0.246746352973959</c:v>
                </c:pt>
                <c:pt idx="4">
                  <c:v>5.20076015203682E-2</c:v>
                </c:pt>
                <c:pt idx="5">
                  <c:v>-0.69018418108569102</c:v>
                </c:pt>
                <c:pt idx="6">
                  <c:v>-0.33195754214715401</c:v>
                </c:pt>
                <c:pt idx="7">
                  <c:v>-0.57696555482747103</c:v>
                </c:pt>
                <c:pt idx="8">
                  <c:v>0.12889632296313699</c:v>
                </c:pt>
                <c:pt idx="9">
                  <c:v>-0.625701241736484</c:v>
                </c:pt>
                <c:pt idx="10">
                  <c:v>-8.5104581560820694E-2</c:v>
                </c:pt>
                <c:pt idx="11">
                  <c:v>-0.35958710716318798</c:v>
                </c:pt>
                <c:pt idx="12">
                  <c:v>0.37221258942459901</c:v>
                </c:pt>
                <c:pt idx="13">
                  <c:v>0.170220746846175</c:v>
                </c:pt>
                <c:pt idx="14">
                  <c:v>-0.250556546351486</c:v>
                </c:pt>
                <c:pt idx="15">
                  <c:v>-0.54398710981746401</c:v>
                </c:pt>
                <c:pt idx="16">
                  <c:v>-0.42344067930665602</c:v>
                </c:pt>
                <c:pt idx="17">
                  <c:v>-1.1803575190672599</c:v>
                </c:pt>
                <c:pt idx="18">
                  <c:v>-1.25502801863007</c:v>
                </c:pt>
                <c:pt idx="19">
                  <c:v>-1.36743450684696</c:v>
                </c:pt>
                <c:pt idx="20">
                  <c:v>-6.7754401012680293E-2</c:v>
                </c:pt>
                <c:pt idx="21">
                  <c:v>-0.124465645812616</c:v>
                </c:pt>
                <c:pt idx="22">
                  <c:v>7.4092119583578198E-2</c:v>
                </c:pt>
                <c:pt idx="23">
                  <c:v>-0.22933388281427899</c:v>
                </c:pt>
                <c:pt idx="24">
                  <c:v>0.37525334265829802</c:v>
                </c:pt>
                <c:pt idx="25">
                  <c:v>-0.137659311451483</c:v>
                </c:pt>
                <c:pt idx="26">
                  <c:v>0.32007648166020303</c:v>
                </c:pt>
                <c:pt idx="27">
                  <c:v>0.339818012828914</c:v>
                </c:pt>
                <c:pt idx="28">
                  <c:v>0.97672721888591796</c:v>
                </c:pt>
                <c:pt idx="29">
                  <c:v>0.46694731142080498</c:v>
                </c:pt>
                <c:pt idx="30">
                  <c:v>0.430062261733752</c:v>
                </c:pt>
                <c:pt idx="31">
                  <c:v>0.20659616549234799</c:v>
                </c:pt>
                <c:pt idx="32">
                  <c:v>0.91352710279024196</c:v>
                </c:pt>
                <c:pt idx="33">
                  <c:v>2.4016093114453099E-2</c:v>
                </c:pt>
                <c:pt idx="34">
                  <c:v>-3.55861039259436E-2</c:v>
                </c:pt>
                <c:pt idx="35">
                  <c:v>-0.61758450190981096</c:v>
                </c:pt>
                <c:pt idx="36">
                  <c:v>-0.83571427123340003</c:v>
                </c:pt>
                <c:pt idx="37">
                  <c:v>9.1356823103072193E-2</c:v>
                </c:pt>
                <c:pt idx="38">
                  <c:v>0.45188613968147401</c:v>
                </c:pt>
                <c:pt idx="39">
                  <c:v>0.58162161112176003</c:v>
                </c:pt>
                <c:pt idx="40">
                  <c:v>1.15519415966132</c:v>
                </c:pt>
                <c:pt idx="41">
                  <c:v>1.1474476959073701</c:v>
                </c:pt>
                <c:pt idx="42">
                  <c:v>1.3521619394609901</c:v>
                </c:pt>
                <c:pt idx="43">
                  <c:v>1.30368696918859</c:v>
                </c:pt>
                <c:pt idx="44">
                  <c:v>2.2870422876374099</c:v>
                </c:pt>
                <c:pt idx="45">
                  <c:v>1.4718843806633699</c:v>
                </c:pt>
                <c:pt idx="46">
                  <c:v>2.2338379446025498</c:v>
                </c:pt>
                <c:pt idx="47">
                  <c:v>1.8710273303903999</c:v>
                </c:pt>
                <c:pt idx="48">
                  <c:v>2.42818484285932</c:v>
                </c:pt>
                <c:pt idx="49">
                  <c:v>2.5640258943700198</c:v>
                </c:pt>
                <c:pt idx="50">
                  <c:v>2.62059150046947</c:v>
                </c:pt>
                <c:pt idx="51">
                  <c:v>2.4590142662707</c:v>
                </c:pt>
                <c:pt idx="52">
                  <c:v>4.0003664989110304</c:v>
                </c:pt>
                <c:pt idx="53">
                  <c:v>3.71981702563227</c:v>
                </c:pt>
                <c:pt idx="54">
                  <c:v>3.6595641992203398</c:v>
                </c:pt>
                <c:pt idx="55">
                  <c:v>3.4048574500332398</c:v>
                </c:pt>
                <c:pt idx="56">
                  <c:v>3.6415491378624698</c:v>
                </c:pt>
                <c:pt idx="57">
                  <c:v>3.2817895628669702</c:v>
                </c:pt>
                <c:pt idx="58">
                  <c:v>2.9957499366751299</c:v>
                </c:pt>
                <c:pt idx="59">
                  <c:v>2.2523720113463201</c:v>
                </c:pt>
                <c:pt idx="60">
                  <c:v>3.0089439239354099</c:v>
                </c:pt>
                <c:pt idx="61">
                  <c:v>4.0728084900958397</c:v>
                </c:pt>
                <c:pt idx="62">
                  <c:v>4.2382911373646701</c:v>
                </c:pt>
                <c:pt idx="63">
                  <c:v>3.90361724872615</c:v>
                </c:pt>
                <c:pt idx="64">
                  <c:v>3.2946976671489501</c:v>
                </c:pt>
                <c:pt idx="65">
                  <c:v>2.1919980942160402</c:v>
                </c:pt>
                <c:pt idx="66">
                  <c:v>0.984679489036419</c:v>
                </c:pt>
                <c:pt idx="67">
                  <c:v>-0.33514934547305097</c:v>
                </c:pt>
                <c:pt idx="68">
                  <c:v>-0.54810749078401499</c:v>
                </c:pt>
                <c:pt idx="69">
                  <c:v>-1.6357996095093601</c:v>
                </c:pt>
                <c:pt idx="70">
                  <c:v>-1.5879752256113699</c:v>
                </c:pt>
                <c:pt idx="71">
                  <c:v>-2.2206523685642701</c:v>
                </c:pt>
                <c:pt idx="72">
                  <c:v>-2.5476387056646601</c:v>
                </c:pt>
                <c:pt idx="73">
                  <c:v>-3.06252353580029</c:v>
                </c:pt>
                <c:pt idx="74">
                  <c:v>-3.3879203101880702</c:v>
                </c:pt>
                <c:pt idx="75">
                  <c:v>-3.6511060837234401</c:v>
                </c:pt>
                <c:pt idx="76">
                  <c:v>-3.3577259522630301</c:v>
                </c:pt>
                <c:pt idx="77">
                  <c:v>-3.38006461001414</c:v>
                </c:pt>
                <c:pt idx="78">
                  <c:v>-3.3290849862713299</c:v>
                </c:pt>
                <c:pt idx="79">
                  <c:v>-3.68264806805694</c:v>
                </c:pt>
                <c:pt idx="80">
                  <c:v>-3.7322313035855599</c:v>
                </c:pt>
                <c:pt idx="81">
                  <c:v>-4.36836254782484</c:v>
                </c:pt>
                <c:pt idx="82">
                  <c:v>-4.3901105494201103</c:v>
                </c:pt>
                <c:pt idx="83">
                  <c:v>-4.5177960508688901</c:v>
                </c:pt>
                <c:pt idx="84">
                  <c:v>-4.7800625241918704</c:v>
                </c:pt>
                <c:pt idx="85">
                  <c:v>-4.7188480363119796</c:v>
                </c:pt>
                <c:pt idx="86">
                  <c:v>-4.2025568467828798</c:v>
                </c:pt>
                <c:pt idx="87">
                  <c:v>-3.39622114123677</c:v>
                </c:pt>
                <c:pt idx="88">
                  <c:v>-2.7497558511692599</c:v>
                </c:pt>
                <c:pt idx="89">
                  <c:v>-2.5312742126461401</c:v>
                </c:pt>
                <c:pt idx="90">
                  <c:v>-2.1435249289072602</c:v>
                </c:pt>
                <c:pt idx="91">
                  <c:v>-2.0159752315391102</c:v>
                </c:pt>
                <c:pt idx="92">
                  <c:v>-1.8583262998830601</c:v>
                </c:pt>
                <c:pt idx="93">
                  <c:v>-1.65112670593988</c:v>
                </c:pt>
                <c:pt idx="94">
                  <c:v>-1.2056828987630801</c:v>
                </c:pt>
                <c:pt idx="95">
                  <c:v>-1.4062059935396001</c:v>
                </c:pt>
                <c:pt idx="96">
                  <c:v>-1.57525016363842</c:v>
                </c:pt>
                <c:pt idx="97">
                  <c:v>-2.0906258485373499</c:v>
                </c:pt>
                <c:pt idx="98">
                  <c:v>-1.8610052967988899</c:v>
                </c:pt>
                <c:pt idx="99">
                  <c:v>-1.8840200912893299</c:v>
                </c:pt>
                <c:pt idx="100">
                  <c:v>-2.2271064311319999</c:v>
                </c:pt>
                <c:pt idx="101">
                  <c:v>-2.60948344578886</c:v>
                </c:pt>
                <c:pt idx="102">
                  <c:v>-2.5698393230733898</c:v>
                </c:pt>
                <c:pt idx="103">
                  <c:v>-2.70593607403248</c:v>
                </c:pt>
                <c:pt idx="104">
                  <c:v>-2.83628844382421</c:v>
                </c:pt>
                <c:pt idx="105">
                  <c:v>-2.9887303679649699</c:v>
                </c:pt>
                <c:pt idx="106">
                  <c:v>-2.0771191137426901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EA-4931-818D-541827494261}"/>
            </c:ext>
          </c:extLst>
        </c:ser>
        <c:ser>
          <c:idx val="2"/>
          <c:order val="2"/>
          <c:tx>
            <c:strRef>
              <c:f>'Output R -CGAPS1'!$D$1</c:f>
              <c:strCache>
                <c:ptCount val="1"/>
                <c:pt idx="0">
                  <c:v>Gap HCSF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'Output R -CGAPS1'!$A$2:$A$108</c:f>
              <c:numCache>
                <c:formatCode>mmm\-yy</c:formatCode>
                <c:ptCount val="107"/>
                <c:pt idx="0">
                  <c:v>36220</c:v>
                </c:pt>
                <c:pt idx="1">
                  <c:v>36312</c:v>
                </c:pt>
                <c:pt idx="2">
                  <c:v>36404</c:v>
                </c:pt>
                <c:pt idx="3">
                  <c:v>36495</c:v>
                </c:pt>
                <c:pt idx="4">
                  <c:v>36586</c:v>
                </c:pt>
                <c:pt idx="5">
                  <c:v>36678</c:v>
                </c:pt>
                <c:pt idx="6">
                  <c:v>36770</c:v>
                </c:pt>
                <c:pt idx="7">
                  <c:v>36861</c:v>
                </c:pt>
                <c:pt idx="8">
                  <c:v>36951</c:v>
                </c:pt>
                <c:pt idx="9">
                  <c:v>37043</c:v>
                </c:pt>
                <c:pt idx="10">
                  <c:v>37135</c:v>
                </c:pt>
                <c:pt idx="11">
                  <c:v>37226</c:v>
                </c:pt>
                <c:pt idx="12">
                  <c:v>37316</c:v>
                </c:pt>
                <c:pt idx="13">
                  <c:v>37408</c:v>
                </c:pt>
                <c:pt idx="14">
                  <c:v>37500</c:v>
                </c:pt>
                <c:pt idx="15">
                  <c:v>37591</c:v>
                </c:pt>
                <c:pt idx="16">
                  <c:v>37681</c:v>
                </c:pt>
                <c:pt idx="17">
                  <c:v>37773</c:v>
                </c:pt>
                <c:pt idx="18">
                  <c:v>37865</c:v>
                </c:pt>
                <c:pt idx="19">
                  <c:v>37956</c:v>
                </c:pt>
                <c:pt idx="20">
                  <c:v>38047</c:v>
                </c:pt>
                <c:pt idx="21">
                  <c:v>38139</c:v>
                </c:pt>
                <c:pt idx="22">
                  <c:v>38231</c:v>
                </c:pt>
                <c:pt idx="23">
                  <c:v>38322</c:v>
                </c:pt>
                <c:pt idx="24">
                  <c:v>38412</c:v>
                </c:pt>
                <c:pt idx="25">
                  <c:v>38504</c:v>
                </c:pt>
                <c:pt idx="26">
                  <c:v>38596</c:v>
                </c:pt>
                <c:pt idx="27">
                  <c:v>38687</c:v>
                </c:pt>
                <c:pt idx="28">
                  <c:v>38777</c:v>
                </c:pt>
                <c:pt idx="29">
                  <c:v>38869</c:v>
                </c:pt>
                <c:pt idx="30">
                  <c:v>38961</c:v>
                </c:pt>
                <c:pt idx="31">
                  <c:v>39052</c:v>
                </c:pt>
                <c:pt idx="32">
                  <c:v>39142</c:v>
                </c:pt>
                <c:pt idx="33">
                  <c:v>39234</c:v>
                </c:pt>
                <c:pt idx="34">
                  <c:v>39326</c:v>
                </c:pt>
                <c:pt idx="35">
                  <c:v>39417</c:v>
                </c:pt>
                <c:pt idx="36">
                  <c:v>39508</c:v>
                </c:pt>
                <c:pt idx="37">
                  <c:v>39600</c:v>
                </c:pt>
                <c:pt idx="38">
                  <c:v>39692</c:v>
                </c:pt>
                <c:pt idx="39">
                  <c:v>39783</c:v>
                </c:pt>
                <c:pt idx="40">
                  <c:v>39873</c:v>
                </c:pt>
                <c:pt idx="41">
                  <c:v>39965</c:v>
                </c:pt>
                <c:pt idx="42">
                  <c:v>40057</c:v>
                </c:pt>
                <c:pt idx="43">
                  <c:v>40148</c:v>
                </c:pt>
                <c:pt idx="44">
                  <c:v>40238</c:v>
                </c:pt>
                <c:pt idx="45">
                  <c:v>40330</c:v>
                </c:pt>
                <c:pt idx="46">
                  <c:v>40422</c:v>
                </c:pt>
                <c:pt idx="47">
                  <c:v>40513</c:v>
                </c:pt>
                <c:pt idx="48">
                  <c:v>40603</c:v>
                </c:pt>
                <c:pt idx="49">
                  <c:v>40695</c:v>
                </c:pt>
                <c:pt idx="50">
                  <c:v>40787</c:v>
                </c:pt>
                <c:pt idx="51">
                  <c:v>40878</c:v>
                </c:pt>
                <c:pt idx="52">
                  <c:v>40969</c:v>
                </c:pt>
                <c:pt idx="53">
                  <c:v>41061</c:v>
                </c:pt>
                <c:pt idx="54">
                  <c:v>41153</c:v>
                </c:pt>
                <c:pt idx="55">
                  <c:v>41244</c:v>
                </c:pt>
                <c:pt idx="56">
                  <c:v>41334</c:v>
                </c:pt>
                <c:pt idx="57">
                  <c:v>41426</c:v>
                </c:pt>
                <c:pt idx="58">
                  <c:v>41518</c:v>
                </c:pt>
                <c:pt idx="59">
                  <c:v>41609</c:v>
                </c:pt>
                <c:pt idx="60">
                  <c:v>41699</c:v>
                </c:pt>
                <c:pt idx="61">
                  <c:v>41791</c:v>
                </c:pt>
                <c:pt idx="62">
                  <c:v>41883</c:v>
                </c:pt>
                <c:pt idx="63">
                  <c:v>41974</c:v>
                </c:pt>
                <c:pt idx="64">
                  <c:v>42064</c:v>
                </c:pt>
                <c:pt idx="65">
                  <c:v>42156</c:v>
                </c:pt>
                <c:pt idx="66">
                  <c:v>42248</c:v>
                </c:pt>
                <c:pt idx="67">
                  <c:v>42339</c:v>
                </c:pt>
                <c:pt idx="68">
                  <c:v>42430</c:v>
                </c:pt>
                <c:pt idx="69">
                  <c:v>42522</c:v>
                </c:pt>
                <c:pt idx="70">
                  <c:v>42614</c:v>
                </c:pt>
                <c:pt idx="71">
                  <c:v>42705</c:v>
                </c:pt>
                <c:pt idx="72">
                  <c:v>42795</c:v>
                </c:pt>
                <c:pt idx="73">
                  <c:v>42887</c:v>
                </c:pt>
                <c:pt idx="74">
                  <c:v>42979</c:v>
                </c:pt>
                <c:pt idx="75">
                  <c:v>43070</c:v>
                </c:pt>
                <c:pt idx="76">
                  <c:v>43160</c:v>
                </c:pt>
                <c:pt idx="77">
                  <c:v>43252</c:v>
                </c:pt>
                <c:pt idx="78">
                  <c:v>43344</c:v>
                </c:pt>
                <c:pt idx="79">
                  <c:v>43435</c:v>
                </c:pt>
                <c:pt idx="80">
                  <c:v>43525</c:v>
                </c:pt>
                <c:pt idx="81">
                  <c:v>43617</c:v>
                </c:pt>
                <c:pt idx="82">
                  <c:v>43709</c:v>
                </c:pt>
                <c:pt idx="83">
                  <c:v>43800</c:v>
                </c:pt>
                <c:pt idx="84">
                  <c:v>43891</c:v>
                </c:pt>
                <c:pt idx="85">
                  <c:v>43983</c:v>
                </c:pt>
                <c:pt idx="86">
                  <c:v>44075</c:v>
                </c:pt>
                <c:pt idx="87">
                  <c:v>44166</c:v>
                </c:pt>
                <c:pt idx="88">
                  <c:v>44256</c:v>
                </c:pt>
                <c:pt idx="89">
                  <c:v>44348</c:v>
                </c:pt>
                <c:pt idx="90">
                  <c:v>44440</c:v>
                </c:pt>
                <c:pt idx="91">
                  <c:v>44531</c:v>
                </c:pt>
                <c:pt idx="92">
                  <c:v>44621</c:v>
                </c:pt>
                <c:pt idx="93">
                  <c:v>44713</c:v>
                </c:pt>
                <c:pt idx="94">
                  <c:v>44805</c:v>
                </c:pt>
                <c:pt idx="95">
                  <c:v>44896</c:v>
                </c:pt>
                <c:pt idx="96">
                  <c:v>44986</c:v>
                </c:pt>
                <c:pt idx="97">
                  <c:v>45078</c:v>
                </c:pt>
                <c:pt idx="98">
                  <c:v>45170</c:v>
                </c:pt>
                <c:pt idx="99">
                  <c:v>45261</c:v>
                </c:pt>
                <c:pt idx="100">
                  <c:v>45352</c:v>
                </c:pt>
              </c:numCache>
            </c:numRef>
          </c:cat>
          <c:val>
            <c:numRef>
              <c:f>'Output R -CGAPS1'!$D$2:$D$108</c:f>
              <c:numCache>
                <c:formatCode>General</c:formatCode>
                <c:ptCount val="107"/>
                <c:pt idx="0">
                  <c:v>2.1640911197557702</c:v>
                </c:pt>
                <c:pt idx="1">
                  <c:v>3.2074785931864902</c:v>
                </c:pt>
                <c:pt idx="2">
                  <c:v>1.9059119348981799</c:v>
                </c:pt>
                <c:pt idx="3">
                  <c:v>0.12246826407931</c:v>
                </c:pt>
                <c:pt idx="4">
                  <c:v>0.49156449254032603</c:v>
                </c:pt>
                <c:pt idx="5">
                  <c:v>-0.70145461098256701</c:v>
                </c:pt>
                <c:pt idx="6">
                  <c:v>-0.53961137590788899</c:v>
                </c:pt>
                <c:pt idx="7">
                  <c:v>-1.1718133949896901</c:v>
                </c:pt>
                <c:pt idx="8">
                  <c:v>-0.13453983109199799</c:v>
                </c:pt>
                <c:pt idx="9">
                  <c:v>-1.4135805083340101</c:v>
                </c:pt>
                <c:pt idx="10">
                  <c:v>-0.56770881495125802</c:v>
                </c:pt>
                <c:pt idx="11">
                  <c:v>-0.918303622904869</c:v>
                </c:pt>
                <c:pt idx="12">
                  <c:v>8.6113835984376899E-2</c:v>
                </c:pt>
                <c:pt idx="13">
                  <c:v>-0.21755695927922999</c:v>
                </c:pt>
                <c:pt idx="14">
                  <c:v>-0.71676292734525504</c:v>
                </c:pt>
                <c:pt idx="15">
                  <c:v>-1.0351070432499301</c:v>
                </c:pt>
                <c:pt idx="16">
                  <c:v>-0.66998553328774302</c:v>
                </c:pt>
                <c:pt idx="17">
                  <c:v>-1.6852033993086899</c:v>
                </c:pt>
                <c:pt idx="18">
                  <c:v>-1.76255368930003</c:v>
                </c:pt>
                <c:pt idx="19">
                  <c:v>-1.9669457109826201</c:v>
                </c:pt>
                <c:pt idx="20">
                  <c:v>-0.14448471754235301</c:v>
                </c:pt>
                <c:pt idx="21">
                  <c:v>-0.32177228418619103</c:v>
                </c:pt>
                <c:pt idx="22">
                  <c:v>4.7965665206308097E-3</c:v>
                </c:pt>
                <c:pt idx="23">
                  <c:v>-0.46097321487575599</c:v>
                </c:pt>
                <c:pt idx="24">
                  <c:v>0.74630878733569495</c:v>
                </c:pt>
                <c:pt idx="25">
                  <c:v>-1.31294590540116E-2</c:v>
                </c:pt>
                <c:pt idx="26">
                  <c:v>0.59355379138771702</c:v>
                </c:pt>
                <c:pt idx="27">
                  <c:v>0.63908926110393105</c:v>
                </c:pt>
                <c:pt idx="28">
                  <c:v>1.4940445112744201</c:v>
                </c:pt>
                <c:pt idx="29">
                  <c:v>0.49775103378811802</c:v>
                </c:pt>
                <c:pt idx="30">
                  <c:v>0.50653707491408395</c:v>
                </c:pt>
                <c:pt idx="31">
                  <c:v>0.21607252748306799</c:v>
                </c:pt>
                <c:pt idx="32">
                  <c:v>1.2803143899487499</c:v>
                </c:pt>
                <c:pt idx="33">
                  <c:v>0.22843498179148</c:v>
                </c:pt>
                <c:pt idx="34">
                  <c:v>6.7616235376442999E-2</c:v>
                </c:pt>
                <c:pt idx="35">
                  <c:v>-0.77506180591157103</c:v>
                </c:pt>
                <c:pt idx="36">
                  <c:v>-0.95130479208998897</c:v>
                </c:pt>
                <c:pt idx="37">
                  <c:v>0.33161210986034301</c:v>
                </c:pt>
                <c:pt idx="38">
                  <c:v>0.77818717312834795</c:v>
                </c:pt>
                <c:pt idx="39">
                  <c:v>0.80590701121816399</c:v>
                </c:pt>
                <c:pt idx="40">
                  <c:v>1.4162497252377499</c:v>
                </c:pt>
                <c:pt idx="41">
                  <c:v>1.4710387010202299</c:v>
                </c:pt>
                <c:pt idx="42">
                  <c:v>1.75090469399243</c:v>
                </c:pt>
                <c:pt idx="43">
                  <c:v>1.8179520238422699</c:v>
                </c:pt>
                <c:pt idx="44">
                  <c:v>3.2675684091583501</c:v>
                </c:pt>
                <c:pt idx="45">
                  <c:v>2.2697778000550799</c:v>
                </c:pt>
                <c:pt idx="46">
                  <c:v>3.3363061010164401</c:v>
                </c:pt>
                <c:pt idx="47">
                  <c:v>2.9464790693093601</c:v>
                </c:pt>
                <c:pt idx="48">
                  <c:v>3.9427430583722098</c:v>
                </c:pt>
                <c:pt idx="49">
                  <c:v>4.0483550682784299</c:v>
                </c:pt>
                <c:pt idx="50">
                  <c:v>4.04096554113754</c:v>
                </c:pt>
                <c:pt idx="51">
                  <c:v>3.7520143423212602</c:v>
                </c:pt>
                <c:pt idx="52">
                  <c:v>5.9553343747893797</c:v>
                </c:pt>
                <c:pt idx="53">
                  <c:v>5.6302951853492704</c:v>
                </c:pt>
                <c:pt idx="54">
                  <c:v>5.5500044279867602</c:v>
                </c:pt>
                <c:pt idx="55">
                  <c:v>5.1656299537761896</c:v>
                </c:pt>
                <c:pt idx="56">
                  <c:v>5.5588996197791198</c:v>
                </c:pt>
                <c:pt idx="57">
                  <c:v>5.2623645619316299</c:v>
                </c:pt>
                <c:pt idx="58">
                  <c:v>4.8812717598028099</c:v>
                </c:pt>
                <c:pt idx="59">
                  <c:v>3.88732165119016</c:v>
                </c:pt>
                <c:pt idx="60">
                  <c:v>5.0308532227986698</c:v>
                </c:pt>
                <c:pt idx="61">
                  <c:v>6.2366631937797496</c:v>
                </c:pt>
                <c:pt idx="62">
                  <c:v>6.5639834025100496</c:v>
                </c:pt>
                <c:pt idx="63">
                  <c:v>6.0946578863294203</c:v>
                </c:pt>
                <c:pt idx="64">
                  <c:v>4.9276364421489998</c:v>
                </c:pt>
                <c:pt idx="65">
                  <c:v>3.4733762227359901</c:v>
                </c:pt>
                <c:pt idx="66">
                  <c:v>1.7461233184598</c:v>
                </c:pt>
                <c:pt idx="67">
                  <c:v>2.5962938265816902E-3</c:v>
                </c:pt>
                <c:pt idx="68">
                  <c:v>-0.12783115360931799</c:v>
                </c:pt>
                <c:pt idx="69">
                  <c:v>-1.5725026373872</c:v>
                </c:pt>
                <c:pt idx="70">
                  <c:v>-1.4173768512570599</c:v>
                </c:pt>
                <c:pt idx="71">
                  <c:v>-2.20103799754061</c:v>
                </c:pt>
                <c:pt idx="72">
                  <c:v>-2.6415008670586602</c:v>
                </c:pt>
                <c:pt idx="73">
                  <c:v>-3.3375990089892098</c:v>
                </c:pt>
                <c:pt idx="74">
                  <c:v>-3.7126476278418199</c:v>
                </c:pt>
                <c:pt idx="75">
                  <c:v>-4.2365721377433196</c:v>
                </c:pt>
                <c:pt idx="76">
                  <c:v>-3.8521365059630699</c:v>
                </c:pt>
                <c:pt idx="77">
                  <c:v>-3.7626865801708398</c:v>
                </c:pt>
                <c:pt idx="78">
                  <c:v>-3.7507804288383602</c:v>
                </c:pt>
                <c:pt idx="79">
                  <c:v>-4.2613270735351696</c:v>
                </c:pt>
                <c:pt idx="80">
                  <c:v>-4.4200696386012197</c:v>
                </c:pt>
                <c:pt idx="81">
                  <c:v>-4.96805199420601</c:v>
                </c:pt>
                <c:pt idx="82">
                  <c:v>-5.1124179750388201</c:v>
                </c:pt>
                <c:pt idx="83">
                  <c:v>-5.3699582830718002</c:v>
                </c:pt>
                <c:pt idx="84">
                  <c:v>-5.73457191067443</c:v>
                </c:pt>
                <c:pt idx="85">
                  <c:v>-5.7264565811619104</c:v>
                </c:pt>
                <c:pt idx="86">
                  <c:v>-3.8112130978382099</c:v>
                </c:pt>
                <c:pt idx="87">
                  <c:v>-3.1644222009594598</c:v>
                </c:pt>
                <c:pt idx="88">
                  <c:v>-1.4297631945923801</c:v>
                </c:pt>
                <c:pt idx="89">
                  <c:v>-1.9973120341750299</c:v>
                </c:pt>
                <c:pt idx="90">
                  <c:v>-0.93789304610845903</c:v>
                </c:pt>
                <c:pt idx="91">
                  <c:v>0.291998449156678</c:v>
                </c:pt>
                <c:pt idx="92">
                  <c:v>0.33061564878398497</c:v>
                </c:pt>
                <c:pt idx="93">
                  <c:v>0.98744708513056101</c:v>
                </c:pt>
                <c:pt idx="94">
                  <c:v>2.03343590708797</c:v>
                </c:pt>
                <c:pt idx="95">
                  <c:v>1.9010994255134499</c:v>
                </c:pt>
                <c:pt idx="96">
                  <c:v>1.75551699493139</c:v>
                </c:pt>
                <c:pt idx="97">
                  <c:v>1.1512629739920699</c:v>
                </c:pt>
                <c:pt idx="98">
                  <c:v>0.61839362755579697</c:v>
                </c:pt>
                <c:pt idx="99">
                  <c:v>0.26789922386291998</c:v>
                </c:pt>
                <c:pt idx="100">
                  <c:v>2.1073444018642699E-3</c:v>
                </c:pt>
                <c:pt idx="101">
                  <c:v>-7.8913433398308794E-2</c:v>
                </c:pt>
                <c:pt idx="102">
                  <c:v>-0.28656567989219001</c:v>
                </c:pt>
                <c:pt idx="103">
                  <c:v>-0.92047053090070796</c:v>
                </c:pt>
                <c:pt idx="104">
                  <c:v>-2.6348573252029501</c:v>
                </c:pt>
                <c:pt idx="105">
                  <c:v>-2.9151832517756899</c:v>
                </c:pt>
                <c:pt idx="106">
                  <c:v>-1.7013858556802099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EA-4931-818D-541827494261}"/>
            </c:ext>
          </c:extLst>
        </c:ser>
        <c:ser>
          <c:idx val="3"/>
          <c:order val="3"/>
          <c:tx>
            <c:strRef>
              <c:f>'Output R -CGAPS1'!$E$1</c:f>
              <c:strCache>
                <c:ptCount val="1"/>
                <c:pt idx="0">
                  <c:v>Gap HCSF net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'Output R -CGAPS1'!$A$2:$A$108</c:f>
              <c:numCache>
                <c:formatCode>mmm\-yy</c:formatCode>
                <c:ptCount val="107"/>
                <c:pt idx="0">
                  <c:v>36220</c:v>
                </c:pt>
                <c:pt idx="1">
                  <c:v>36312</c:v>
                </c:pt>
                <c:pt idx="2">
                  <c:v>36404</c:v>
                </c:pt>
                <c:pt idx="3">
                  <c:v>36495</c:v>
                </c:pt>
                <c:pt idx="4">
                  <c:v>36586</c:v>
                </c:pt>
                <c:pt idx="5">
                  <c:v>36678</c:v>
                </c:pt>
                <c:pt idx="6">
                  <c:v>36770</c:v>
                </c:pt>
                <c:pt idx="7">
                  <c:v>36861</c:v>
                </c:pt>
                <c:pt idx="8">
                  <c:v>36951</c:v>
                </c:pt>
                <c:pt idx="9">
                  <c:v>37043</c:v>
                </c:pt>
                <c:pt idx="10">
                  <c:v>37135</c:v>
                </c:pt>
                <c:pt idx="11">
                  <c:v>37226</c:v>
                </c:pt>
                <c:pt idx="12">
                  <c:v>37316</c:v>
                </c:pt>
                <c:pt idx="13">
                  <c:v>37408</c:v>
                </c:pt>
                <c:pt idx="14">
                  <c:v>37500</c:v>
                </c:pt>
                <c:pt idx="15">
                  <c:v>37591</c:v>
                </c:pt>
                <c:pt idx="16">
                  <c:v>37681</c:v>
                </c:pt>
                <c:pt idx="17">
                  <c:v>37773</c:v>
                </c:pt>
                <c:pt idx="18">
                  <c:v>37865</c:v>
                </c:pt>
                <c:pt idx="19">
                  <c:v>37956</c:v>
                </c:pt>
                <c:pt idx="20">
                  <c:v>38047</c:v>
                </c:pt>
                <c:pt idx="21">
                  <c:v>38139</c:v>
                </c:pt>
                <c:pt idx="22">
                  <c:v>38231</c:v>
                </c:pt>
                <c:pt idx="23">
                  <c:v>38322</c:v>
                </c:pt>
                <c:pt idx="24">
                  <c:v>38412</c:v>
                </c:pt>
                <c:pt idx="25">
                  <c:v>38504</c:v>
                </c:pt>
                <c:pt idx="26">
                  <c:v>38596</c:v>
                </c:pt>
                <c:pt idx="27">
                  <c:v>38687</c:v>
                </c:pt>
                <c:pt idx="28">
                  <c:v>38777</c:v>
                </c:pt>
                <c:pt idx="29">
                  <c:v>38869</c:v>
                </c:pt>
                <c:pt idx="30">
                  <c:v>38961</c:v>
                </c:pt>
                <c:pt idx="31">
                  <c:v>39052</c:v>
                </c:pt>
                <c:pt idx="32">
                  <c:v>39142</c:v>
                </c:pt>
                <c:pt idx="33">
                  <c:v>39234</c:v>
                </c:pt>
                <c:pt idx="34">
                  <c:v>39326</c:v>
                </c:pt>
                <c:pt idx="35">
                  <c:v>39417</c:v>
                </c:pt>
                <c:pt idx="36">
                  <c:v>39508</c:v>
                </c:pt>
                <c:pt idx="37">
                  <c:v>39600</c:v>
                </c:pt>
                <c:pt idx="38">
                  <c:v>39692</c:v>
                </c:pt>
                <c:pt idx="39">
                  <c:v>39783</c:v>
                </c:pt>
                <c:pt idx="40">
                  <c:v>39873</c:v>
                </c:pt>
                <c:pt idx="41">
                  <c:v>39965</c:v>
                </c:pt>
                <c:pt idx="42">
                  <c:v>40057</c:v>
                </c:pt>
                <c:pt idx="43">
                  <c:v>40148</c:v>
                </c:pt>
                <c:pt idx="44">
                  <c:v>40238</c:v>
                </c:pt>
                <c:pt idx="45">
                  <c:v>40330</c:v>
                </c:pt>
                <c:pt idx="46">
                  <c:v>40422</c:v>
                </c:pt>
                <c:pt idx="47">
                  <c:v>40513</c:v>
                </c:pt>
                <c:pt idx="48">
                  <c:v>40603</c:v>
                </c:pt>
                <c:pt idx="49">
                  <c:v>40695</c:v>
                </c:pt>
                <c:pt idx="50">
                  <c:v>40787</c:v>
                </c:pt>
                <c:pt idx="51">
                  <c:v>40878</c:v>
                </c:pt>
                <c:pt idx="52">
                  <c:v>40969</c:v>
                </c:pt>
                <c:pt idx="53">
                  <c:v>41061</c:v>
                </c:pt>
                <c:pt idx="54">
                  <c:v>41153</c:v>
                </c:pt>
                <c:pt idx="55">
                  <c:v>41244</c:v>
                </c:pt>
                <c:pt idx="56">
                  <c:v>41334</c:v>
                </c:pt>
                <c:pt idx="57">
                  <c:v>41426</c:v>
                </c:pt>
                <c:pt idx="58">
                  <c:v>41518</c:v>
                </c:pt>
                <c:pt idx="59">
                  <c:v>41609</c:v>
                </c:pt>
                <c:pt idx="60">
                  <c:v>41699</c:v>
                </c:pt>
                <c:pt idx="61">
                  <c:v>41791</c:v>
                </c:pt>
                <c:pt idx="62">
                  <c:v>41883</c:v>
                </c:pt>
                <c:pt idx="63">
                  <c:v>41974</c:v>
                </c:pt>
                <c:pt idx="64">
                  <c:v>42064</c:v>
                </c:pt>
                <c:pt idx="65">
                  <c:v>42156</c:v>
                </c:pt>
                <c:pt idx="66">
                  <c:v>42248</c:v>
                </c:pt>
                <c:pt idx="67">
                  <c:v>42339</c:v>
                </c:pt>
                <c:pt idx="68">
                  <c:v>42430</c:v>
                </c:pt>
                <c:pt idx="69">
                  <c:v>42522</c:v>
                </c:pt>
                <c:pt idx="70">
                  <c:v>42614</c:v>
                </c:pt>
                <c:pt idx="71">
                  <c:v>42705</c:v>
                </c:pt>
                <c:pt idx="72">
                  <c:v>42795</c:v>
                </c:pt>
                <c:pt idx="73">
                  <c:v>42887</c:v>
                </c:pt>
                <c:pt idx="74">
                  <c:v>42979</c:v>
                </c:pt>
                <c:pt idx="75">
                  <c:v>43070</c:v>
                </c:pt>
                <c:pt idx="76">
                  <c:v>43160</c:v>
                </c:pt>
                <c:pt idx="77">
                  <c:v>43252</c:v>
                </c:pt>
                <c:pt idx="78">
                  <c:v>43344</c:v>
                </c:pt>
                <c:pt idx="79">
                  <c:v>43435</c:v>
                </c:pt>
                <c:pt idx="80">
                  <c:v>43525</c:v>
                </c:pt>
                <c:pt idx="81">
                  <c:v>43617</c:v>
                </c:pt>
                <c:pt idx="82">
                  <c:v>43709</c:v>
                </c:pt>
                <c:pt idx="83">
                  <c:v>43800</c:v>
                </c:pt>
                <c:pt idx="84">
                  <c:v>43891</c:v>
                </c:pt>
                <c:pt idx="85">
                  <c:v>43983</c:v>
                </c:pt>
                <c:pt idx="86">
                  <c:v>44075</c:v>
                </c:pt>
                <c:pt idx="87">
                  <c:v>44166</c:v>
                </c:pt>
                <c:pt idx="88">
                  <c:v>44256</c:v>
                </c:pt>
                <c:pt idx="89">
                  <c:v>44348</c:v>
                </c:pt>
                <c:pt idx="90">
                  <c:v>44440</c:v>
                </c:pt>
                <c:pt idx="91">
                  <c:v>44531</c:v>
                </c:pt>
                <c:pt idx="92">
                  <c:v>44621</c:v>
                </c:pt>
                <c:pt idx="93">
                  <c:v>44713</c:v>
                </c:pt>
                <c:pt idx="94">
                  <c:v>44805</c:v>
                </c:pt>
                <c:pt idx="95">
                  <c:v>44896</c:v>
                </c:pt>
                <c:pt idx="96">
                  <c:v>44986</c:v>
                </c:pt>
                <c:pt idx="97">
                  <c:v>45078</c:v>
                </c:pt>
                <c:pt idx="98">
                  <c:v>45170</c:v>
                </c:pt>
                <c:pt idx="99">
                  <c:v>45261</c:v>
                </c:pt>
                <c:pt idx="100">
                  <c:v>45352</c:v>
                </c:pt>
              </c:numCache>
            </c:numRef>
          </c:cat>
          <c:val>
            <c:numRef>
              <c:f>'Output R -CGAPS1'!$E$2:$E$108</c:f>
              <c:numCache>
                <c:formatCode>General</c:formatCode>
                <c:ptCount val="107"/>
                <c:pt idx="0">
                  <c:v>1.3421856062983599</c:v>
                </c:pt>
                <c:pt idx="1">
                  <c:v>2.1299547877222</c:v>
                </c:pt>
                <c:pt idx="2">
                  <c:v>1.1458122784017699</c:v>
                </c:pt>
                <c:pt idx="3">
                  <c:v>-0.178034180195555</c:v>
                </c:pt>
                <c:pt idx="4">
                  <c:v>0.13381072535861499</c:v>
                </c:pt>
                <c:pt idx="5">
                  <c:v>-0.69228164876595999</c:v>
                </c:pt>
                <c:pt idx="6">
                  <c:v>-0.37060267006035003</c:v>
                </c:pt>
                <c:pt idx="7">
                  <c:v>-0.68766888476675503</c:v>
                </c:pt>
                <c:pt idx="8">
                  <c:v>7.9869903917353893E-2</c:v>
                </c:pt>
                <c:pt idx="9">
                  <c:v>-0.77232841681153197</c:v>
                </c:pt>
                <c:pt idx="10">
                  <c:v>-0.174918971177765</c:v>
                </c:pt>
                <c:pt idx="11">
                  <c:v>-0.46356626722510202</c:v>
                </c:pt>
                <c:pt idx="12">
                  <c:v>0.31896857884080598</c:v>
                </c:pt>
                <c:pt idx="13">
                  <c:v>9.8053916194754495E-2</c:v>
                </c:pt>
                <c:pt idx="14">
                  <c:v>-0.33731923645545497</c:v>
                </c:pt>
                <c:pt idx="15">
                  <c:v>-0.63538630194661805</c:v>
                </c:pt>
                <c:pt idx="16">
                  <c:v>-0.46932356644581102</c:v>
                </c:pt>
                <c:pt idx="17">
                  <c:v>-1.2743111594362799</c:v>
                </c:pt>
                <c:pt idx="18">
                  <c:v>-1.3494803776695701</c:v>
                </c:pt>
                <c:pt idx="19">
                  <c:v>-1.4790057056524599</c:v>
                </c:pt>
                <c:pt idx="20">
                  <c:v>-8.2034189848788297E-2</c:v>
                </c:pt>
                <c:pt idx="21">
                  <c:v>-0.16118512331988899</c:v>
                </c:pt>
                <c:pt idx="22">
                  <c:v>6.1195967061681601E-2</c:v>
                </c:pt>
                <c:pt idx="23">
                  <c:v>-0.27244279852814202</c:v>
                </c:pt>
                <c:pt idx="24">
                  <c:v>0.44430810010133498</c:v>
                </c:pt>
                <c:pt idx="25">
                  <c:v>-0.114483856475462</c:v>
                </c:pt>
                <c:pt idx="26">
                  <c:v>0.37097159601656798</c:v>
                </c:pt>
                <c:pt idx="27">
                  <c:v>0.39551347224272798</c:v>
                </c:pt>
                <c:pt idx="28">
                  <c:v>1.0730018340665</c:v>
                </c:pt>
                <c:pt idx="29">
                  <c:v>0.47267999532810701</c:v>
                </c:pt>
                <c:pt idx="30">
                  <c:v>0.44429450047440999</c:v>
                </c:pt>
                <c:pt idx="31">
                  <c:v>0.20835975066027501</c:v>
                </c:pt>
                <c:pt idx="32">
                  <c:v>0.98178754071465302</c:v>
                </c:pt>
                <c:pt idx="33">
                  <c:v>6.2059186072261997E-2</c:v>
                </c:pt>
                <c:pt idx="34">
                  <c:v>-1.6379776110775499E-2</c:v>
                </c:pt>
                <c:pt idx="35">
                  <c:v>-0.64689159654111905</c:v>
                </c:pt>
                <c:pt idx="36">
                  <c:v>-0.85722608434641401</c:v>
                </c:pt>
                <c:pt idx="37">
                  <c:v>0.136069199081953</c:v>
                </c:pt>
                <c:pt idx="38">
                  <c:v>0.51261193966986496</c:v>
                </c:pt>
                <c:pt idx="39">
                  <c:v>0.62336193355561298</c:v>
                </c:pt>
                <c:pt idx="40">
                  <c:v>1.2037775425994399</c:v>
                </c:pt>
                <c:pt idx="41">
                  <c:v>1.2076691498419601</c:v>
                </c:pt>
                <c:pt idx="42">
                  <c:v>1.4263694051950599</c:v>
                </c:pt>
                <c:pt idx="43">
                  <c:v>1.3993935519107801</c:v>
                </c:pt>
                <c:pt idx="44">
                  <c:v>2.4695217377019398</c:v>
                </c:pt>
                <c:pt idx="45">
                  <c:v>1.6203752257158901</c:v>
                </c:pt>
                <c:pt idx="46">
                  <c:v>2.4390112474657299</c:v>
                </c:pt>
                <c:pt idx="47">
                  <c:v>2.07117278045193</c:v>
                </c:pt>
                <c:pt idx="48">
                  <c:v>2.7100495930087898</c:v>
                </c:pt>
                <c:pt idx="49">
                  <c:v>2.8402649107762499</c:v>
                </c:pt>
                <c:pt idx="50">
                  <c:v>2.8849282357570698</c:v>
                </c:pt>
                <c:pt idx="51">
                  <c:v>2.69964624703336</c:v>
                </c:pt>
                <c:pt idx="52">
                  <c:v>4.3641930763517003</c:v>
                </c:pt>
                <c:pt idx="53">
                  <c:v>4.0753639063259897</c:v>
                </c:pt>
                <c:pt idx="54">
                  <c:v>4.0113819486445799</c:v>
                </c:pt>
                <c:pt idx="55">
                  <c:v>3.7325435678425198</c:v>
                </c:pt>
                <c:pt idx="56">
                  <c:v>3.99837498252068</c:v>
                </c:pt>
                <c:pt idx="57">
                  <c:v>3.6503817183521301</c:v>
                </c:pt>
                <c:pt idx="58">
                  <c:v>3.3466523530588601</c:v>
                </c:pt>
                <c:pt idx="59">
                  <c:v>2.5566420400725201</c:v>
                </c:pt>
                <c:pt idx="60">
                  <c:v>3.3852285417941101</c:v>
                </c:pt>
                <c:pt idx="61">
                  <c:v>4.47550966009155</c:v>
                </c:pt>
                <c:pt idx="62">
                  <c:v>4.6711108616416803</c:v>
                </c:pt>
                <c:pt idx="63">
                  <c:v>4.3113778191419101</c:v>
                </c:pt>
                <c:pt idx="64">
                  <c:v>3.5985934666702399</c:v>
                </c:pt>
                <c:pt idx="65">
                  <c:v>2.4304671885981399</c:v>
                </c:pt>
                <c:pt idx="66">
                  <c:v>1.1263869338444401</c:v>
                </c:pt>
                <c:pt idx="67">
                  <c:v>-0.27229366303031199</c:v>
                </c:pt>
                <c:pt idx="68">
                  <c:v>-0.46989254760242399</c:v>
                </c:pt>
                <c:pt idx="69">
                  <c:v>-1.6240198145501801</c:v>
                </c:pt>
                <c:pt idx="70">
                  <c:v>-1.5562262524317101</c:v>
                </c:pt>
                <c:pt idx="71">
                  <c:v>-2.2170020633258298</c:v>
                </c:pt>
                <c:pt idx="72">
                  <c:v>-2.5651067926611102</c:v>
                </c:pt>
                <c:pt idx="73">
                  <c:v>-3.1137160741447598</c:v>
                </c:pt>
                <c:pt idx="74">
                  <c:v>-3.4483532359875699</c:v>
                </c:pt>
                <c:pt idx="75">
                  <c:v>-3.76006342940153</c:v>
                </c:pt>
                <c:pt idx="76">
                  <c:v>-3.4497375407001698</c:v>
                </c:pt>
                <c:pt idx="77">
                  <c:v>-3.4512719395939602</c:v>
                </c:pt>
                <c:pt idx="78">
                  <c:v>-3.4075640300880798</c:v>
                </c:pt>
                <c:pt idx="79">
                  <c:v>-3.7903423195060699</c:v>
                </c:pt>
                <c:pt idx="80">
                  <c:v>-3.8602405002321798</c:v>
                </c:pt>
                <c:pt idx="81">
                  <c:v>-4.4799669181554798</c:v>
                </c:pt>
                <c:pt idx="82">
                  <c:v>-4.5245345682314904</c:v>
                </c:pt>
                <c:pt idx="83">
                  <c:v>-4.6763865178488899</c:v>
                </c:pt>
                <c:pt idx="84">
                  <c:v>-4.9577001659678404</c:v>
                </c:pt>
                <c:pt idx="85">
                  <c:v>-4.9063676231020699</c:v>
                </c:pt>
                <c:pt idx="86">
                  <c:v>-3.79125880347241</c:v>
                </c:pt>
                <c:pt idx="87">
                  <c:v>-2.8676011816538902</c:v>
                </c:pt>
                <c:pt idx="88">
                  <c:v>-0.67113363336828602</c:v>
                </c:pt>
                <c:pt idx="89">
                  <c:v>-2.1729515492626201</c:v>
                </c:pt>
                <c:pt idx="90">
                  <c:v>-0.85343610837307404</c:v>
                </c:pt>
                <c:pt idx="91">
                  <c:v>0.15196321514414901</c:v>
                </c:pt>
                <c:pt idx="92">
                  <c:v>-6.2732978594748495E-2</c:v>
                </c:pt>
                <c:pt idx="93">
                  <c:v>0.20037733005174699</c:v>
                </c:pt>
                <c:pt idx="94">
                  <c:v>0.69429101020788597</c:v>
                </c:pt>
                <c:pt idx="95">
                  <c:v>0.34123283687717998</c:v>
                </c:pt>
                <c:pt idx="96">
                  <c:v>-0.17658410655839901</c:v>
                </c:pt>
                <c:pt idx="97">
                  <c:v>-0.67109129088997999</c:v>
                </c:pt>
                <c:pt idx="98">
                  <c:v>-0.77076302783649797</c:v>
                </c:pt>
                <c:pt idx="99">
                  <c:v>-1.4675993033657999</c:v>
                </c:pt>
                <c:pt idx="100">
                  <c:v>-1.4715842677208499</c:v>
                </c:pt>
                <c:pt idx="101">
                  <c:v>-2.1885813082651202</c:v>
                </c:pt>
                <c:pt idx="102">
                  <c:v>-2.8846016775428698</c:v>
                </c:pt>
                <c:pt idx="103">
                  <c:v>-3.64479877584054</c:v>
                </c:pt>
                <c:pt idx="104">
                  <c:v>-5.3810500668436498</c:v>
                </c:pt>
                <c:pt idx="105">
                  <c:v>-6.0452103990197301</c:v>
                </c:pt>
                <c:pt idx="106">
                  <c:v>-4.6367203902601597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EA-4931-818D-541827494261}"/>
            </c:ext>
          </c:extLst>
        </c:ser>
        <c:ser>
          <c:idx val="4"/>
          <c:order val="4"/>
          <c:tx>
            <c:strRef>
              <c:f>'Output R -CGAPS1'!$H$1</c:f>
              <c:strCache>
                <c:ptCount val="1"/>
                <c:pt idx="0">
                  <c:v>Seuil ESRB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'Output R -CGAPS1'!$A$2:$A$108</c:f>
              <c:numCache>
                <c:formatCode>mmm\-yy</c:formatCode>
                <c:ptCount val="107"/>
                <c:pt idx="0">
                  <c:v>36220</c:v>
                </c:pt>
                <c:pt idx="1">
                  <c:v>36312</c:v>
                </c:pt>
                <c:pt idx="2">
                  <c:v>36404</c:v>
                </c:pt>
                <c:pt idx="3">
                  <c:v>36495</c:v>
                </c:pt>
                <c:pt idx="4">
                  <c:v>36586</c:v>
                </c:pt>
                <c:pt idx="5">
                  <c:v>36678</c:v>
                </c:pt>
                <c:pt idx="6">
                  <c:v>36770</c:v>
                </c:pt>
                <c:pt idx="7">
                  <c:v>36861</c:v>
                </c:pt>
                <c:pt idx="8">
                  <c:v>36951</c:v>
                </c:pt>
                <c:pt idx="9">
                  <c:v>37043</c:v>
                </c:pt>
                <c:pt idx="10">
                  <c:v>37135</c:v>
                </c:pt>
                <c:pt idx="11">
                  <c:v>37226</c:v>
                </c:pt>
                <c:pt idx="12">
                  <c:v>37316</c:v>
                </c:pt>
                <c:pt idx="13">
                  <c:v>37408</c:v>
                </c:pt>
                <c:pt idx="14">
                  <c:v>37500</c:v>
                </c:pt>
                <c:pt idx="15">
                  <c:v>37591</c:v>
                </c:pt>
                <c:pt idx="16">
                  <c:v>37681</c:v>
                </c:pt>
                <c:pt idx="17">
                  <c:v>37773</c:v>
                </c:pt>
                <c:pt idx="18">
                  <c:v>37865</c:v>
                </c:pt>
                <c:pt idx="19">
                  <c:v>37956</c:v>
                </c:pt>
                <c:pt idx="20">
                  <c:v>38047</c:v>
                </c:pt>
                <c:pt idx="21">
                  <c:v>38139</c:v>
                </c:pt>
                <c:pt idx="22">
                  <c:v>38231</c:v>
                </c:pt>
                <c:pt idx="23">
                  <c:v>38322</c:v>
                </c:pt>
                <c:pt idx="24">
                  <c:v>38412</c:v>
                </c:pt>
                <c:pt idx="25">
                  <c:v>38504</c:v>
                </c:pt>
                <c:pt idx="26">
                  <c:v>38596</c:v>
                </c:pt>
                <c:pt idx="27">
                  <c:v>38687</c:v>
                </c:pt>
                <c:pt idx="28">
                  <c:v>38777</c:v>
                </c:pt>
                <c:pt idx="29">
                  <c:v>38869</c:v>
                </c:pt>
                <c:pt idx="30">
                  <c:v>38961</c:v>
                </c:pt>
                <c:pt idx="31">
                  <c:v>39052</c:v>
                </c:pt>
                <c:pt idx="32">
                  <c:v>39142</c:v>
                </c:pt>
                <c:pt idx="33">
                  <c:v>39234</c:v>
                </c:pt>
                <c:pt idx="34">
                  <c:v>39326</c:v>
                </c:pt>
                <c:pt idx="35">
                  <c:v>39417</c:v>
                </c:pt>
                <c:pt idx="36">
                  <c:v>39508</c:v>
                </c:pt>
                <c:pt idx="37">
                  <c:v>39600</c:v>
                </c:pt>
                <c:pt idx="38">
                  <c:v>39692</c:v>
                </c:pt>
                <c:pt idx="39">
                  <c:v>39783</c:v>
                </c:pt>
                <c:pt idx="40">
                  <c:v>39873</c:v>
                </c:pt>
                <c:pt idx="41">
                  <c:v>39965</c:v>
                </c:pt>
                <c:pt idx="42">
                  <c:v>40057</c:v>
                </c:pt>
                <c:pt idx="43">
                  <c:v>40148</c:v>
                </c:pt>
                <c:pt idx="44">
                  <c:v>40238</c:v>
                </c:pt>
                <c:pt idx="45">
                  <c:v>40330</c:v>
                </c:pt>
                <c:pt idx="46">
                  <c:v>40422</c:v>
                </c:pt>
                <c:pt idx="47">
                  <c:v>40513</c:v>
                </c:pt>
                <c:pt idx="48">
                  <c:v>40603</c:v>
                </c:pt>
                <c:pt idx="49">
                  <c:v>40695</c:v>
                </c:pt>
                <c:pt idx="50">
                  <c:v>40787</c:v>
                </c:pt>
                <c:pt idx="51">
                  <c:v>40878</c:v>
                </c:pt>
                <c:pt idx="52">
                  <c:v>40969</c:v>
                </c:pt>
                <c:pt idx="53">
                  <c:v>41061</c:v>
                </c:pt>
                <c:pt idx="54">
                  <c:v>41153</c:v>
                </c:pt>
                <c:pt idx="55">
                  <c:v>41244</c:v>
                </c:pt>
                <c:pt idx="56">
                  <c:v>41334</c:v>
                </c:pt>
                <c:pt idx="57">
                  <c:v>41426</c:v>
                </c:pt>
                <c:pt idx="58">
                  <c:v>41518</c:v>
                </c:pt>
                <c:pt idx="59">
                  <c:v>41609</c:v>
                </c:pt>
                <c:pt idx="60">
                  <c:v>41699</c:v>
                </c:pt>
                <c:pt idx="61">
                  <c:v>41791</c:v>
                </c:pt>
                <c:pt idx="62">
                  <c:v>41883</c:v>
                </c:pt>
                <c:pt idx="63">
                  <c:v>41974</c:v>
                </c:pt>
                <c:pt idx="64">
                  <c:v>42064</c:v>
                </c:pt>
                <c:pt idx="65">
                  <c:v>42156</c:v>
                </c:pt>
                <c:pt idx="66">
                  <c:v>42248</c:v>
                </c:pt>
                <c:pt idx="67">
                  <c:v>42339</c:v>
                </c:pt>
                <c:pt idx="68">
                  <c:v>42430</c:v>
                </c:pt>
                <c:pt idx="69">
                  <c:v>42522</c:v>
                </c:pt>
                <c:pt idx="70">
                  <c:v>42614</c:v>
                </c:pt>
                <c:pt idx="71">
                  <c:v>42705</c:v>
                </c:pt>
                <c:pt idx="72">
                  <c:v>42795</c:v>
                </c:pt>
                <c:pt idx="73">
                  <c:v>42887</c:v>
                </c:pt>
                <c:pt idx="74">
                  <c:v>42979</c:v>
                </c:pt>
                <c:pt idx="75">
                  <c:v>43070</c:v>
                </c:pt>
                <c:pt idx="76">
                  <c:v>43160</c:v>
                </c:pt>
                <c:pt idx="77">
                  <c:v>43252</c:v>
                </c:pt>
                <c:pt idx="78">
                  <c:v>43344</c:v>
                </c:pt>
                <c:pt idx="79">
                  <c:v>43435</c:v>
                </c:pt>
                <c:pt idx="80">
                  <c:v>43525</c:v>
                </c:pt>
                <c:pt idx="81">
                  <c:v>43617</c:v>
                </c:pt>
                <c:pt idx="82">
                  <c:v>43709</c:v>
                </c:pt>
                <c:pt idx="83">
                  <c:v>43800</c:v>
                </c:pt>
                <c:pt idx="84">
                  <c:v>43891</c:v>
                </c:pt>
                <c:pt idx="85">
                  <c:v>43983</c:v>
                </c:pt>
                <c:pt idx="86">
                  <c:v>44075</c:v>
                </c:pt>
                <c:pt idx="87">
                  <c:v>44166</c:v>
                </c:pt>
                <c:pt idx="88">
                  <c:v>44256</c:v>
                </c:pt>
                <c:pt idx="89">
                  <c:v>44348</c:v>
                </c:pt>
                <c:pt idx="90">
                  <c:v>44440</c:v>
                </c:pt>
                <c:pt idx="91">
                  <c:v>44531</c:v>
                </c:pt>
                <c:pt idx="92">
                  <c:v>44621</c:v>
                </c:pt>
                <c:pt idx="93">
                  <c:v>44713</c:v>
                </c:pt>
                <c:pt idx="94">
                  <c:v>44805</c:v>
                </c:pt>
                <c:pt idx="95">
                  <c:v>44896</c:v>
                </c:pt>
                <c:pt idx="96">
                  <c:v>44986</c:v>
                </c:pt>
                <c:pt idx="97">
                  <c:v>45078</c:v>
                </c:pt>
                <c:pt idx="98">
                  <c:v>45170</c:v>
                </c:pt>
                <c:pt idx="99">
                  <c:v>45261</c:v>
                </c:pt>
                <c:pt idx="100">
                  <c:v>45352</c:v>
                </c:pt>
              </c:numCache>
            </c:numRef>
          </c:cat>
          <c:val>
            <c:numRef>
              <c:f>'Output R -CGAPS1'!$H$2:$H$108</c:f>
              <c:numCache>
                <c:formatCode>General</c:formatCode>
                <c:ptCount val="10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EA-4931-818D-541827494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80960"/>
        <c:axId val="45787616"/>
      </c:lineChart>
      <c:dateAx>
        <c:axId val="4578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yyyy" sourceLinked="0"/>
        <c:majorTickMark val="cross"/>
        <c:minorTickMark val="none"/>
        <c:tickLblPos val="low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87616"/>
        <c:crosses val="autoZero"/>
        <c:auto val="1"/>
        <c:lblOffset val="100"/>
        <c:baseTimeUnit val="months"/>
      </c:dateAx>
      <c:valAx>
        <c:axId val="4578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8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>
          <a:solidFill>
            <a:sysClr val="windowText" lastClr="000000"/>
          </a:solidFill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Contributions au gap HCSF avec données BDF sans rétropolation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v>Ménages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'Output R -CGAPS1'!$A$2:$A$97</c:f>
              <c:numCache>
                <c:formatCode>mmm\-yy</c:formatCode>
                <c:ptCount val="96"/>
                <c:pt idx="0">
                  <c:v>36220</c:v>
                </c:pt>
                <c:pt idx="1">
                  <c:v>36312</c:v>
                </c:pt>
                <c:pt idx="2">
                  <c:v>36404</c:v>
                </c:pt>
                <c:pt idx="3">
                  <c:v>36495</c:v>
                </c:pt>
                <c:pt idx="4">
                  <c:v>36586</c:v>
                </c:pt>
                <c:pt idx="5">
                  <c:v>36678</c:v>
                </c:pt>
                <c:pt idx="6">
                  <c:v>36770</c:v>
                </c:pt>
                <c:pt idx="7">
                  <c:v>36861</c:v>
                </c:pt>
                <c:pt idx="8">
                  <c:v>36951</c:v>
                </c:pt>
                <c:pt idx="9">
                  <c:v>37043</c:v>
                </c:pt>
                <c:pt idx="10">
                  <c:v>37135</c:v>
                </c:pt>
                <c:pt idx="11">
                  <c:v>37226</c:v>
                </c:pt>
                <c:pt idx="12">
                  <c:v>37316</c:v>
                </c:pt>
                <c:pt idx="13">
                  <c:v>37408</c:v>
                </c:pt>
                <c:pt idx="14">
                  <c:v>37500</c:v>
                </c:pt>
                <c:pt idx="15">
                  <c:v>37591</c:v>
                </c:pt>
                <c:pt idx="16">
                  <c:v>37681</c:v>
                </c:pt>
                <c:pt idx="17">
                  <c:v>37773</c:v>
                </c:pt>
                <c:pt idx="18">
                  <c:v>37865</c:v>
                </c:pt>
                <c:pt idx="19">
                  <c:v>37956</c:v>
                </c:pt>
                <c:pt idx="20">
                  <c:v>38047</c:v>
                </c:pt>
                <c:pt idx="21">
                  <c:v>38139</c:v>
                </c:pt>
                <c:pt idx="22">
                  <c:v>38231</c:v>
                </c:pt>
                <c:pt idx="23">
                  <c:v>38322</c:v>
                </c:pt>
                <c:pt idx="24">
                  <c:v>38412</c:v>
                </c:pt>
                <c:pt idx="25">
                  <c:v>38504</c:v>
                </c:pt>
                <c:pt idx="26">
                  <c:v>38596</c:v>
                </c:pt>
                <c:pt idx="27">
                  <c:v>38687</c:v>
                </c:pt>
                <c:pt idx="28">
                  <c:v>38777</c:v>
                </c:pt>
                <c:pt idx="29">
                  <c:v>38869</c:v>
                </c:pt>
                <c:pt idx="30">
                  <c:v>38961</c:v>
                </c:pt>
                <c:pt idx="31">
                  <c:v>39052</c:v>
                </c:pt>
                <c:pt idx="32">
                  <c:v>39142</c:v>
                </c:pt>
                <c:pt idx="33">
                  <c:v>39234</c:v>
                </c:pt>
                <c:pt idx="34">
                  <c:v>39326</c:v>
                </c:pt>
                <c:pt idx="35">
                  <c:v>39417</c:v>
                </c:pt>
                <c:pt idx="36">
                  <c:v>39508</c:v>
                </c:pt>
                <c:pt idx="37">
                  <c:v>39600</c:v>
                </c:pt>
                <c:pt idx="38">
                  <c:v>39692</c:v>
                </c:pt>
                <c:pt idx="39">
                  <c:v>39783</c:v>
                </c:pt>
                <c:pt idx="40">
                  <c:v>39873</c:v>
                </c:pt>
                <c:pt idx="41">
                  <c:v>39965</c:v>
                </c:pt>
                <c:pt idx="42">
                  <c:v>40057</c:v>
                </c:pt>
                <c:pt idx="43">
                  <c:v>40148</c:v>
                </c:pt>
                <c:pt idx="44">
                  <c:v>40238</c:v>
                </c:pt>
                <c:pt idx="45">
                  <c:v>40330</c:v>
                </c:pt>
                <c:pt idx="46">
                  <c:v>40422</c:v>
                </c:pt>
                <c:pt idx="47">
                  <c:v>40513</c:v>
                </c:pt>
                <c:pt idx="48">
                  <c:v>40603</c:v>
                </c:pt>
                <c:pt idx="49">
                  <c:v>40695</c:v>
                </c:pt>
                <c:pt idx="50">
                  <c:v>40787</c:v>
                </c:pt>
                <c:pt idx="51">
                  <c:v>40878</c:v>
                </c:pt>
                <c:pt idx="52">
                  <c:v>40969</c:v>
                </c:pt>
                <c:pt idx="53">
                  <c:v>41061</c:v>
                </c:pt>
                <c:pt idx="54">
                  <c:v>41153</c:v>
                </c:pt>
                <c:pt idx="55">
                  <c:v>41244</c:v>
                </c:pt>
                <c:pt idx="56">
                  <c:v>41334</c:v>
                </c:pt>
                <c:pt idx="57">
                  <c:v>41426</c:v>
                </c:pt>
                <c:pt idx="58">
                  <c:v>41518</c:v>
                </c:pt>
                <c:pt idx="59">
                  <c:v>41609</c:v>
                </c:pt>
                <c:pt idx="60">
                  <c:v>41699</c:v>
                </c:pt>
                <c:pt idx="61">
                  <c:v>41791</c:v>
                </c:pt>
                <c:pt idx="62">
                  <c:v>41883</c:v>
                </c:pt>
                <c:pt idx="63">
                  <c:v>41974</c:v>
                </c:pt>
                <c:pt idx="64">
                  <c:v>42064</c:v>
                </c:pt>
                <c:pt idx="65">
                  <c:v>42156</c:v>
                </c:pt>
                <c:pt idx="66">
                  <c:v>42248</c:v>
                </c:pt>
                <c:pt idx="67">
                  <c:v>42339</c:v>
                </c:pt>
                <c:pt idx="68">
                  <c:v>42430</c:v>
                </c:pt>
                <c:pt idx="69">
                  <c:v>42522</c:v>
                </c:pt>
                <c:pt idx="70">
                  <c:v>42614</c:v>
                </c:pt>
                <c:pt idx="71">
                  <c:v>42705</c:v>
                </c:pt>
                <c:pt idx="72">
                  <c:v>42795</c:v>
                </c:pt>
                <c:pt idx="73">
                  <c:v>42887</c:v>
                </c:pt>
                <c:pt idx="74">
                  <c:v>42979</c:v>
                </c:pt>
                <c:pt idx="75">
                  <c:v>43070</c:v>
                </c:pt>
                <c:pt idx="76">
                  <c:v>43160</c:v>
                </c:pt>
                <c:pt idx="77">
                  <c:v>43252</c:v>
                </c:pt>
                <c:pt idx="78">
                  <c:v>43344</c:v>
                </c:pt>
                <c:pt idx="79">
                  <c:v>43435</c:v>
                </c:pt>
                <c:pt idx="80">
                  <c:v>43525</c:v>
                </c:pt>
                <c:pt idx="81">
                  <c:v>43617</c:v>
                </c:pt>
                <c:pt idx="82">
                  <c:v>43709</c:v>
                </c:pt>
                <c:pt idx="83">
                  <c:v>43800</c:v>
                </c:pt>
                <c:pt idx="84">
                  <c:v>43891</c:v>
                </c:pt>
                <c:pt idx="85">
                  <c:v>43983</c:v>
                </c:pt>
                <c:pt idx="86">
                  <c:v>44075</c:v>
                </c:pt>
                <c:pt idx="87">
                  <c:v>44166</c:v>
                </c:pt>
                <c:pt idx="88">
                  <c:v>44256</c:v>
                </c:pt>
                <c:pt idx="89">
                  <c:v>44348</c:v>
                </c:pt>
                <c:pt idx="90">
                  <c:v>44440</c:v>
                </c:pt>
                <c:pt idx="91">
                  <c:v>44531</c:v>
                </c:pt>
                <c:pt idx="92">
                  <c:v>44621</c:v>
                </c:pt>
                <c:pt idx="93">
                  <c:v>44713</c:v>
                </c:pt>
                <c:pt idx="94">
                  <c:v>44805</c:v>
                </c:pt>
                <c:pt idx="95">
                  <c:v>44896</c:v>
                </c:pt>
              </c:numCache>
            </c:numRef>
          </c:cat>
          <c:val>
            <c:numRef>
              <c:f>'Output R -CGAPS1'!$F$2:$F$108</c:f>
              <c:numCache>
                <c:formatCode>General</c:formatCode>
                <c:ptCount val="107"/>
                <c:pt idx="0">
                  <c:v>-0.708981706797849</c:v>
                </c:pt>
                <c:pt idx="1">
                  <c:v>-0.55913972820865399</c:v>
                </c:pt>
                <c:pt idx="2">
                  <c:v>-0.75111084058658095</c:v>
                </c:pt>
                <c:pt idx="3">
                  <c:v>-0.92797536091528399</c:v>
                </c:pt>
                <c:pt idx="4">
                  <c:v>-0.75900824393324495</c:v>
                </c:pt>
                <c:pt idx="5">
                  <c:v>-0.66938938200922704</c:v>
                </c:pt>
                <c:pt idx="6">
                  <c:v>5.1179551115881398E-2</c:v>
                </c:pt>
                <c:pt idx="7">
                  <c:v>0.52057388514339897</c:v>
                </c:pt>
                <c:pt idx="8">
                  <c:v>0.61495603347810701</c:v>
                </c:pt>
                <c:pt idx="9">
                  <c:v>0.82799583950419597</c:v>
                </c:pt>
                <c:pt idx="10">
                  <c:v>0.80533687973531698</c:v>
                </c:pt>
                <c:pt idx="11">
                  <c:v>0.67128729530986697</c:v>
                </c:pt>
                <c:pt idx="12">
                  <c:v>0.900086516883984</c:v>
                </c:pt>
                <c:pt idx="13">
                  <c:v>0.88570006387292799</c:v>
                </c:pt>
                <c:pt idx="14">
                  <c:v>0.60962963196137898</c:v>
                </c:pt>
                <c:pt idx="15">
                  <c:v>0.36216646476902198</c:v>
                </c:pt>
                <c:pt idx="16">
                  <c:v>3.1453299786124399E-2</c:v>
                </c:pt>
                <c:pt idx="17">
                  <c:v>-0.24887853022074399</c:v>
                </c:pt>
                <c:pt idx="18">
                  <c:v>-0.318604612929973</c:v>
                </c:pt>
                <c:pt idx="19">
                  <c:v>-0.26129080619237299</c:v>
                </c:pt>
                <c:pt idx="20">
                  <c:v>7.3818860159201805E-2</c:v>
                </c:pt>
                <c:pt idx="21">
                  <c:v>0.239580086158238</c:v>
                </c:pt>
                <c:pt idx="22">
                  <c:v>0.20194767753680701</c:v>
                </c:pt>
                <c:pt idx="23">
                  <c:v>0.19805827635821099</c:v>
                </c:pt>
                <c:pt idx="24">
                  <c:v>-0.30937213204858899</c:v>
                </c:pt>
                <c:pt idx="25">
                  <c:v>-0.36742634636704802</c:v>
                </c:pt>
                <c:pt idx="26">
                  <c:v>-0.18450992363171101</c:v>
                </c:pt>
                <c:pt idx="27">
                  <c:v>-0.21236016796704599</c:v>
                </c:pt>
                <c:pt idx="28">
                  <c:v>2.2237527504412501E-2</c:v>
                </c:pt>
                <c:pt idx="29">
                  <c:v>0.41011210430832201</c:v>
                </c:pt>
                <c:pt idx="30">
                  <c:v>0.28896042364533298</c:v>
                </c:pt>
                <c:pt idx="31">
                  <c:v>0.18911155795065299</c:v>
                </c:pt>
                <c:pt idx="32">
                  <c:v>0.23677670284487901</c:v>
                </c:pt>
                <c:pt idx="33">
                  <c:v>-0.35315228079590499</c:v>
                </c:pt>
                <c:pt idx="34">
                  <c:v>-0.22600225749345901</c:v>
                </c:pt>
                <c:pt idx="35">
                  <c:v>-0.32702691663709799</c:v>
                </c:pt>
                <c:pt idx="36">
                  <c:v>-0.62244098189559605</c:v>
                </c:pt>
                <c:pt idx="37">
                  <c:v>-0.35193242680951797</c:v>
                </c:pt>
                <c:pt idx="38">
                  <c:v>-0.15016404749510501</c:v>
                </c:pt>
                <c:pt idx="39">
                  <c:v>0.167798014908739</c:v>
                </c:pt>
                <c:pt idx="40">
                  <c:v>0.67352681567982398</c:v>
                </c:pt>
                <c:pt idx="41">
                  <c:v>0.550397716816317</c:v>
                </c:pt>
                <c:pt idx="42">
                  <c:v>0.61645127540011302</c:v>
                </c:pt>
                <c:pt idx="43">
                  <c:v>0.35482888822567099</c:v>
                </c:pt>
                <c:pt idx="44">
                  <c:v>0.47789712877204399</c:v>
                </c:pt>
                <c:pt idx="45">
                  <c:v>-2.8957299325365601E-4</c:v>
                </c:pt>
                <c:pt idx="46">
                  <c:v>0.19970047064556801</c:v>
                </c:pt>
                <c:pt idx="47">
                  <c:v>-0.113262801565066</c:v>
                </c:pt>
                <c:pt idx="48">
                  <c:v>-0.366290085727698</c:v>
                </c:pt>
                <c:pt idx="49">
                  <c:v>-0.17467415675523201</c:v>
                </c:pt>
                <c:pt idx="50">
                  <c:v>-1.06472845872812E-4</c:v>
                </c:pt>
                <c:pt idx="51">
                  <c:v>7.3330930908907896E-2</c:v>
                </c:pt>
                <c:pt idx="52">
                  <c:v>0.39330230066557198</c:v>
                </c:pt>
                <c:pt idx="53">
                  <c:v>0.194839732412594</c:v>
                </c:pt>
                <c:pt idx="54">
                  <c:v>0.171558410356624</c:v>
                </c:pt>
                <c:pt idx="55">
                  <c:v>0.156098461268487</c:v>
                </c:pt>
                <c:pt idx="56">
                  <c:v>0.103891888275763</c:v>
                </c:pt>
                <c:pt idx="57">
                  <c:v>-0.37252172235368802</c:v>
                </c:pt>
                <c:pt idx="58">
                  <c:v>-0.48318102026373599</c:v>
                </c:pt>
                <c:pt idx="59">
                  <c:v>-0.76423423808638002</c:v>
                </c:pt>
                <c:pt idx="60">
                  <c:v>-0.72163228348809105</c:v>
                </c:pt>
                <c:pt idx="61">
                  <c:v>8.0332230936670093E-2</c:v>
                </c:pt>
                <c:pt idx="62">
                  <c:v>-5.2787713213898801E-2</c:v>
                </c:pt>
                <c:pt idx="63">
                  <c:v>-0.13901912311122</c:v>
                </c:pt>
                <c:pt idx="64">
                  <c:v>0.28180161606533899</c:v>
                </c:pt>
                <c:pt idx="65">
                  <c:v>-0.17224186533941899</c:v>
                </c:pt>
                <c:pt idx="66">
                  <c:v>-0.420242203016296</c:v>
                </c:pt>
                <c:pt idx="67">
                  <c:v>-0.95831569959209995</c:v>
                </c:pt>
                <c:pt idx="68">
                  <c:v>-1.32354925015877</c:v>
                </c:pt>
                <c:pt idx="69">
                  <c:v>-1.75258733007297</c:v>
                </c:pt>
                <c:pt idx="70">
                  <c:v>-1.90274218214539</c:v>
                </c:pt>
                <c:pt idx="71">
                  <c:v>-2.2568423726882099</c:v>
                </c:pt>
                <c:pt idx="72">
                  <c:v>-2.3744558896644898</c:v>
                </c:pt>
                <c:pt idx="73">
                  <c:v>-2.5549883975516798</c:v>
                </c:pt>
                <c:pt idx="74">
                  <c:v>-2.7887737481632602</c:v>
                </c:pt>
                <c:pt idx="75">
                  <c:v>-2.5708767516713</c:v>
                </c:pt>
                <c:pt idx="76">
                  <c:v>-2.4455009333812199</c:v>
                </c:pt>
                <c:pt idx="77">
                  <c:v>-2.6740980173945399</c:v>
                </c:pt>
                <c:pt idx="78">
                  <c:v>-2.5510248696754201</c:v>
                </c:pt>
                <c:pt idx="79">
                  <c:v>-2.6149413559968799</c:v>
                </c:pt>
                <c:pt idx="80">
                  <c:v>-2.4631173385791598</c:v>
                </c:pt>
                <c:pt idx="81">
                  <c:v>-3.26188997669085</c:v>
                </c:pt>
                <c:pt idx="82">
                  <c:v>-3.0573984945451298</c:v>
                </c:pt>
                <c:pt idx="83">
                  <c:v>-2.94549201620779</c:v>
                </c:pt>
                <c:pt idx="84">
                  <c:v>-3.0189202172760399</c:v>
                </c:pt>
                <c:pt idx="85">
                  <c:v>-2.8597337496684001</c:v>
                </c:pt>
                <c:pt idx="86">
                  <c:v>-2.2450477408356502</c:v>
                </c:pt>
                <c:pt idx="87">
                  <c:v>-1.8525491802554901</c:v>
                </c:pt>
                <c:pt idx="88">
                  <c:v>-1.6322710534448901</c:v>
                </c:pt>
                <c:pt idx="89">
                  <c:v>-1.7172304440435999</c:v>
                </c:pt>
                <c:pt idx="90">
                  <c:v>-1.70478410000187</c:v>
                </c:pt>
                <c:pt idx="91">
                  <c:v>-1.6368847028539999</c:v>
                </c:pt>
                <c:pt idx="92">
                  <c:v>-1.7498391322633799</c:v>
                </c:pt>
                <c:pt idx="93">
                  <c:v>-1.7728922802746601</c:v>
                </c:pt>
                <c:pt idx="94">
                  <c:v>-1.6070343155100599</c:v>
                </c:pt>
                <c:pt idx="95">
                  <c:v>-1.5517009860434201</c:v>
                </c:pt>
                <c:pt idx="96">
                  <c:v>-1.47251551766031</c:v>
                </c:pt>
                <c:pt idx="97">
                  <c:v>-1.39498122293091</c:v>
                </c:pt>
                <c:pt idx="98">
                  <c:v>-1.19599835556445</c:v>
                </c:pt>
                <c:pt idx="99">
                  <c:v>-0.99771879541436803</c:v>
                </c:pt>
                <c:pt idx="100">
                  <c:v>-0.90489327874966696</c:v>
                </c:pt>
                <c:pt idx="101">
                  <c:v>-0.88517321457674403</c:v>
                </c:pt>
                <c:pt idx="102">
                  <c:v>-0.64405453984180705</c:v>
                </c:pt>
                <c:pt idx="103">
                  <c:v>-0.19219718355236701</c:v>
                </c:pt>
                <c:pt idx="104">
                  <c:v>9.3559919096621799E-2</c:v>
                </c:pt>
                <c:pt idx="105">
                  <c:v>0.198054462922893</c:v>
                </c:pt>
                <c:pt idx="106">
                  <c:v>0.87072322070387098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A-4444-B718-9B1D3DFDF952}"/>
            </c:ext>
          </c:extLst>
        </c:ser>
        <c:ser>
          <c:idx val="2"/>
          <c:order val="2"/>
          <c:tx>
            <c:v>Entreprises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'Output R -CGAPS1'!$A$2:$A$97</c:f>
              <c:numCache>
                <c:formatCode>mmm\-yy</c:formatCode>
                <c:ptCount val="96"/>
                <c:pt idx="0">
                  <c:v>36220</c:v>
                </c:pt>
                <c:pt idx="1">
                  <c:v>36312</c:v>
                </c:pt>
                <c:pt idx="2">
                  <c:v>36404</c:v>
                </c:pt>
                <c:pt idx="3">
                  <c:v>36495</c:v>
                </c:pt>
                <c:pt idx="4">
                  <c:v>36586</c:v>
                </c:pt>
                <c:pt idx="5">
                  <c:v>36678</c:v>
                </c:pt>
                <c:pt idx="6">
                  <c:v>36770</c:v>
                </c:pt>
                <c:pt idx="7">
                  <c:v>36861</c:v>
                </c:pt>
                <c:pt idx="8">
                  <c:v>36951</c:v>
                </c:pt>
                <c:pt idx="9">
                  <c:v>37043</c:v>
                </c:pt>
                <c:pt idx="10">
                  <c:v>37135</c:v>
                </c:pt>
                <c:pt idx="11">
                  <c:v>37226</c:v>
                </c:pt>
                <c:pt idx="12">
                  <c:v>37316</c:v>
                </c:pt>
                <c:pt idx="13">
                  <c:v>37408</c:v>
                </c:pt>
                <c:pt idx="14">
                  <c:v>37500</c:v>
                </c:pt>
                <c:pt idx="15">
                  <c:v>37591</c:v>
                </c:pt>
                <c:pt idx="16">
                  <c:v>37681</c:v>
                </c:pt>
                <c:pt idx="17">
                  <c:v>37773</c:v>
                </c:pt>
                <c:pt idx="18">
                  <c:v>37865</c:v>
                </c:pt>
                <c:pt idx="19">
                  <c:v>37956</c:v>
                </c:pt>
                <c:pt idx="20">
                  <c:v>38047</c:v>
                </c:pt>
                <c:pt idx="21">
                  <c:v>38139</c:v>
                </c:pt>
                <c:pt idx="22">
                  <c:v>38231</c:v>
                </c:pt>
                <c:pt idx="23">
                  <c:v>38322</c:v>
                </c:pt>
                <c:pt idx="24">
                  <c:v>38412</c:v>
                </c:pt>
                <c:pt idx="25">
                  <c:v>38504</c:v>
                </c:pt>
                <c:pt idx="26">
                  <c:v>38596</c:v>
                </c:pt>
                <c:pt idx="27">
                  <c:v>38687</c:v>
                </c:pt>
                <c:pt idx="28">
                  <c:v>38777</c:v>
                </c:pt>
                <c:pt idx="29">
                  <c:v>38869</c:v>
                </c:pt>
                <c:pt idx="30">
                  <c:v>38961</c:v>
                </c:pt>
                <c:pt idx="31">
                  <c:v>39052</c:v>
                </c:pt>
                <c:pt idx="32">
                  <c:v>39142</c:v>
                </c:pt>
                <c:pt idx="33">
                  <c:v>39234</c:v>
                </c:pt>
                <c:pt idx="34">
                  <c:v>39326</c:v>
                </c:pt>
                <c:pt idx="35">
                  <c:v>39417</c:v>
                </c:pt>
                <c:pt idx="36">
                  <c:v>39508</c:v>
                </c:pt>
                <c:pt idx="37">
                  <c:v>39600</c:v>
                </c:pt>
                <c:pt idx="38">
                  <c:v>39692</c:v>
                </c:pt>
                <c:pt idx="39">
                  <c:v>39783</c:v>
                </c:pt>
                <c:pt idx="40">
                  <c:v>39873</c:v>
                </c:pt>
                <c:pt idx="41">
                  <c:v>39965</c:v>
                </c:pt>
                <c:pt idx="42">
                  <c:v>40057</c:v>
                </c:pt>
                <c:pt idx="43">
                  <c:v>40148</c:v>
                </c:pt>
                <c:pt idx="44">
                  <c:v>40238</c:v>
                </c:pt>
                <c:pt idx="45">
                  <c:v>40330</c:v>
                </c:pt>
                <c:pt idx="46">
                  <c:v>40422</c:v>
                </c:pt>
                <c:pt idx="47">
                  <c:v>40513</c:v>
                </c:pt>
                <c:pt idx="48">
                  <c:v>40603</c:v>
                </c:pt>
                <c:pt idx="49">
                  <c:v>40695</c:v>
                </c:pt>
                <c:pt idx="50">
                  <c:v>40787</c:v>
                </c:pt>
                <c:pt idx="51">
                  <c:v>40878</c:v>
                </c:pt>
                <c:pt idx="52">
                  <c:v>40969</c:v>
                </c:pt>
                <c:pt idx="53">
                  <c:v>41061</c:v>
                </c:pt>
                <c:pt idx="54">
                  <c:v>41153</c:v>
                </c:pt>
                <c:pt idx="55">
                  <c:v>41244</c:v>
                </c:pt>
                <c:pt idx="56">
                  <c:v>41334</c:v>
                </c:pt>
                <c:pt idx="57">
                  <c:v>41426</c:v>
                </c:pt>
                <c:pt idx="58">
                  <c:v>41518</c:v>
                </c:pt>
                <c:pt idx="59">
                  <c:v>41609</c:v>
                </c:pt>
                <c:pt idx="60">
                  <c:v>41699</c:v>
                </c:pt>
                <c:pt idx="61">
                  <c:v>41791</c:v>
                </c:pt>
                <c:pt idx="62">
                  <c:v>41883</c:v>
                </c:pt>
                <c:pt idx="63">
                  <c:v>41974</c:v>
                </c:pt>
                <c:pt idx="64">
                  <c:v>42064</c:v>
                </c:pt>
                <c:pt idx="65">
                  <c:v>42156</c:v>
                </c:pt>
                <c:pt idx="66">
                  <c:v>42248</c:v>
                </c:pt>
                <c:pt idx="67">
                  <c:v>42339</c:v>
                </c:pt>
                <c:pt idx="68">
                  <c:v>42430</c:v>
                </c:pt>
                <c:pt idx="69">
                  <c:v>42522</c:v>
                </c:pt>
                <c:pt idx="70">
                  <c:v>42614</c:v>
                </c:pt>
                <c:pt idx="71">
                  <c:v>42705</c:v>
                </c:pt>
                <c:pt idx="72">
                  <c:v>42795</c:v>
                </c:pt>
                <c:pt idx="73">
                  <c:v>42887</c:v>
                </c:pt>
                <c:pt idx="74">
                  <c:v>42979</c:v>
                </c:pt>
                <c:pt idx="75">
                  <c:v>43070</c:v>
                </c:pt>
                <c:pt idx="76">
                  <c:v>43160</c:v>
                </c:pt>
                <c:pt idx="77">
                  <c:v>43252</c:v>
                </c:pt>
                <c:pt idx="78">
                  <c:v>43344</c:v>
                </c:pt>
                <c:pt idx="79">
                  <c:v>43435</c:v>
                </c:pt>
                <c:pt idx="80">
                  <c:v>43525</c:v>
                </c:pt>
                <c:pt idx="81">
                  <c:v>43617</c:v>
                </c:pt>
                <c:pt idx="82">
                  <c:v>43709</c:v>
                </c:pt>
                <c:pt idx="83">
                  <c:v>43800</c:v>
                </c:pt>
                <c:pt idx="84">
                  <c:v>43891</c:v>
                </c:pt>
                <c:pt idx="85">
                  <c:v>43983</c:v>
                </c:pt>
                <c:pt idx="86">
                  <c:v>44075</c:v>
                </c:pt>
                <c:pt idx="87">
                  <c:v>44166</c:v>
                </c:pt>
                <c:pt idx="88">
                  <c:v>44256</c:v>
                </c:pt>
                <c:pt idx="89">
                  <c:v>44348</c:v>
                </c:pt>
                <c:pt idx="90">
                  <c:v>44440</c:v>
                </c:pt>
                <c:pt idx="91">
                  <c:v>44531</c:v>
                </c:pt>
                <c:pt idx="92">
                  <c:v>44621</c:v>
                </c:pt>
                <c:pt idx="93">
                  <c:v>44713</c:v>
                </c:pt>
                <c:pt idx="94">
                  <c:v>44805</c:v>
                </c:pt>
                <c:pt idx="95">
                  <c:v>44896</c:v>
                </c:pt>
              </c:numCache>
            </c:numRef>
          </c:cat>
          <c:val>
            <c:numRef>
              <c:f>'Output R -CGAPS1'!$G$2:$G$108</c:f>
              <c:numCache>
                <c:formatCode>General</c:formatCode>
                <c:ptCount val="107"/>
                <c:pt idx="0">
                  <c:v>2.8730728265534502</c:v>
                </c:pt>
                <c:pt idx="1">
                  <c:v>3.7666183213950402</c:v>
                </c:pt>
                <c:pt idx="2">
                  <c:v>2.6570227754847102</c:v>
                </c:pt>
                <c:pt idx="3">
                  <c:v>1.0504436249946101</c:v>
                </c:pt>
                <c:pt idx="4">
                  <c:v>1.2505727364735999</c:v>
                </c:pt>
                <c:pt idx="5">
                  <c:v>-3.2065228973312897E-2</c:v>
                </c:pt>
                <c:pt idx="6">
                  <c:v>-0.59079092702368896</c:v>
                </c:pt>
                <c:pt idx="7">
                  <c:v>-1.69238728013297</c:v>
                </c:pt>
                <c:pt idx="8">
                  <c:v>-0.74949586456994199</c:v>
                </c:pt>
                <c:pt idx="9">
                  <c:v>-2.2415763478380999</c:v>
                </c:pt>
                <c:pt idx="10">
                  <c:v>-1.37304569468647</c:v>
                </c:pt>
                <c:pt idx="11">
                  <c:v>-1.5895909182147101</c:v>
                </c:pt>
                <c:pt idx="12">
                  <c:v>-0.81397268089959096</c:v>
                </c:pt>
                <c:pt idx="13">
                  <c:v>-1.1032570231521699</c:v>
                </c:pt>
                <c:pt idx="14">
                  <c:v>-1.3263925593066901</c:v>
                </c:pt>
                <c:pt idx="15">
                  <c:v>-1.3972735080190399</c:v>
                </c:pt>
                <c:pt idx="16">
                  <c:v>-0.70143883307393795</c:v>
                </c:pt>
                <c:pt idx="17">
                  <c:v>-1.4363248690880199</c:v>
                </c:pt>
                <c:pt idx="18">
                  <c:v>-1.4439490763701299</c:v>
                </c:pt>
                <c:pt idx="19">
                  <c:v>-1.70565490479031</c:v>
                </c:pt>
                <c:pt idx="20">
                  <c:v>-0.21830357770161199</c:v>
                </c:pt>
                <c:pt idx="21">
                  <c:v>-0.56135237034443397</c:v>
                </c:pt>
                <c:pt idx="22">
                  <c:v>-0.19715111101616001</c:v>
                </c:pt>
                <c:pt idx="23">
                  <c:v>-0.65903149123395899</c:v>
                </c:pt>
                <c:pt idx="24">
                  <c:v>1.05568091938431</c:v>
                </c:pt>
                <c:pt idx="25">
                  <c:v>0.35429688731305797</c:v>
                </c:pt>
                <c:pt idx="26">
                  <c:v>0.77806371501944005</c:v>
                </c:pt>
                <c:pt idx="27">
                  <c:v>0.85144942907098597</c:v>
                </c:pt>
                <c:pt idx="28">
                  <c:v>1.4718069837700301</c:v>
                </c:pt>
                <c:pt idx="29">
                  <c:v>8.7638929479813596E-2</c:v>
                </c:pt>
                <c:pt idx="30">
                  <c:v>0.217576651268754</c:v>
                </c:pt>
                <c:pt idx="31">
                  <c:v>2.6960969532421001E-2</c:v>
                </c:pt>
                <c:pt idx="32">
                  <c:v>1.04353768710387</c:v>
                </c:pt>
                <c:pt idx="33">
                  <c:v>0.58158726258737903</c:v>
                </c:pt>
                <c:pt idx="34">
                  <c:v>0.293618492869893</c:v>
                </c:pt>
                <c:pt idx="35">
                  <c:v>-0.44803488927447199</c:v>
                </c:pt>
                <c:pt idx="36">
                  <c:v>-0.32886381019439298</c:v>
                </c:pt>
                <c:pt idx="37">
                  <c:v>0.68354453666985804</c:v>
                </c:pt>
                <c:pt idx="38">
                  <c:v>0.92835122062345898</c:v>
                </c:pt>
                <c:pt idx="39">
                  <c:v>0.63810899630942697</c:v>
                </c:pt>
                <c:pt idx="40">
                  <c:v>0.74272290955792397</c:v>
                </c:pt>
                <c:pt idx="41">
                  <c:v>0.92064098420391605</c:v>
                </c:pt>
                <c:pt idx="42">
                  <c:v>1.1344534185923201</c:v>
                </c:pt>
                <c:pt idx="43">
                  <c:v>1.4631231356165999</c:v>
                </c:pt>
                <c:pt idx="44">
                  <c:v>2.78967128038629</c:v>
                </c:pt>
                <c:pt idx="45">
                  <c:v>2.2700673730483301</c:v>
                </c:pt>
                <c:pt idx="46">
                  <c:v>3.13660563037087</c:v>
                </c:pt>
                <c:pt idx="47">
                  <c:v>3.0597418708744302</c:v>
                </c:pt>
                <c:pt idx="48">
                  <c:v>4.3090331440999101</c:v>
                </c:pt>
                <c:pt idx="49">
                  <c:v>4.2230292250336596</c:v>
                </c:pt>
                <c:pt idx="50">
                  <c:v>4.0410720139834098</c:v>
                </c:pt>
                <c:pt idx="51">
                  <c:v>3.6786834114123499</c:v>
                </c:pt>
                <c:pt idx="52">
                  <c:v>5.5620320741238203</c:v>
                </c:pt>
                <c:pt idx="53">
                  <c:v>5.4354554529366803</c:v>
                </c:pt>
                <c:pt idx="54">
                  <c:v>5.3784460176301296</c:v>
                </c:pt>
                <c:pt idx="55">
                  <c:v>5.0095314925077004</c:v>
                </c:pt>
                <c:pt idx="56">
                  <c:v>5.4550077315033603</c:v>
                </c:pt>
                <c:pt idx="57">
                  <c:v>5.6348862842853098</c:v>
                </c:pt>
                <c:pt idx="58">
                  <c:v>5.36445278006655</c:v>
                </c:pt>
                <c:pt idx="59">
                  <c:v>4.6515558892765503</c:v>
                </c:pt>
                <c:pt idx="60">
                  <c:v>5.7524855062867699</c:v>
                </c:pt>
                <c:pt idx="61">
                  <c:v>6.1563309628431</c:v>
                </c:pt>
                <c:pt idx="62">
                  <c:v>6.6167711157239504</c:v>
                </c:pt>
                <c:pt idx="63">
                  <c:v>6.2336770094406599</c:v>
                </c:pt>
                <c:pt idx="64">
                  <c:v>4.6458348260836804</c:v>
                </c:pt>
                <c:pt idx="65">
                  <c:v>3.6456180880754201</c:v>
                </c:pt>
                <c:pt idx="66">
                  <c:v>2.1663655214761</c:v>
                </c:pt>
                <c:pt idx="67">
                  <c:v>0.96091199341870304</c:v>
                </c:pt>
                <c:pt idx="68">
                  <c:v>1.19571809654947</c:v>
                </c:pt>
                <c:pt idx="69">
                  <c:v>0.180084692685784</c:v>
                </c:pt>
                <c:pt idx="70">
                  <c:v>0.48536533088834399</c:v>
                </c:pt>
                <c:pt idx="71">
                  <c:v>5.5804375147612703E-2</c:v>
                </c:pt>
                <c:pt idx="72">
                  <c:v>-0.26704497739414201</c:v>
                </c:pt>
                <c:pt idx="73">
                  <c:v>-0.78261061143751098</c:v>
                </c:pt>
                <c:pt idx="74">
                  <c:v>-0.92387387967854395</c:v>
                </c:pt>
                <c:pt idx="75">
                  <c:v>-1.6656953860720101</c:v>
                </c:pt>
                <c:pt idx="76">
                  <c:v>-1.40663557258182</c:v>
                </c:pt>
                <c:pt idx="77">
                  <c:v>-1.0885885627762799</c:v>
                </c:pt>
                <c:pt idx="78">
                  <c:v>-1.1997555591629301</c:v>
                </c:pt>
                <c:pt idx="79">
                  <c:v>-1.6463857175382699</c:v>
                </c:pt>
                <c:pt idx="80">
                  <c:v>-1.9569523000220601</c:v>
                </c:pt>
                <c:pt idx="81">
                  <c:v>-1.70616201751513</c:v>
                </c:pt>
                <c:pt idx="82">
                  <c:v>-2.0550194804936699</c:v>
                </c:pt>
                <c:pt idx="83">
                  <c:v>-2.4244662668639898</c:v>
                </c:pt>
                <c:pt idx="84">
                  <c:v>-2.7156516933983599</c:v>
                </c:pt>
                <c:pt idx="85">
                  <c:v>-2.8667228314934898</c:v>
                </c:pt>
                <c:pt idx="86">
                  <c:v>-1.56616535700255</c:v>
                </c:pt>
                <c:pt idx="87">
                  <c:v>-1.3118730207039599</c:v>
                </c:pt>
                <c:pt idx="88">
                  <c:v>0.20250785885253</c:v>
                </c:pt>
                <c:pt idx="89">
                  <c:v>-0.28008159013142098</c:v>
                </c:pt>
                <c:pt idx="90">
                  <c:v>0.76689105389343204</c:v>
                </c:pt>
                <c:pt idx="91">
                  <c:v>1.9288831520106999</c:v>
                </c:pt>
                <c:pt idx="92">
                  <c:v>2.0804547810473899</c:v>
                </c:pt>
                <c:pt idx="93">
                  <c:v>2.7603393654052399</c:v>
                </c:pt>
                <c:pt idx="94">
                  <c:v>3.6404702225980499</c:v>
                </c:pt>
                <c:pt idx="95">
                  <c:v>3.4528004115568902</c:v>
                </c:pt>
                <c:pt idx="96">
                  <c:v>3.2280325125917102</c:v>
                </c:pt>
                <c:pt idx="97">
                  <c:v>2.5462441969229799</c:v>
                </c:pt>
                <c:pt idx="98">
                  <c:v>1.81439198312026</c:v>
                </c:pt>
                <c:pt idx="99">
                  <c:v>1.2656180192773001</c:v>
                </c:pt>
                <c:pt idx="100">
                  <c:v>0.90700062315154095</c:v>
                </c:pt>
                <c:pt idx="101">
                  <c:v>0.80625978117845098</c:v>
                </c:pt>
                <c:pt idx="102">
                  <c:v>0.35748885994962598</c:v>
                </c:pt>
                <c:pt idx="103">
                  <c:v>-0.72827334734833205</c:v>
                </c:pt>
                <c:pt idx="104">
                  <c:v>-2.7284172442995498</c:v>
                </c:pt>
                <c:pt idx="105">
                  <c:v>-3.1132377146985601</c:v>
                </c:pt>
                <c:pt idx="106">
                  <c:v>-2.5721090763840699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7A-4444-B718-9B1D3DFDF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5811328"/>
        <c:axId val="45812576"/>
      </c:barChart>
      <c:lineChart>
        <c:grouping val="standard"/>
        <c:varyColors val="0"/>
        <c:ser>
          <c:idx val="0"/>
          <c:order val="0"/>
          <c:tx>
            <c:strRef>
              <c:f>'Output R -CGAPS1'!$D$1</c:f>
              <c:strCache>
                <c:ptCount val="1"/>
                <c:pt idx="0">
                  <c:v>Gap HCSF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'Output R -CGAPS1'!$A$2:$A$108</c:f>
              <c:numCache>
                <c:formatCode>mmm\-yy</c:formatCode>
                <c:ptCount val="107"/>
                <c:pt idx="0">
                  <c:v>36220</c:v>
                </c:pt>
                <c:pt idx="1">
                  <c:v>36312</c:v>
                </c:pt>
                <c:pt idx="2">
                  <c:v>36404</c:v>
                </c:pt>
                <c:pt idx="3">
                  <c:v>36495</c:v>
                </c:pt>
                <c:pt idx="4">
                  <c:v>36586</c:v>
                </c:pt>
                <c:pt idx="5">
                  <c:v>36678</c:v>
                </c:pt>
                <c:pt idx="6">
                  <c:v>36770</c:v>
                </c:pt>
                <c:pt idx="7">
                  <c:v>36861</c:v>
                </c:pt>
                <c:pt idx="8">
                  <c:v>36951</c:v>
                </c:pt>
                <c:pt idx="9">
                  <c:v>37043</c:v>
                </c:pt>
                <c:pt idx="10">
                  <c:v>37135</c:v>
                </c:pt>
                <c:pt idx="11">
                  <c:v>37226</c:v>
                </c:pt>
                <c:pt idx="12">
                  <c:v>37316</c:v>
                </c:pt>
                <c:pt idx="13">
                  <c:v>37408</c:v>
                </c:pt>
                <c:pt idx="14">
                  <c:v>37500</c:v>
                </c:pt>
                <c:pt idx="15">
                  <c:v>37591</c:v>
                </c:pt>
                <c:pt idx="16">
                  <c:v>37681</c:v>
                </c:pt>
                <c:pt idx="17">
                  <c:v>37773</c:v>
                </c:pt>
                <c:pt idx="18">
                  <c:v>37865</c:v>
                </c:pt>
                <c:pt idx="19">
                  <c:v>37956</c:v>
                </c:pt>
                <c:pt idx="20">
                  <c:v>38047</c:v>
                </c:pt>
                <c:pt idx="21">
                  <c:v>38139</c:v>
                </c:pt>
                <c:pt idx="22">
                  <c:v>38231</c:v>
                </c:pt>
                <c:pt idx="23">
                  <c:v>38322</c:v>
                </c:pt>
                <c:pt idx="24">
                  <c:v>38412</c:v>
                </c:pt>
                <c:pt idx="25">
                  <c:v>38504</c:v>
                </c:pt>
                <c:pt idx="26">
                  <c:v>38596</c:v>
                </c:pt>
                <c:pt idx="27">
                  <c:v>38687</c:v>
                </c:pt>
                <c:pt idx="28">
                  <c:v>38777</c:v>
                </c:pt>
                <c:pt idx="29">
                  <c:v>38869</c:v>
                </c:pt>
                <c:pt idx="30">
                  <c:v>38961</c:v>
                </c:pt>
                <c:pt idx="31">
                  <c:v>39052</c:v>
                </c:pt>
                <c:pt idx="32">
                  <c:v>39142</c:v>
                </c:pt>
                <c:pt idx="33">
                  <c:v>39234</c:v>
                </c:pt>
                <c:pt idx="34">
                  <c:v>39326</c:v>
                </c:pt>
                <c:pt idx="35">
                  <c:v>39417</c:v>
                </c:pt>
                <c:pt idx="36">
                  <c:v>39508</c:v>
                </c:pt>
                <c:pt idx="37">
                  <c:v>39600</c:v>
                </c:pt>
                <c:pt idx="38">
                  <c:v>39692</c:v>
                </c:pt>
                <c:pt idx="39">
                  <c:v>39783</c:v>
                </c:pt>
                <c:pt idx="40">
                  <c:v>39873</c:v>
                </c:pt>
                <c:pt idx="41">
                  <c:v>39965</c:v>
                </c:pt>
                <c:pt idx="42">
                  <c:v>40057</c:v>
                </c:pt>
                <c:pt idx="43">
                  <c:v>40148</c:v>
                </c:pt>
                <c:pt idx="44">
                  <c:v>40238</c:v>
                </c:pt>
                <c:pt idx="45">
                  <c:v>40330</c:v>
                </c:pt>
                <c:pt idx="46">
                  <c:v>40422</c:v>
                </c:pt>
                <c:pt idx="47">
                  <c:v>40513</c:v>
                </c:pt>
                <c:pt idx="48">
                  <c:v>40603</c:v>
                </c:pt>
                <c:pt idx="49">
                  <c:v>40695</c:v>
                </c:pt>
                <c:pt idx="50">
                  <c:v>40787</c:v>
                </c:pt>
                <c:pt idx="51">
                  <c:v>40878</c:v>
                </c:pt>
                <c:pt idx="52">
                  <c:v>40969</c:v>
                </c:pt>
                <c:pt idx="53">
                  <c:v>41061</c:v>
                </c:pt>
                <c:pt idx="54">
                  <c:v>41153</c:v>
                </c:pt>
                <c:pt idx="55">
                  <c:v>41244</c:v>
                </c:pt>
                <c:pt idx="56">
                  <c:v>41334</c:v>
                </c:pt>
                <c:pt idx="57">
                  <c:v>41426</c:v>
                </c:pt>
                <c:pt idx="58">
                  <c:v>41518</c:v>
                </c:pt>
                <c:pt idx="59">
                  <c:v>41609</c:v>
                </c:pt>
                <c:pt idx="60">
                  <c:v>41699</c:v>
                </c:pt>
                <c:pt idx="61">
                  <c:v>41791</c:v>
                </c:pt>
                <c:pt idx="62">
                  <c:v>41883</c:v>
                </c:pt>
                <c:pt idx="63">
                  <c:v>41974</c:v>
                </c:pt>
                <c:pt idx="64">
                  <c:v>42064</c:v>
                </c:pt>
                <c:pt idx="65">
                  <c:v>42156</c:v>
                </c:pt>
                <c:pt idx="66">
                  <c:v>42248</c:v>
                </c:pt>
                <c:pt idx="67">
                  <c:v>42339</c:v>
                </c:pt>
                <c:pt idx="68">
                  <c:v>42430</c:v>
                </c:pt>
                <c:pt idx="69">
                  <c:v>42522</c:v>
                </c:pt>
                <c:pt idx="70">
                  <c:v>42614</c:v>
                </c:pt>
                <c:pt idx="71">
                  <c:v>42705</c:v>
                </c:pt>
                <c:pt idx="72">
                  <c:v>42795</c:v>
                </c:pt>
                <c:pt idx="73">
                  <c:v>42887</c:v>
                </c:pt>
                <c:pt idx="74">
                  <c:v>42979</c:v>
                </c:pt>
                <c:pt idx="75">
                  <c:v>43070</c:v>
                </c:pt>
                <c:pt idx="76">
                  <c:v>43160</c:v>
                </c:pt>
                <c:pt idx="77">
                  <c:v>43252</c:v>
                </c:pt>
                <c:pt idx="78">
                  <c:v>43344</c:v>
                </c:pt>
                <c:pt idx="79">
                  <c:v>43435</c:v>
                </c:pt>
                <c:pt idx="80">
                  <c:v>43525</c:v>
                </c:pt>
                <c:pt idx="81">
                  <c:v>43617</c:v>
                </c:pt>
                <c:pt idx="82">
                  <c:v>43709</c:v>
                </c:pt>
                <c:pt idx="83">
                  <c:v>43800</c:v>
                </c:pt>
                <c:pt idx="84">
                  <c:v>43891</c:v>
                </c:pt>
                <c:pt idx="85">
                  <c:v>43983</c:v>
                </c:pt>
                <c:pt idx="86">
                  <c:v>44075</c:v>
                </c:pt>
                <c:pt idx="87">
                  <c:v>44166</c:v>
                </c:pt>
                <c:pt idx="88">
                  <c:v>44256</c:v>
                </c:pt>
                <c:pt idx="89">
                  <c:v>44348</c:v>
                </c:pt>
                <c:pt idx="90">
                  <c:v>44440</c:v>
                </c:pt>
                <c:pt idx="91">
                  <c:v>44531</c:v>
                </c:pt>
                <c:pt idx="92">
                  <c:v>44621</c:v>
                </c:pt>
                <c:pt idx="93">
                  <c:v>44713</c:v>
                </c:pt>
                <c:pt idx="94">
                  <c:v>44805</c:v>
                </c:pt>
                <c:pt idx="95">
                  <c:v>44896</c:v>
                </c:pt>
                <c:pt idx="96">
                  <c:v>44986</c:v>
                </c:pt>
                <c:pt idx="97">
                  <c:v>45078</c:v>
                </c:pt>
                <c:pt idx="98">
                  <c:v>45170</c:v>
                </c:pt>
                <c:pt idx="99">
                  <c:v>45261</c:v>
                </c:pt>
                <c:pt idx="100">
                  <c:v>45352</c:v>
                </c:pt>
              </c:numCache>
            </c:numRef>
          </c:cat>
          <c:val>
            <c:numRef>
              <c:f>'Output R -CGAPS1'!$D$2:$D$108</c:f>
              <c:numCache>
                <c:formatCode>General</c:formatCode>
                <c:ptCount val="107"/>
                <c:pt idx="0">
                  <c:v>2.1640911197557702</c:v>
                </c:pt>
                <c:pt idx="1">
                  <c:v>3.2074785931864902</c:v>
                </c:pt>
                <c:pt idx="2">
                  <c:v>1.9059119348981799</c:v>
                </c:pt>
                <c:pt idx="3">
                  <c:v>0.12246826407931</c:v>
                </c:pt>
                <c:pt idx="4">
                  <c:v>0.49156449254032603</c:v>
                </c:pt>
                <c:pt idx="5">
                  <c:v>-0.70145461098256701</c:v>
                </c:pt>
                <c:pt idx="6">
                  <c:v>-0.53961137590788899</c:v>
                </c:pt>
                <c:pt idx="7">
                  <c:v>-1.1718133949896901</c:v>
                </c:pt>
                <c:pt idx="8">
                  <c:v>-0.13453983109199799</c:v>
                </c:pt>
                <c:pt idx="9">
                  <c:v>-1.4135805083340101</c:v>
                </c:pt>
                <c:pt idx="10">
                  <c:v>-0.56770881495125802</c:v>
                </c:pt>
                <c:pt idx="11">
                  <c:v>-0.918303622904869</c:v>
                </c:pt>
                <c:pt idx="12">
                  <c:v>8.6113835984376899E-2</c:v>
                </c:pt>
                <c:pt idx="13">
                  <c:v>-0.21755695927922999</c:v>
                </c:pt>
                <c:pt idx="14">
                  <c:v>-0.71676292734525504</c:v>
                </c:pt>
                <c:pt idx="15">
                  <c:v>-1.0351070432499301</c:v>
                </c:pt>
                <c:pt idx="16">
                  <c:v>-0.66998553328774302</c:v>
                </c:pt>
                <c:pt idx="17">
                  <c:v>-1.6852033993086899</c:v>
                </c:pt>
                <c:pt idx="18">
                  <c:v>-1.76255368930003</c:v>
                </c:pt>
                <c:pt idx="19">
                  <c:v>-1.9669457109826201</c:v>
                </c:pt>
                <c:pt idx="20">
                  <c:v>-0.14448471754235301</c:v>
                </c:pt>
                <c:pt idx="21">
                  <c:v>-0.32177228418619103</c:v>
                </c:pt>
                <c:pt idx="22">
                  <c:v>4.7965665206308097E-3</c:v>
                </c:pt>
                <c:pt idx="23">
                  <c:v>-0.46097321487575599</c:v>
                </c:pt>
                <c:pt idx="24">
                  <c:v>0.74630878733569495</c:v>
                </c:pt>
                <c:pt idx="25">
                  <c:v>-1.31294590540116E-2</c:v>
                </c:pt>
                <c:pt idx="26">
                  <c:v>0.59355379138771702</c:v>
                </c:pt>
                <c:pt idx="27">
                  <c:v>0.63908926110393105</c:v>
                </c:pt>
                <c:pt idx="28">
                  <c:v>1.4940445112744201</c:v>
                </c:pt>
                <c:pt idx="29">
                  <c:v>0.49775103378811802</c:v>
                </c:pt>
                <c:pt idx="30">
                  <c:v>0.50653707491408395</c:v>
                </c:pt>
                <c:pt idx="31">
                  <c:v>0.21607252748306799</c:v>
                </c:pt>
                <c:pt idx="32">
                  <c:v>1.2803143899487499</c:v>
                </c:pt>
                <c:pt idx="33">
                  <c:v>0.22843498179148</c:v>
                </c:pt>
                <c:pt idx="34">
                  <c:v>6.7616235376442999E-2</c:v>
                </c:pt>
                <c:pt idx="35">
                  <c:v>-0.77506180591157103</c:v>
                </c:pt>
                <c:pt idx="36">
                  <c:v>-0.95130479208998897</c:v>
                </c:pt>
                <c:pt idx="37">
                  <c:v>0.33161210986034301</c:v>
                </c:pt>
                <c:pt idx="38">
                  <c:v>0.77818717312834795</c:v>
                </c:pt>
                <c:pt idx="39">
                  <c:v>0.80590701121816399</c:v>
                </c:pt>
                <c:pt idx="40">
                  <c:v>1.4162497252377499</c:v>
                </c:pt>
                <c:pt idx="41">
                  <c:v>1.4710387010202299</c:v>
                </c:pt>
                <c:pt idx="42">
                  <c:v>1.75090469399243</c:v>
                </c:pt>
                <c:pt idx="43">
                  <c:v>1.8179520238422699</c:v>
                </c:pt>
                <c:pt idx="44">
                  <c:v>3.2675684091583501</c:v>
                </c:pt>
                <c:pt idx="45">
                  <c:v>2.2697778000550799</c:v>
                </c:pt>
                <c:pt idx="46">
                  <c:v>3.3363061010164401</c:v>
                </c:pt>
                <c:pt idx="47">
                  <c:v>2.9464790693093601</c:v>
                </c:pt>
                <c:pt idx="48">
                  <c:v>3.9427430583722098</c:v>
                </c:pt>
                <c:pt idx="49">
                  <c:v>4.0483550682784299</c:v>
                </c:pt>
                <c:pt idx="50">
                  <c:v>4.04096554113754</c:v>
                </c:pt>
                <c:pt idx="51">
                  <c:v>3.7520143423212602</c:v>
                </c:pt>
                <c:pt idx="52">
                  <c:v>5.9553343747893797</c:v>
                </c:pt>
                <c:pt idx="53">
                  <c:v>5.6302951853492704</c:v>
                </c:pt>
                <c:pt idx="54">
                  <c:v>5.5500044279867602</c:v>
                </c:pt>
                <c:pt idx="55">
                  <c:v>5.1656299537761896</c:v>
                </c:pt>
                <c:pt idx="56">
                  <c:v>5.5588996197791198</c:v>
                </c:pt>
                <c:pt idx="57">
                  <c:v>5.2623645619316299</c:v>
                </c:pt>
                <c:pt idx="58">
                  <c:v>4.8812717598028099</c:v>
                </c:pt>
                <c:pt idx="59">
                  <c:v>3.88732165119016</c:v>
                </c:pt>
                <c:pt idx="60">
                  <c:v>5.0308532227986698</c:v>
                </c:pt>
                <c:pt idx="61">
                  <c:v>6.2366631937797496</c:v>
                </c:pt>
                <c:pt idx="62">
                  <c:v>6.5639834025100496</c:v>
                </c:pt>
                <c:pt idx="63">
                  <c:v>6.0946578863294203</c:v>
                </c:pt>
                <c:pt idx="64">
                  <c:v>4.9276364421489998</c:v>
                </c:pt>
                <c:pt idx="65">
                  <c:v>3.4733762227359901</c:v>
                </c:pt>
                <c:pt idx="66">
                  <c:v>1.7461233184598</c:v>
                </c:pt>
                <c:pt idx="67">
                  <c:v>2.5962938265816902E-3</c:v>
                </c:pt>
                <c:pt idx="68">
                  <c:v>-0.12783115360931799</c:v>
                </c:pt>
                <c:pt idx="69">
                  <c:v>-1.5725026373872</c:v>
                </c:pt>
                <c:pt idx="70">
                  <c:v>-1.4173768512570599</c:v>
                </c:pt>
                <c:pt idx="71">
                  <c:v>-2.20103799754061</c:v>
                </c:pt>
                <c:pt idx="72">
                  <c:v>-2.6415008670586602</c:v>
                </c:pt>
                <c:pt idx="73">
                  <c:v>-3.3375990089892098</c:v>
                </c:pt>
                <c:pt idx="74">
                  <c:v>-3.7126476278418199</c:v>
                </c:pt>
                <c:pt idx="75">
                  <c:v>-4.2365721377433196</c:v>
                </c:pt>
                <c:pt idx="76">
                  <c:v>-3.8521365059630699</c:v>
                </c:pt>
                <c:pt idx="77">
                  <c:v>-3.7626865801708398</c:v>
                </c:pt>
                <c:pt idx="78">
                  <c:v>-3.7507804288383602</c:v>
                </c:pt>
                <c:pt idx="79">
                  <c:v>-4.2613270735351696</c:v>
                </c:pt>
                <c:pt idx="80">
                  <c:v>-4.4200696386012197</c:v>
                </c:pt>
                <c:pt idx="81">
                  <c:v>-4.96805199420601</c:v>
                </c:pt>
                <c:pt idx="82">
                  <c:v>-5.1124179750388201</c:v>
                </c:pt>
                <c:pt idx="83">
                  <c:v>-5.3699582830718002</c:v>
                </c:pt>
                <c:pt idx="84">
                  <c:v>-5.73457191067443</c:v>
                </c:pt>
                <c:pt idx="85">
                  <c:v>-5.7264565811619104</c:v>
                </c:pt>
                <c:pt idx="86">
                  <c:v>-3.8112130978382099</c:v>
                </c:pt>
                <c:pt idx="87">
                  <c:v>-3.1644222009594598</c:v>
                </c:pt>
                <c:pt idx="88">
                  <c:v>-1.4297631945923801</c:v>
                </c:pt>
                <c:pt idx="89">
                  <c:v>-1.9973120341750299</c:v>
                </c:pt>
                <c:pt idx="90">
                  <c:v>-0.93789304610845903</c:v>
                </c:pt>
                <c:pt idx="91">
                  <c:v>0.291998449156678</c:v>
                </c:pt>
                <c:pt idx="92">
                  <c:v>0.33061564878398497</c:v>
                </c:pt>
                <c:pt idx="93">
                  <c:v>0.98744708513056101</c:v>
                </c:pt>
                <c:pt idx="94">
                  <c:v>2.03343590708797</c:v>
                </c:pt>
                <c:pt idx="95">
                  <c:v>1.9010994255134499</c:v>
                </c:pt>
                <c:pt idx="96">
                  <c:v>1.75551699493139</c:v>
                </c:pt>
                <c:pt idx="97">
                  <c:v>1.1512629739920699</c:v>
                </c:pt>
                <c:pt idx="98">
                  <c:v>0.61839362755579697</c:v>
                </c:pt>
                <c:pt idx="99">
                  <c:v>0.26789922386291998</c:v>
                </c:pt>
                <c:pt idx="100">
                  <c:v>2.1073444018642699E-3</c:v>
                </c:pt>
                <c:pt idx="101">
                  <c:v>-7.8913433398308794E-2</c:v>
                </c:pt>
                <c:pt idx="102">
                  <c:v>-0.28656567989219001</c:v>
                </c:pt>
                <c:pt idx="103">
                  <c:v>-0.92047053090070796</c:v>
                </c:pt>
                <c:pt idx="104">
                  <c:v>-2.6348573252029501</c:v>
                </c:pt>
                <c:pt idx="105">
                  <c:v>-2.9151832517756899</c:v>
                </c:pt>
                <c:pt idx="106">
                  <c:v>-1.7013858556802099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7A-4444-B718-9B1D3DFDF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811328"/>
        <c:axId val="45812576"/>
      </c:lineChart>
      <c:dateAx>
        <c:axId val="4581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out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812576"/>
        <c:crosses val="autoZero"/>
        <c:auto val="1"/>
        <c:lblOffset val="100"/>
        <c:baseTimeUnit val="months"/>
      </c:dateAx>
      <c:valAx>
        <c:axId val="458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81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>
          <a:solidFill>
            <a:sysClr val="windowText" lastClr="000000"/>
          </a:solidFill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CCyB induits (gaps données BdF)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'Output R -CGAPS1'!$I$1</c:f>
              <c:strCache>
                <c:ptCount val="1"/>
                <c:pt idx="0">
                  <c:v>c_bis_ccyb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'Output R -CGAPS1'!$A$2:$A$108</c:f>
              <c:numCache>
                <c:formatCode>mmm\-yy</c:formatCode>
                <c:ptCount val="107"/>
                <c:pt idx="0">
                  <c:v>36220</c:v>
                </c:pt>
                <c:pt idx="1">
                  <c:v>36312</c:v>
                </c:pt>
                <c:pt idx="2">
                  <c:v>36404</c:v>
                </c:pt>
                <c:pt idx="3">
                  <c:v>36495</c:v>
                </c:pt>
                <c:pt idx="4">
                  <c:v>36586</c:v>
                </c:pt>
                <c:pt idx="5">
                  <c:v>36678</c:v>
                </c:pt>
                <c:pt idx="6">
                  <c:v>36770</c:v>
                </c:pt>
                <c:pt idx="7">
                  <c:v>36861</c:v>
                </c:pt>
                <c:pt idx="8">
                  <c:v>36951</c:v>
                </c:pt>
                <c:pt idx="9">
                  <c:v>37043</c:v>
                </c:pt>
                <c:pt idx="10">
                  <c:v>37135</c:v>
                </c:pt>
                <c:pt idx="11">
                  <c:v>37226</c:v>
                </c:pt>
                <c:pt idx="12">
                  <c:v>37316</c:v>
                </c:pt>
                <c:pt idx="13">
                  <c:v>37408</c:v>
                </c:pt>
                <c:pt idx="14">
                  <c:v>37500</c:v>
                </c:pt>
                <c:pt idx="15">
                  <c:v>37591</c:v>
                </c:pt>
                <c:pt idx="16">
                  <c:v>37681</c:v>
                </c:pt>
                <c:pt idx="17">
                  <c:v>37773</c:v>
                </c:pt>
                <c:pt idx="18">
                  <c:v>37865</c:v>
                </c:pt>
                <c:pt idx="19">
                  <c:v>37956</c:v>
                </c:pt>
                <c:pt idx="20">
                  <c:v>38047</c:v>
                </c:pt>
                <c:pt idx="21">
                  <c:v>38139</c:v>
                </c:pt>
                <c:pt idx="22">
                  <c:v>38231</c:v>
                </c:pt>
                <c:pt idx="23">
                  <c:v>38322</c:v>
                </c:pt>
                <c:pt idx="24">
                  <c:v>38412</c:v>
                </c:pt>
                <c:pt idx="25">
                  <c:v>38504</c:v>
                </c:pt>
                <c:pt idx="26">
                  <c:v>38596</c:v>
                </c:pt>
                <c:pt idx="27">
                  <c:v>38687</c:v>
                </c:pt>
                <c:pt idx="28">
                  <c:v>38777</c:v>
                </c:pt>
                <c:pt idx="29">
                  <c:v>38869</c:v>
                </c:pt>
                <c:pt idx="30">
                  <c:v>38961</c:v>
                </c:pt>
                <c:pt idx="31">
                  <c:v>39052</c:v>
                </c:pt>
                <c:pt idx="32">
                  <c:v>39142</c:v>
                </c:pt>
                <c:pt idx="33">
                  <c:v>39234</c:v>
                </c:pt>
                <c:pt idx="34">
                  <c:v>39326</c:v>
                </c:pt>
                <c:pt idx="35">
                  <c:v>39417</c:v>
                </c:pt>
                <c:pt idx="36">
                  <c:v>39508</c:v>
                </c:pt>
                <c:pt idx="37">
                  <c:v>39600</c:v>
                </c:pt>
                <c:pt idx="38">
                  <c:v>39692</c:v>
                </c:pt>
                <c:pt idx="39">
                  <c:v>39783</c:v>
                </c:pt>
                <c:pt idx="40">
                  <c:v>39873</c:v>
                </c:pt>
                <c:pt idx="41">
                  <c:v>39965</c:v>
                </c:pt>
                <c:pt idx="42">
                  <c:v>40057</c:v>
                </c:pt>
                <c:pt idx="43">
                  <c:v>40148</c:v>
                </c:pt>
                <c:pt idx="44">
                  <c:v>40238</c:v>
                </c:pt>
                <c:pt idx="45">
                  <c:v>40330</c:v>
                </c:pt>
                <c:pt idx="46">
                  <c:v>40422</c:v>
                </c:pt>
                <c:pt idx="47">
                  <c:v>40513</c:v>
                </c:pt>
                <c:pt idx="48">
                  <c:v>40603</c:v>
                </c:pt>
                <c:pt idx="49">
                  <c:v>40695</c:v>
                </c:pt>
                <c:pt idx="50">
                  <c:v>40787</c:v>
                </c:pt>
                <c:pt idx="51">
                  <c:v>40878</c:v>
                </c:pt>
                <c:pt idx="52">
                  <c:v>40969</c:v>
                </c:pt>
                <c:pt idx="53">
                  <c:v>41061</c:v>
                </c:pt>
                <c:pt idx="54">
                  <c:v>41153</c:v>
                </c:pt>
                <c:pt idx="55">
                  <c:v>41244</c:v>
                </c:pt>
                <c:pt idx="56">
                  <c:v>41334</c:v>
                </c:pt>
                <c:pt idx="57">
                  <c:v>41426</c:v>
                </c:pt>
                <c:pt idx="58">
                  <c:v>41518</c:v>
                </c:pt>
                <c:pt idx="59">
                  <c:v>41609</c:v>
                </c:pt>
                <c:pt idx="60">
                  <c:v>41699</c:v>
                </c:pt>
                <c:pt idx="61">
                  <c:v>41791</c:v>
                </c:pt>
                <c:pt idx="62">
                  <c:v>41883</c:v>
                </c:pt>
                <c:pt idx="63">
                  <c:v>41974</c:v>
                </c:pt>
                <c:pt idx="64">
                  <c:v>42064</c:v>
                </c:pt>
                <c:pt idx="65">
                  <c:v>42156</c:v>
                </c:pt>
                <c:pt idx="66">
                  <c:v>42248</c:v>
                </c:pt>
                <c:pt idx="67">
                  <c:v>42339</c:v>
                </c:pt>
                <c:pt idx="68">
                  <c:v>42430</c:v>
                </c:pt>
                <c:pt idx="69">
                  <c:v>42522</c:v>
                </c:pt>
                <c:pt idx="70">
                  <c:v>42614</c:v>
                </c:pt>
                <c:pt idx="71">
                  <c:v>42705</c:v>
                </c:pt>
                <c:pt idx="72">
                  <c:v>42795</c:v>
                </c:pt>
                <c:pt idx="73">
                  <c:v>42887</c:v>
                </c:pt>
                <c:pt idx="74">
                  <c:v>42979</c:v>
                </c:pt>
                <c:pt idx="75">
                  <c:v>43070</c:v>
                </c:pt>
                <c:pt idx="76">
                  <c:v>43160</c:v>
                </c:pt>
                <c:pt idx="77">
                  <c:v>43252</c:v>
                </c:pt>
                <c:pt idx="78">
                  <c:v>43344</c:v>
                </c:pt>
                <c:pt idx="79">
                  <c:v>43435</c:v>
                </c:pt>
                <c:pt idx="80">
                  <c:v>43525</c:v>
                </c:pt>
                <c:pt idx="81">
                  <c:v>43617</c:v>
                </c:pt>
                <c:pt idx="82">
                  <c:v>43709</c:v>
                </c:pt>
                <c:pt idx="83">
                  <c:v>43800</c:v>
                </c:pt>
                <c:pt idx="84">
                  <c:v>43891</c:v>
                </c:pt>
                <c:pt idx="85">
                  <c:v>43983</c:v>
                </c:pt>
                <c:pt idx="86">
                  <c:v>44075</c:v>
                </c:pt>
                <c:pt idx="87">
                  <c:v>44166</c:v>
                </c:pt>
                <c:pt idx="88">
                  <c:v>44256</c:v>
                </c:pt>
                <c:pt idx="89">
                  <c:v>44348</c:v>
                </c:pt>
                <c:pt idx="90">
                  <c:v>44440</c:v>
                </c:pt>
                <c:pt idx="91">
                  <c:v>44531</c:v>
                </c:pt>
                <c:pt idx="92">
                  <c:v>44621</c:v>
                </c:pt>
                <c:pt idx="93">
                  <c:v>44713</c:v>
                </c:pt>
                <c:pt idx="94">
                  <c:v>44805</c:v>
                </c:pt>
                <c:pt idx="95">
                  <c:v>44896</c:v>
                </c:pt>
                <c:pt idx="96">
                  <c:v>44986</c:v>
                </c:pt>
                <c:pt idx="97">
                  <c:v>45078</c:v>
                </c:pt>
                <c:pt idx="98">
                  <c:v>45170</c:v>
                </c:pt>
                <c:pt idx="99">
                  <c:v>45261</c:v>
                </c:pt>
                <c:pt idx="100">
                  <c:v>45352</c:v>
                </c:pt>
              </c:numCache>
            </c:numRef>
          </c:cat>
          <c:val>
            <c:numRef>
              <c:f>'Output R -CGAPS1'!$I$2:$I$108</c:f>
              <c:numCache>
                <c:formatCode>General</c:formatCode>
                <c:ptCount val="107"/>
                <c:pt idx="0">
                  <c:v>0.87763335283166599</c:v>
                </c:pt>
                <c:pt idx="1">
                  <c:v>1.4606940133639501</c:v>
                </c:pt>
                <c:pt idx="2">
                  <c:v>0.73481191617879804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0.26521089073273302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7.5241163547095202E-2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3.1200434495100699E-2</c:v>
                </c:pt>
                <c:pt idx="41">
                  <c:v>9.9494889568367398E-2</c:v>
                </c:pt>
                <c:pt idx="42">
                  <c:v>0.248449869145628</c:v>
                </c:pt>
                <c:pt idx="43">
                  <c:v>0.36393433495208699</c:v>
                </c:pt>
                <c:pt idx="44">
                  <c:v>1.19848200453892</c:v>
                </c:pt>
                <c:pt idx="45">
                  <c:v>0.73722366106350901</c:v>
                </c:pt>
                <c:pt idx="46">
                  <c:v>1.3197479928312399</c:v>
                </c:pt>
                <c:pt idx="47">
                  <c:v>1.1758194461975899</c:v>
                </c:pt>
                <c:pt idx="48">
                  <c:v>1.8464738256142099</c:v>
                </c:pt>
                <c:pt idx="49">
                  <c:v>1.8547410814715699</c:v>
                </c:pt>
                <c:pt idx="50">
                  <c:v>1.80009721533626</c:v>
                </c:pt>
                <c:pt idx="51">
                  <c:v>1.6055695449994101</c:v>
                </c:pt>
                <c:pt idx="52">
                  <c:v>2.5</c:v>
                </c:pt>
                <c:pt idx="53">
                  <c:v>2.5</c:v>
                </c:pt>
                <c:pt idx="54">
                  <c:v>2.5</c:v>
                </c:pt>
                <c:pt idx="55">
                  <c:v>2.4301037229422802</c:v>
                </c:pt>
                <c:pt idx="56">
                  <c:v>2.5</c:v>
                </c:pt>
                <c:pt idx="57">
                  <c:v>2.5</c:v>
                </c:pt>
                <c:pt idx="58">
                  <c:v>2.4433244545441202</c:v>
                </c:pt>
                <c:pt idx="59">
                  <c:v>1.9276712271149501</c:v>
                </c:pt>
                <c:pt idx="60">
                  <c:v>2.5</c:v>
                </c:pt>
                <c:pt idx="61">
                  <c:v>2.5</c:v>
                </c:pt>
                <c:pt idx="62">
                  <c:v>2.5</c:v>
                </c:pt>
                <c:pt idx="63">
                  <c:v>2.5</c:v>
                </c:pt>
                <c:pt idx="64">
                  <c:v>2.2511241037655401</c:v>
                </c:pt>
                <c:pt idx="65">
                  <c:v>1.50898486509358</c:v>
                </c:pt>
                <c:pt idx="66">
                  <c:v>0.54375484868264201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0.258297949122821</c:v>
                </c:pt>
                <c:pt idx="95">
                  <c:v>0.32169845428864202</c:v>
                </c:pt>
                <c:pt idx="96">
                  <c:v>0.40674560913429197</c:v>
                </c:pt>
                <c:pt idx="97">
                  <c:v>0.379511090871887</c:v>
                </c:pt>
                <c:pt idx="98">
                  <c:v>0.12756865083670799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3F-4A33-85F3-14886DBA5450}"/>
            </c:ext>
          </c:extLst>
        </c:ser>
        <c:ser>
          <c:idx val="1"/>
          <c:order val="1"/>
          <c:tx>
            <c:strRef>
              <c:f>'Output R -CGAPS1'!$J$1</c:f>
              <c:strCache>
                <c:ptCount val="1"/>
                <c:pt idx="0">
                  <c:v>c_b_ccyb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'Output R -CGAPS1'!$A$2:$A$108</c:f>
              <c:numCache>
                <c:formatCode>mmm\-yy</c:formatCode>
                <c:ptCount val="107"/>
                <c:pt idx="0">
                  <c:v>36220</c:v>
                </c:pt>
                <c:pt idx="1">
                  <c:v>36312</c:v>
                </c:pt>
                <c:pt idx="2">
                  <c:v>36404</c:v>
                </c:pt>
                <c:pt idx="3">
                  <c:v>36495</c:v>
                </c:pt>
                <c:pt idx="4">
                  <c:v>36586</c:v>
                </c:pt>
                <c:pt idx="5">
                  <c:v>36678</c:v>
                </c:pt>
                <c:pt idx="6">
                  <c:v>36770</c:v>
                </c:pt>
                <c:pt idx="7">
                  <c:v>36861</c:v>
                </c:pt>
                <c:pt idx="8">
                  <c:v>36951</c:v>
                </c:pt>
                <c:pt idx="9">
                  <c:v>37043</c:v>
                </c:pt>
                <c:pt idx="10">
                  <c:v>37135</c:v>
                </c:pt>
                <c:pt idx="11">
                  <c:v>37226</c:v>
                </c:pt>
                <c:pt idx="12">
                  <c:v>37316</c:v>
                </c:pt>
                <c:pt idx="13">
                  <c:v>37408</c:v>
                </c:pt>
                <c:pt idx="14">
                  <c:v>37500</c:v>
                </c:pt>
                <c:pt idx="15">
                  <c:v>37591</c:v>
                </c:pt>
                <c:pt idx="16">
                  <c:v>37681</c:v>
                </c:pt>
                <c:pt idx="17">
                  <c:v>37773</c:v>
                </c:pt>
                <c:pt idx="18">
                  <c:v>37865</c:v>
                </c:pt>
                <c:pt idx="19">
                  <c:v>37956</c:v>
                </c:pt>
                <c:pt idx="20">
                  <c:v>38047</c:v>
                </c:pt>
                <c:pt idx="21">
                  <c:v>38139</c:v>
                </c:pt>
                <c:pt idx="22">
                  <c:v>38231</c:v>
                </c:pt>
                <c:pt idx="23">
                  <c:v>38322</c:v>
                </c:pt>
                <c:pt idx="24">
                  <c:v>38412</c:v>
                </c:pt>
                <c:pt idx="25">
                  <c:v>38504</c:v>
                </c:pt>
                <c:pt idx="26">
                  <c:v>38596</c:v>
                </c:pt>
                <c:pt idx="27">
                  <c:v>38687</c:v>
                </c:pt>
                <c:pt idx="28">
                  <c:v>38777</c:v>
                </c:pt>
                <c:pt idx="29">
                  <c:v>38869</c:v>
                </c:pt>
                <c:pt idx="30">
                  <c:v>38961</c:v>
                </c:pt>
                <c:pt idx="31">
                  <c:v>39052</c:v>
                </c:pt>
                <c:pt idx="32">
                  <c:v>39142</c:v>
                </c:pt>
                <c:pt idx="33">
                  <c:v>39234</c:v>
                </c:pt>
                <c:pt idx="34">
                  <c:v>39326</c:v>
                </c:pt>
                <c:pt idx="35">
                  <c:v>39417</c:v>
                </c:pt>
                <c:pt idx="36">
                  <c:v>39508</c:v>
                </c:pt>
                <c:pt idx="37">
                  <c:v>39600</c:v>
                </c:pt>
                <c:pt idx="38">
                  <c:v>39692</c:v>
                </c:pt>
                <c:pt idx="39">
                  <c:v>39783</c:v>
                </c:pt>
                <c:pt idx="40">
                  <c:v>39873</c:v>
                </c:pt>
                <c:pt idx="41">
                  <c:v>39965</c:v>
                </c:pt>
                <c:pt idx="42">
                  <c:v>40057</c:v>
                </c:pt>
                <c:pt idx="43">
                  <c:v>40148</c:v>
                </c:pt>
                <c:pt idx="44">
                  <c:v>40238</c:v>
                </c:pt>
                <c:pt idx="45">
                  <c:v>40330</c:v>
                </c:pt>
                <c:pt idx="46">
                  <c:v>40422</c:v>
                </c:pt>
                <c:pt idx="47">
                  <c:v>40513</c:v>
                </c:pt>
                <c:pt idx="48">
                  <c:v>40603</c:v>
                </c:pt>
                <c:pt idx="49">
                  <c:v>40695</c:v>
                </c:pt>
                <c:pt idx="50">
                  <c:v>40787</c:v>
                </c:pt>
                <c:pt idx="51">
                  <c:v>40878</c:v>
                </c:pt>
                <c:pt idx="52">
                  <c:v>40969</c:v>
                </c:pt>
                <c:pt idx="53">
                  <c:v>41061</c:v>
                </c:pt>
                <c:pt idx="54">
                  <c:v>41153</c:v>
                </c:pt>
                <c:pt idx="55">
                  <c:v>41244</c:v>
                </c:pt>
                <c:pt idx="56">
                  <c:v>41334</c:v>
                </c:pt>
                <c:pt idx="57">
                  <c:v>41426</c:v>
                </c:pt>
                <c:pt idx="58">
                  <c:v>41518</c:v>
                </c:pt>
                <c:pt idx="59">
                  <c:v>41609</c:v>
                </c:pt>
                <c:pt idx="60">
                  <c:v>41699</c:v>
                </c:pt>
                <c:pt idx="61">
                  <c:v>41791</c:v>
                </c:pt>
                <c:pt idx="62">
                  <c:v>41883</c:v>
                </c:pt>
                <c:pt idx="63">
                  <c:v>41974</c:v>
                </c:pt>
                <c:pt idx="64">
                  <c:v>42064</c:v>
                </c:pt>
                <c:pt idx="65">
                  <c:v>42156</c:v>
                </c:pt>
                <c:pt idx="66">
                  <c:v>42248</c:v>
                </c:pt>
                <c:pt idx="67">
                  <c:v>42339</c:v>
                </c:pt>
                <c:pt idx="68">
                  <c:v>42430</c:v>
                </c:pt>
                <c:pt idx="69">
                  <c:v>42522</c:v>
                </c:pt>
                <c:pt idx="70">
                  <c:v>42614</c:v>
                </c:pt>
                <c:pt idx="71">
                  <c:v>42705</c:v>
                </c:pt>
                <c:pt idx="72">
                  <c:v>42795</c:v>
                </c:pt>
                <c:pt idx="73">
                  <c:v>42887</c:v>
                </c:pt>
                <c:pt idx="74">
                  <c:v>42979</c:v>
                </c:pt>
                <c:pt idx="75">
                  <c:v>43070</c:v>
                </c:pt>
                <c:pt idx="76">
                  <c:v>43160</c:v>
                </c:pt>
                <c:pt idx="77">
                  <c:v>43252</c:v>
                </c:pt>
                <c:pt idx="78">
                  <c:v>43344</c:v>
                </c:pt>
                <c:pt idx="79">
                  <c:v>43435</c:v>
                </c:pt>
                <c:pt idx="80">
                  <c:v>43525</c:v>
                </c:pt>
                <c:pt idx="81">
                  <c:v>43617</c:v>
                </c:pt>
                <c:pt idx="82">
                  <c:v>43709</c:v>
                </c:pt>
                <c:pt idx="83">
                  <c:v>43800</c:v>
                </c:pt>
                <c:pt idx="84">
                  <c:v>43891</c:v>
                </c:pt>
                <c:pt idx="85">
                  <c:v>43983</c:v>
                </c:pt>
                <c:pt idx="86">
                  <c:v>44075</c:v>
                </c:pt>
                <c:pt idx="87">
                  <c:v>44166</c:v>
                </c:pt>
                <c:pt idx="88">
                  <c:v>44256</c:v>
                </c:pt>
                <c:pt idx="89">
                  <c:v>44348</c:v>
                </c:pt>
                <c:pt idx="90">
                  <c:v>44440</c:v>
                </c:pt>
                <c:pt idx="91">
                  <c:v>44531</c:v>
                </c:pt>
                <c:pt idx="92">
                  <c:v>44621</c:v>
                </c:pt>
                <c:pt idx="93">
                  <c:v>44713</c:v>
                </c:pt>
                <c:pt idx="94">
                  <c:v>44805</c:v>
                </c:pt>
                <c:pt idx="95">
                  <c:v>44896</c:v>
                </c:pt>
                <c:pt idx="96">
                  <c:v>44986</c:v>
                </c:pt>
                <c:pt idx="97">
                  <c:v>45078</c:v>
                </c:pt>
                <c:pt idx="98">
                  <c:v>45170</c:v>
                </c:pt>
                <c:pt idx="99">
                  <c:v>45261</c:v>
                </c:pt>
                <c:pt idx="100">
                  <c:v>45352</c:v>
                </c:pt>
              </c:numCache>
            </c:numRef>
          </c:cat>
          <c:val>
            <c:numRef>
              <c:f>'Output R -CGAPS1'!$J$2:$J$108</c:f>
              <c:numCache>
                <c:formatCode>General</c:formatCode>
                <c:ptCount val="107"/>
                <c:pt idx="0">
                  <c:v>4.5146252838942198E-2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8.9700714886690694E-2</c:v>
                </c:pt>
                <c:pt idx="45">
                  <c:v>0</c:v>
                </c:pt>
                <c:pt idx="46">
                  <c:v>7.3074357688297495E-2</c:v>
                </c:pt>
                <c:pt idx="47">
                  <c:v>0</c:v>
                </c:pt>
                <c:pt idx="48">
                  <c:v>0.133807763393539</c:v>
                </c:pt>
                <c:pt idx="49">
                  <c:v>0.176258091990632</c:v>
                </c:pt>
                <c:pt idx="50">
                  <c:v>0.19393484389670901</c:v>
                </c:pt>
                <c:pt idx="51">
                  <c:v>0.14344195820959199</c:v>
                </c:pt>
                <c:pt idx="52">
                  <c:v>0.62511453090969704</c:v>
                </c:pt>
                <c:pt idx="53">
                  <c:v>0.53744282051008396</c:v>
                </c:pt>
                <c:pt idx="54">
                  <c:v>0.51861381225635705</c:v>
                </c:pt>
                <c:pt idx="55">
                  <c:v>0.439017953135387</c:v>
                </c:pt>
                <c:pt idx="56">
                  <c:v>0.51298410558202101</c:v>
                </c:pt>
                <c:pt idx="57">
                  <c:v>0.400559238395928</c:v>
                </c:pt>
                <c:pt idx="58">
                  <c:v>0.31117185521098001</c:v>
                </c:pt>
                <c:pt idx="59">
                  <c:v>7.8866253545726406E-2</c:v>
                </c:pt>
                <c:pt idx="60">
                  <c:v>0.315294976229816</c:v>
                </c:pt>
                <c:pt idx="61">
                  <c:v>0.64775265315495101</c:v>
                </c:pt>
                <c:pt idx="62">
                  <c:v>0.69946598042645902</c:v>
                </c:pt>
                <c:pt idx="63">
                  <c:v>0.59488039022692296</c:v>
                </c:pt>
                <c:pt idx="64">
                  <c:v>0.40459302098404598</c:v>
                </c:pt>
                <c:pt idx="65">
                  <c:v>5.9999404442512498E-2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3F-4A33-85F3-14886DBA5450}"/>
            </c:ext>
          </c:extLst>
        </c:ser>
        <c:ser>
          <c:idx val="2"/>
          <c:order val="2"/>
          <c:tx>
            <c:strRef>
              <c:f>'Output R -CGAPS1'!$K$1</c:f>
              <c:strCache>
                <c:ptCount val="1"/>
                <c:pt idx="0">
                  <c:v>c_hcsf_ccyb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'Output R -CGAPS1'!$A$2:$A$108</c:f>
              <c:numCache>
                <c:formatCode>mmm\-yy</c:formatCode>
                <c:ptCount val="107"/>
                <c:pt idx="0">
                  <c:v>36220</c:v>
                </c:pt>
                <c:pt idx="1">
                  <c:v>36312</c:v>
                </c:pt>
                <c:pt idx="2">
                  <c:v>36404</c:v>
                </c:pt>
                <c:pt idx="3">
                  <c:v>36495</c:v>
                </c:pt>
                <c:pt idx="4">
                  <c:v>36586</c:v>
                </c:pt>
                <c:pt idx="5">
                  <c:v>36678</c:v>
                </c:pt>
                <c:pt idx="6">
                  <c:v>36770</c:v>
                </c:pt>
                <c:pt idx="7">
                  <c:v>36861</c:v>
                </c:pt>
                <c:pt idx="8">
                  <c:v>36951</c:v>
                </c:pt>
                <c:pt idx="9">
                  <c:v>37043</c:v>
                </c:pt>
                <c:pt idx="10">
                  <c:v>37135</c:v>
                </c:pt>
                <c:pt idx="11">
                  <c:v>37226</c:v>
                </c:pt>
                <c:pt idx="12">
                  <c:v>37316</c:v>
                </c:pt>
                <c:pt idx="13">
                  <c:v>37408</c:v>
                </c:pt>
                <c:pt idx="14">
                  <c:v>37500</c:v>
                </c:pt>
                <c:pt idx="15">
                  <c:v>37591</c:v>
                </c:pt>
                <c:pt idx="16">
                  <c:v>37681</c:v>
                </c:pt>
                <c:pt idx="17">
                  <c:v>37773</c:v>
                </c:pt>
                <c:pt idx="18">
                  <c:v>37865</c:v>
                </c:pt>
                <c:pt idx="19">
                  <c:v>37956</c:v>
                </c:pt>
                <c:pt idx="20">
                  <c:v>38047</c:v>
                </c:pt>
                <c:pt idx="21">
                  <c:v>38139</c:v>
                </c:pt>
                <c:pt idx="22">
                  <c:v>38231</c:v>
                </c:pt>
                <c:pt idx="23">
                  <c:v>38322</c:v>
                </c:pt>
                <c:pt idx="24">
                  <c:v>38412</c:v>
                </c:pt>
                <c:pt idx="25">
                  <c:v>38504</c:v>
                </c:pt>
                <c:pt idx="26">
                  <c:v>38596</c:v>
                </c:pt>
                <c:pt idx="27">
                  <c:v>38687</c:v>
                </c:pt>
                <c:pt idx="28">
                  <c:v>38777</c:v>
                </c:pt>
                <c:pt idx="29">
                  <c:v>38869</c:v>
                </c:pt>
                <c:pt idx="30">
                  <c:v>38961</c:v>
                </c:pt>
                <c:pt idx="31">
                  <c:v>39052</c:v>
                </c:pt>
                <c:pt idx="32">
                  <c:v>39142</c:v>
                </c:pt>
                <c:pt idx="33">
                  <c:v>39234</c:v>
                </c:pt>
                <c:pt idx="34">
                  <c:v>39326</c:v>
                </c:pt>
                <c:pt idx="35">
                  <c:v>39417</c:v>
                </c:pt>
                <c:pt idx="36">
                  <c:v>39508</c:v>
                </c:pt>
                <c:pt idx="37">
                  <c:v>39600</c:v>
                </c:pt>
                <c:pt idx="38">
                  <c:v>39692</c:v>
                </c:pt>
                <c:pt idx="39">
                  <c:v>39783</c:v>
                </c:pt>
                <c:pt idx="40">
                  <c:v>39873</c:v>
                </c:pt>
                <c:pt idx="41">
                  <c:v>39965</c:v>
                </c:pt>
                <c:pt idx="42">
                  <c:v>40057</c:v>
                </c:pt>
                <c:pt idx="43">
                  <c:v>40148</c:v>
                </c:pt>
                <c:pt idx="44">
                  <c:v>40238</c:v>
                </c:pt>
                <c:pt idx="45">
                  <c:v>40330</c:v>
                </c:pt>
                <c:pt idx="46">
                  <c:v>40422</c:v>
                </c:pt>
                <c:pt idx="47">
                  <c:v>40513</c:v>
                </c:pt>
                <c:pt idx="48">
                  <c:v>40603</c:v>
                </c:pt>
                <c:pt idx="49">
                  <c:v>40695</c:v>
                </c:pt>
                <c:pt idx="50">
                  <c:v>40787</c:v>
                </c:pt>
                <c:pt idx="51">
                  <c:v>40878</c:v>
                </c:pt>
                <c:pt idx="52">
                  <c:v>40969</c:v>
                </c:pt>
                <c:pt idx="53">
                  <c:v>41061</c:v>
                </c:pt>
                <c:pt idx="54">
                  <c:v>41153</c:v>
                </c:pt>
                <c:pt idx="55">
                  <c:v>41244</c:v>
                </c:pt>
                <c:pt idx="56">
                  <c:v>41334</c:v>
                </c:pt>
                <c:pt idx="57">
                  <c:v>41426</c:v>
                </c:pt>
                <c:pt idx="58">
                  <c:v>41518</c:v>
                </c:pt>
                <c:pt idx="59">
                  <c:v>41609</c:v>
                </c:pt>
                <c:pt idx="60">
                  <c:v>41699</c:v>
                </c:pt>
                <c:pt idx="61">
                  <c:v>41791</c:v>
                </c:pt>
                <c:pt idx="62">
                  <c:v>41883</c:v>
                </c:pt>
                <c:pt idx="63">
                  <c:v>41974</c:v>
                </c:pt>
                <c:pt idx="64">
                  <c:v>42064</c:v>
                </c:pt>
                <c:pt idx="65">
                  <c:v>42156</c:v>
                </c:pt>
                <c:pt idx="66">
                  <c:v>42248</c:v>
                </c:pt>
                <c:pt idx="67">
                  <c:v>42339</c:v>
                </c:pt>
                <c:pt idx="68">
                  <c:v>42430</c:v>
                </c:pt>
                <c:pt idx="69">
                  <c:v>42522</c:v>
                </c:pt>
                <c:pt idx="70">
                  <c:v>42614</c:v>
                </c:pt>
                <c:pt idx="71">
                  <c:v>42705</c:v>
                </c:pt>
                <c:pt idx="72">
                  <c:v>42795</c:v>
                </c:pt>
                <c:pt idx="73">
                  <c:v>42887</c:v>
                </c:pt>
                <c:pt idx="74">
                  <c:v>42979</c:v>
                </c:pt>
                <c:pt idx="75">
                  <c:v>43070</c:v>
                </c:pt>
                <c:pt idx="76">
                  <c:v>43160</c:v>
                </c:pt>
                <c:pt idx="77">
                  <c:v>43252</c:v>
                </c:pt>
                <c:pt idx="78">
                  <c:v>43344</c:v>
                </c:pt>
                <c:pt idx="79">
                  <c:v>43435</c:v>
                </c:pt>
                <c:pt idx="80">
                  <c:v>43525</c:v>
                </c:pt>
                <c:pt idx="81">
                  <c:v>43617</c:v>
                </c:pt>
                <c:pt idx="82">
                  <c:v>43709</c:v>
                </c:pt>
                <c:pt idx="83">
                  <c:v>43800</c:v>
                </c:pt>
                <c:pt idx="84">
                  <c:v>43891</c:v>
                </c:pt>
                <c:pt idx="85">
                  <c:v>43983</c:v>
                </c:pt>
                <c:pt idx="86">
                  <c:v>44075</c:v>
                </c:pt>
                <c:pt idx="87">
                  <c:v>44166</c:v>
                </c:pt>
                <c:pt idx="88">
                  <c:v>44256</c:v>
                </c:pt>
                <c:pt idx="89">
                  <c:v>44348</c:v>
                </c:pt>
                <c:pt idx="90">
                  <c:v>44440</c:v>
                </c:pt>
                <c:pt idx="91">
                  <c:v>44531</c:v>
                </c:pt>
                <c:pt idx="92">
                  <c:v>44621</c:v>
                </c:pt>
                <c:pt idx="93">
                  <c:v>44713</c:v>
                </c:pt>
                <c:pt idx="94">
                  <c:v>44805</c:v>
                </c:pt>
                <c:pt idx="95">
                  <c:v>44896</c:v>
                </c:pt>
                <c:pt idx="96">
                  <c:v>44986</c:v>
                </c:pt>
                <c:pt idx="97">
                  <c:v>45078</c:v>
                </c:pt>
                <c:pt idx="98">
                  <c:v>45170</c:v>
                </c:pt>
                <c:pt idx="99">
                  <c:v>45261</c:v>
                </c:pt>
                <c:pt idx="100">
                  <c:v>45352</c:v>
                </c:pt>
              </c:numCache>
            </c:numRef>
          </c:cat>
          <c:val>
            <c:numRef>
              <c:f>'Output R -CGAPS1'!$K$2:$K$108</c:f>
              <c:numCache>
                <c:formatCode>General</c:formatCode>
                <c:ptCount val="107"/>
                <c:pt idx="0">
                  <c:v>0</c:v>
                </c:pt>
                <c:pt idx="1">
                  <c:v>0.37733706037077902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0.396115127861983</c:v>
                </c:pt>
                <c:pt idx="45">
                  <c:v>8.4305562517212704E-2</c:v>
                </c:pt>
                <c:pt idx="46">
                  <c:v>0.41759565656763797</c:v>
                </c:pt>
                <c:pt idx="47">
                  <c:v>0.29577470915917597</c:v>
                </c:pt>
                <c:pt idx="48">
                  <c:v>0.60710720574131705</c:v>
                </c:pt>
                <c:pt idx="49">
                  <c:v>0.64011095883700997</c:v>
                </c:pt>
                <c:pt idx="50">
                  <c:v>0.63780173160548204</c:v>
                </c:pt>
                <c:pt idx="51">
                  <c:v>0.54750448197539303</c:v>
                </c:pt>
                <c:pt idx="52">
                  <c:v>1.2360419921216801</c:v>
                </c:pt>
                <c:pt idx="53">
                  <c:v>1.13446724542165</c:v>
                </c:pt>
                <c:pt idx="54">
                  <c:v>1.1093763837458599</c:v>
                </c:pt>
                <c:pt idx="55">
                  <c:v>0.98925936055505803</c:v>
                </c:pt>
                <c:pt idx="56">
                  <c:v>1.11215613118098</c:v>
                </c:pt>
                <c:pt idx="57">
                  <c:v>1.0194889256036399</c:v>
                </c:pt>
                <c:pt idx="58">
                  <c:v>0.90039742493837904</c:v>
                </c:pt>
                <c:pt idx="59">
                  <c:v>0.58978801599692599</c:v>
                </c:pt>
                <c:pt idx="60">
                  <c:v>0.94714163212458402</c:v>
                </c:pt>
                <c:pt idx="61">
                  <c:v>1.3239572480561701</c:v>
                </c:pt>
                <c:pt idx="62">
                  <c:v>1.4262448132843899</c:v>
                </c:pt>
                <c:pt idx="63">
                  <c:v>1.27958058947794</c:v>
                </c:pt>
                <c:pt idx="64">
                  <c:v>0.91488638817156298</c:v>
                </c:pt>
                <c:pt idx="65">
                  <c:v>0.46043006960499799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1.04487209649899E-2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3F-4A33-85F3-14886DBA5450}"/>
            </c:ext>
          </c:extLst>
        </c:ser>
        <c:ser>
          <c:idx val="3"/>
          <c:order val="3"/>
          <c:tx>
            <c:strRef>
              <c:f>'Output R -CGAPS1'!$L$1</c:f>
              <c:strCache>
                <c:ptCount val="1"/>
                <c:pt idx="0">
                  <c:v>c_hcsf_net_ccyb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'Output R -CGAPS1'!$A$2:$A$108</c:f>
              <c:numCache>
                <c:formatCode>mmm\-yy</c:formatCode>
                <c:ptCount val="107"/>
                <c:pt idx="0">
                  <c:v>36220</c:v>
                </c:pt>
                <c:pt idx="1">
                  <c:v>36312</c:v>
                </c:pt>
                <c:pt idx="2">
                  <c:v>36404</c:v>
                </c:pt>
                <c:pt idx="3">
                  <c:v>36495</c:v>
                </c:pt>
                <c:pt idx="4">
                  <c:v>36586</c:v>
                </c:pt>
                <c:pt idx="5">
                  <c:v>36678</c:v>
                </c:pt>
                <c:pt idx="6">
                  <c:v>36770</c:v>
                </c:pt>
                <c:pt idx="7">
                  <c:v>36861</c:v>
                </c:pt>
                <c:pt idx="8">
                  <c:v>36951</c:v>
                </c:pt>
                <c:pt idx="9">
                  <c:v>37043</c:v>
                </c:pt>
                <c:pt idx="10">
                  <c:v>37135</c:v>
                </c:pt>
                <c:pt idx="11">
                  <c:v>37226</c:v>
                </c:pt>
                <c:pt idx="12">
                  <c:v>37316</c:v>
                </c:pt>
                <c:pt idx="13">
                  <c:v>37408</c:v>
                </c:pt>
                <c:pt idx="14">
                  <c:v>37500</c:v>
                </c:pt>
                <c:pt idx="15">
                  <c:v>37591</c:v>
                </c:pt>
                <c:pt idx="16">
                  <c:v>37681</c:v>
                </c:pt>
                <c:pt idx="17">
                  <c:v>37773</c:v>
                </c:pt>
                <c:pt idx="18">
                  <c:v>37865</c:v>
                </c:pt>
                <c:pt idx="19">
                  <c:v>37956</c:v>
                </c:pt>
                <c:pt idx="20">
                  <c:v>38047</c:v>
                </c:pt>
                <c:pt idx="21">
                  <c:v>38139</c:v>
                </c:pt>
                <c:pt idx="22">
                  <c:v>38231</c:v>
                </c:pt>
                <c:pt idx="23">
                  <c:v>38322</c:v>
                </c:pt>
                <c:pt idx="24">
                  <c:v>38412</c:v>
                </c:pt>
                <c:pt idx="25">
                  <c:v>38504</c:v>
                </c:pt>
                <c:pt idx="26">
                  <c:v>38596</c:v>
                </c:pt>
                <c:pt idx="27">
                  <c:v>38687</c:v>
                </c:pt>
                <c:pt idx="28">
                  <c:v>38777</c:v>
                </c:pt>
                <c:pt idx="29">
                  <c:v>38869</c:v>
                </c:pt>
                <c:pt idx="30">
                  <c:v>38961</c:v>
                </c:pt>
                <c:pt idx="31">
                  <c:v>39052</c:v>
                </c:pt>
                <c:pt idx="32">
                  <c:v>39142</c:v>
                </c:pt>
                <c:pt idx="33">
                  <c:v>39234</c:v>
                </c:pt>
                <c:pt idx="34">
                  <c:v>39326</c:v>
                </c:pt>
                <c:pt idx="35">
                  <c:v>39417</c:v>
                </c:pt>
                <c:pt idx="36">
                  <c:v>39508</c:v>
                </c:pt>
                <c:pt idx="37">
                  <c:v>39600</c:v>
                </c:pt>
                <c:pt idx="38">
                  <c:v>39692</c:v>
                </c:pt>
                <c:pt idx="39">
                  <c:v>39783</c:v>
                </c:pt>
                <c:pt idx="40">
                  <c:v>39873</c:v>
                </c:pt>
                <c:pt idx="41">
                  <c:v>39965</c:v>
                </c:pt>
                <c:pt idx="42">
                  <c:v>40057</c:v>
                </c:pt>
                <c:pt idx="43">
                  <c:v>40148</c:v>
                </c:pt>
                <c:pt idx="44">
                  <c:v>40238</c:v>
                </c:pt>
                <c:pt idx="45">
                  <c:v>40330</c:v>
                </c:pt>
                <c:pt idx="46">
                  <c:v>40422</c:v>
                </c:pt>
                <c:pt idx="47">
                  <c:v>40513</c:v>
                </c:pt>
                <c:pt idx="48">
                  <c:v>40603</c:v>
                </c:pt>
                <c:pt idx="49">
                  <c:v>40695</c:v>
                </c:pt>
                <c:pt idx="50">
                  <c:v>40787</c:v>
                </c:pt>
                <c:pt idx="51">
                  <c:v>40878</c:v>
                </c:pt>
                <c:pt idx="52">
                  <c:v>40969</c:v>
                </c:pt>
                <c:pt idx="53">
                  <c:v>41061</c:v>
                </c:pt>
                <c:pt idx="54">
                  <c:v>41153</c:v>
                </c:pt>
                <c:pt idx="55">
                  <c:v>41244</c:v>
                </c:pt>
                <c:pt idx="56">
                  <c:v>41334</c:v>
                </c:pt>
                <c:pt idx="57">
                  <c:v>41426</c:v>
                </c:pt>
                <c:pt idx="58">
                  <c:v>41518</c:v>
                </c:pt>
                <c:pt idx="59">
                  <c:v>41609</c:v>
                </c:pt>
                <c:pt idx="60">
                  <c:v>41699</c:v>
                </c:pt>
                <c:pt idx="61">
                  <c:v>41791</c:v>
                </c:pt>
                <c:pt idx="62">
                  <c:v>41883</c:v>
                </c:pt>
                <c:pt idx="63">
                  <c:v>41974</c:v>
                </c:pt>
                <c:pt idx="64">
                  <c:v>42064</c:v>
                </c:pt>
                <c:pt idx="65">
                  <c:v>42156</c:v>
                </c:pt>
                <c:pt idx="66">
                  <c:v>42248</c:v>
                </c:pt>
                <c:pt idx="67">
                  <c:v>42339</c:v>
                </c:pt>
                <c:pt idx="68">
                  <c:v>42430</c:v>
                </c:pt>
                <c:pt idx="69">
                  <c:v>42522</c:v>
                </c:pt>
                <c:pt idx="70">
                  <c:v>42614</c:v>
                </c:pt>
                <c:pt idx="71">
                  <c:v>42705</c:v>
                </c:pt>
                <c:pt idx="72">
                  <c:v>42795</c:v>
                </c:pt>
                <c:pt idx="73">
                  <c:v>42887</c:v>
                </c:pt>
                <c:pt idx="74">
                  <c:v>42979</c:v>
                </c:pt>
                <c:pt idx="75">
                  <c:v>43070</c:v>
                </c:pt>
                <c:pt idx="76">
                  <c:v>43160</c:v>
                </c:pt>
                <c:pt idx="77">
                  <c:v>43252</c:v>
                </c:pt>
                <c:pt idx="78">
                  <c:v>43344</c:v>
                </c:pt>
                <c:pt idx="79">
                  <c:v>43435</c:v>
                </c:pt>
                <c:pt idx="80">
                  <c:v>43525</c:v>
                </c:pt>
                <c:pt idx="81">
                  <c:v>43617</c:v>
                </c:pt>
                <c:pt idx="82">
                  <c:v>43709</c:v>
                </c:pt>
                <c:pt idx="83">
                  <c:v>43800</c:v>
                </c:pt>
                <c:pt idx="84">
                  <c:v>43891</c:v>
                </c:pt>
                <c:pt idx="85">
                  <c:v>43983</c:v>
                </c:pt>
                <c:pt idx="86">
                  <c:v>44075</c:v>
                </c:pt>
                <c:pt idx="87">
                  <c:v>44166</c:v>
                </c:pt>
                <c:pt idx="88">
                  <c:v>44256</c:v>
                </c:pt>
                <c:pt idx="89">
                  <c:v>44348</c:v>
                </c:pt>
                <c:pt idx="90">
                  <c:v>44440</c:v>
                </c:pt>
                <c:pt idx="91">
                  <c:v>44531</c:v>
                </c:pt>
                <c:pt idx="92">
                  <c:v>44621</c:v>
                </c:pt>
                <c:pt idx="93">
                  <c:v>44713</c:v>
                </c:pt>
                <c:pt idx="94">
                  <c:v>44805</c:v>
                </c:pt>
                <c:pt idx="95">
                  <c:v>44896</c:v>
                </c:pt>
                <c:pt idx="96">
                  <c:v>44986</c:v>
                </c:pt>
                <c:pt idx="97">
                  <c:v>45078</c:v>
                </c:pt>
                <c:pt idx="98">
                  <c:v>45170</c:v>
                </c:pt>
                <c:pt idx="99">
                  <c:v>45261</c:v>
                </c:pt>
                <c:pt idx="100">
                  <c:v>45352</c:v>
                </c:pt>
              </c:numCache>
            </c:numRef>
          </c:cat>
          <c:val>
            <c:numRef>
              <c:f>'Output R -CGAPS1'!$L$2:$L$108</c:f>
              <c:numCache>
                <c:formatCode>General</c:formatCode>
                <c:ptCount val="107"/>
                <c:pt idx="0">
                  <c:v>0</c:v>
                </c:pt>
                <c:pt idx="1">
                  <c:v>4.06108711631867E-2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0.146725543031858</c:v>
                </c:pt>
                <c:pt idx="45">
                  <c:v>0</c:v>
                </c:pt>
                <c:pt idx="46">
                  <c:v>0.137191014833041</c:v>
                </c:pt>
                <c:pt idx="47">
                  <c:v>2.2241493891227E-2</c:v>
                </c:pt>
                <c:pt idx="48">
                  <c:v>0.221890497815246</c:v>
                </c:pt>
                <c:pt idx="49">
                  <c:v>0.262582784617577</c:v>
                </c:pt>
                <c:pt idx="50">
                  <c:v>0.27654007367408401</c:v>
                </c:pt>
                <c:pt idx="51">
                  <c:v>0.21863945219792599</c:v>
                </c:pt>
                <c:pt idx="52">
                  <c:v>0.73881033635990501</c:v>
                </c:pt>
                <c:pt idx="53">
                  <c:v>0.64855122072687199</c:v>
                </c:pt>
                <c:pt idx="54">
                  <c:v>0.62855685895143198</c:v>
                </c:pt>
                <c:pt idx="55">
                  <c:v>0.54141986495078798</c:v>
                </c:pt>
                <c:pt idx="56">
                  <c:v>0.62449218203771395</c:v>
                </c:pt>
                <c:pt idx="57">
                  <c:v>0.51574428698504005</c:v>
                </c:pt>
                <c:pt idx="58">
                  <c:v>0.42082886033089201</c:v>
                </c:pt>
                <c:pt idx="59">
                  <c:v>0.17395063752266299</c:v>
                </c:pt>
                <c:pt idx="60">
                  <c:v>0.432883919310659</c:v>
                </c:pt>
                <c:pt idx="61">
                  <c:v>0.77359676877860895</c:v>
                </c:pt>
                <c:pt idx="62">
                  <c:v>0.83472214426302604</c:v>
                </c:pt>
                <c:pt idx="63">
                  <c:v>0.72230556848184702</c:v>
                </c:pt>
                <c:pt idx="64">
                  <c:v>0.49956045833445101</c:v>
                </c:pt>
                <c:pt idx="65">
                  <c:v>0.13452099643691801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3F-4A33-85F3-14886DBA5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028384"/>
        <c:axId val="358028800"/>
      </c:lineChart>
      <c:dateAx>
        <c:axId val="35802838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8028800"/>
        <c:crosses val="autoZero"/>
        <c:auto val="1"/>
        <c:lblOffset val="100"/>
        <c:baseTimeUnit val="months"/>
      </c:dateAx>
      <c:valAx>
        <c:axId val="35802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802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>
          <a:solidFill>
            <a:sysClr val="windowText" lastClr="000000"/>
          </a:solidFill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Credit-to-GDP gaps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'Output R'!$B$1</c:f>
              <c:strCache>
                <c:ptCount val="1"/>
                <c:pt idx="0">
                  <c:v>BRI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'Output R'!$A$2:$A$190</c:f>
              <c:numCache>
                <c:formatCode>mmm\-yy</c:formatCode>
                <c:ptCount val="18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</c:numCache>
            </c:numRef>
          </c:cat>
          <c:val>
            <c:numRef>
              <c:f>'Output R'!$B$2:$B$190</c:f>
              <c:numCache>
                <c:formatCode>General</c:formatCode>
                <c:ptCount val="189"/>
                <c:pt idx="0">
                  <c:v>4.8084267290613303</c:v>
                </c:pt>
                <c:pt idx="1">
                  <c:v>6.6742208427646297</c:v>
                </c:pt>
                <c:pt idx="2">
                  <c:v>4.3513981317721502</c:v>
                </c:pt>
                <c:pt idx="3">
                  <c:v>1.0892817250779701</c:v>
                </c:pt>
                <c:pt idx="4">
                  <c:v>1.64257395826653</c:v>
                </c:pt>
                <c:pt idx="5">
                  <c:v>-0.73096699438306001</c:v>
                </c:pt>
                <c:pt idx="6">
                  <c:v>-1.0833669923840601</c:v>
                </c:pt>
                <c:pt idx="7">
                  <c:v>-2.7294627202105999</c:v>
                </c:pt>
                <c:pt idx="8">
                  <c:v>-0.82436522827384695</c:v>
                </c:pt>
                <c:pt idx="9">
                  <c:v>-3.4766956868921399</c:v>
                </c:pt>
                <c:pt idx="10">
                  <c:v>-1.83144065986187</c:v>
                </c:pt>
                <c:pt idx="11">
                  <c:v>-2.38134062997795</c:v>
                </c:pt>
                <c:pt idx="12">
                  <c:v>-0.66305511135719697</c:v>
                </c:pt>
                <c:pt idx="13">
                  <c:v>-1.23297912525248</c:v>
                </c:pt>
                <c:pt idx="14">
                  <c:v>-1.9375558860466899</c:v>
                </c:pt>
                <c:pt idx="15">
                  <c:v>-2.3211378250127601</c:v>
                </c:pt>
                <c:pt idx="16">
                  <c:v>-1.31557991812346</c:v>
                </c:pt>
                <c:pt idx="17">
                  <c:v>-3.0071765016809899</c:v>
                </c:pt>
                <c:pt idx="18">
                  <c:v>-3.0915440042617401</c:v>
                </c:pt>
                <c:pt idx="19">
                  <c:v>-3.5368063703569801</c:v>
                </c:pt>
                <c:pt idx="20">
                  <c:v>-0.34540824402592202</c:v>
                </c:pt>
                <c:pt idx="21">
                  <c:v>-0.838433069304798</c:v>
                </c:pt>
                <c:pt idx="22">
                  <c:v>-0.17665852868479001</c:v>
                </c:pt>
                <c:pt idx="23">
                  <c:v>-1.0675364818481199</c:v>
                </c:pt>
                <c:pt idx="24">
                  <c:v>1.7179425800443899</c:v>
                </c:pt>
                <c:pt idx="25">
                  <c:v>0.31296038688699901</c:v>
                </c:pt>
                <c:pt idx="26">
                  <c:v>1.3096726342235401</c:v>
                </c:pt>
                <c:pt idx="27">
                  <c:v>1.4227512776064</c:v>
                </c:pt>
                <c:pt idx="28">
                  <c:v>2.8486748503447501</c:v>
                </c:pt>
                <c:pt idx="29">
                  <c:v>0.57841266541923397</c:v>
                </c:pt>
                <c:pt idx="30">
                  <c:v>0.70679154858628801</c:v>
                </c:pt>
                <c:pt idx="31">
                  <c:v>0.24088702265946901</c:v>
                </c:pt>
                <c:pt idx="32">
                  <c:v>2.2407717233506999</c:v>
                </c:pt>
                <c:pt idx="33">
                  <c:v>0.76371967564424703</c:v>
                </c:pt>
                <c:pt idx="34">
                  <c:v>0.33785854495892698</c:v>
                </c:pt>
                <c:pt idx="35">
                  <c:v>-1.1874267835654799</c:v>
                </c:pt>
                <c:pt idx="36">
                  <c:v>-1.25398639343045</c:v>
                </c:pt>
                <c:pt idx="37">
                  <c:v>0.96073683728002401</c:v>
                </c:pt>
                <c:pt idx="38">
                  <c:v>1.63262851131811</c:v>
                </c:pt>
                <c:pt idx="39">
                  <c:v>1.3932135096696601</c:v>
                </c:pt>
                <c:pt idx="40">
                  <c:v>2.0998413903843201</c:v>
                </c:pt>
                <c:pt idx="41">
                  <c:v>2.3183836466187802</c:v>
                </c:pt>
                <c:pt idx="42">
                  <c:v>2.79503958126601</c:v>
                </c:pt>
                <c:pt idx="43">
                  <c:v>3.1645898718466801</c:v>
                </c:pt>
                <c:pt idx="44">
                  <c:v>5.8351424145245501</c:v>
                </c:pt>
                <c:pt idx="45">
                  <c:v>4.3591157154032301</c:v>
                </c:pt>
                <c:pt idx="46">
                  <c:v>6.2231935770599804</c:v>
                </c:pt>
                <c:pt idx="47">
                  <c:v>5.7626222278322796</c:v>
                </c:pt>
                <c:pt idx="48">
                  <c:v>7.9087162419654797</c:v>
                </c:pt>
                <c:pt idx="49">
                  <c:v>7.93517146070901</c:v>
                </c:pt>
                <c:pt idx="50">
                  <c:v>7.7603110890760298</c:v>
                </c:pt>
                <c:pt idx="51">
                  <c:v>7.1378225439980998</c:v>
                </c:pt>
                <c:pt idx="52">
                  <c:v>11.0745500583505</c:v>
                </c:pt>
                <c:pt idx="53">
                  <c:v>10.633011536343</c:v>
                </c:pt>
                <c:pt idx="54">
                  <c:v>10.500250100738601</c:v>
                </c:pt>
                <c:pt idx="55">
                  <c:v>9.7763319134152997</c:v>
                </c:pt>
                <c:pt idx="56">
                  <c:v>10.5796116115304</c:v>
                </c:pt>
                <c:pt idx="57">
                  <c:v>10.448634230493401</c:v>
                </c:pt>
                <c:pt idx="58">
                  <c:v>9.8186382545411792</c:v>
                </c:pt>
                <c:pt idx="59">
                  <c:v>8.1685479267678307</c:v>
                </c:pt>
                <c:pt idx="60">
                  <c:v>10.325359552642</c:v>
                </c:pt>
                <c:pt idx="61">
                  <c:v>11.902863172165</c:v>
                </c:pt>
                <c:pt idx="62">
                  <c:v>12.6539659877836</c:v>
                </c:pt>
                <c:pt idx="63">
                  <c:v>11.8320460724643</c:v>
                </c:pt>
                <c:pt idx="64">
                  <c:v>9.2035971320497403</c:v>
                </c:pt>
                <c:pt idx="65">
                  <c:v>6.8287515682994604</c:v>
                </c:pt>
                <c:pt idx="66">
                  <c:v>3.7400155157844601</c:v>
                </c:pt>
                <c:pt idx="67">
                  <c:v>0.88700610694408699</c:v>
                </c:pt>
                <c:pt idx="68">
                  <c:v>0.97269087707970903</c:v>
                </c:pt>
                <c:pt idx="69">
                  <c:v>-1.4067552323239301</c:v>
                </c:pt>
                <c:pt idx="70">
                  <c:v>-0.97065346292959598</c:v>
                </c:pt>
                <c:pt idx="71">
                  <c:v>-2.1496764396319001</c:v>
                </c:pt>
                <c:pt idx="72">
                  <c:v>-2.8872852887008902</c:v>
                </c:pt>
                <c:pt idx="73">
                  <c:v>-4.0579027510033603</c:v>
                </c:pt>
                <c:pt idx="74">
                  <c:v>-4.5629680847280296</c:v>
                </c:pt>
                <c:pt idx="75">
                  <c:v>-5.7696546210478203</c:v>
                </c:pt>
                <c:pt idx="76">
                  <c:v>-5.1467839995865301</c:v>
                </c:pt>
                <c:pt idx="77">
                  <c:v>-4.7646081026009499</c:v>
                </c:pt>
                <c:pt idx="78">
                  <c:v>-4.8550184830347298</c:v>
                </c:pt>
                <c:pt idx="79">
                  <c:v>-5.7766372109263404</c:v>
                </c:pt>
                <c:pt idx="80">
                  <c:v>-6.2212208676390004</c:v>
                </c:pt>
                <c:pt idx="81">
                  <c:v>-6.5383793929629297</c:v>
                </c:pt>
                <c:pt idx="82">
                  <c:v>-7.00382885048323</c:v>
                </c:pt>
                <c:pt idx="83">
                  <c:v>-7.6014027573562801</c:v>
                </c:pt>
                <c:pt idx="84">
                  <c:v>-8.2340193346855095</c:v>
                </c:pt>
                <c:pt idx="85">
                  <c:v>-8.3649477447925307</c:v>
                </c:pt>
                <c:pt idx="86">
                  <c:v>-5.6112354862843903</c:v>
                </c:pt>
                <c:pt idx="87">
                  <c:v>-4.70593258549592</c:v>
                </c:pt>
                <c:pt idx="88">
                  <c:v>-2.33545471608682</c:v>
                </c:pt>
                <c:pt idx="89">
                  <c:v>-2.63636803141357</c:v>
                </c:pt>
                <c:pt idx="90">
                  <c:v>-1.5228574217248201</c:v>
                </c:pt>
                <c:pt idx="91">
                  <c:v>3.7299413408506503E-2</c:v>
                </c:pt>
                <c:pt idx="92">
                  <c:v>0.38168502050241399</c:v>
                </c:pt>
                <c:pt idx="93">
                  <c:v>1.43675928548106</c:v>
                </c:pt>
                <c:pt idx="94">
                  <c:v>2.82972980714599</c:v>
                </c:pt>
                <c:pt idx="95">
                  <c:v>3.0295584868183401</c:v>
                </c:pt>
                <c:pt idx="96">
                  <c:v>3.3010718662501199</c:v>
                </c:pt>
                <c:pt idx="97">
                  <c:v>3.2143931932788998</c:v>
                </c:pt>
                <c:pt idx="98">
                  <c:v>2.4072032987444398</c:v>
                </c:pt>
                <c:pt idx="99">
                  <c:v>1.4110981172410599</c:v>
                </c:pt>
                <c:pt idx="100">
                  <c:v>1.1936416262164899</c:v>
                </c:pt>
                <c:pt idx="101">
                  <c:v>1.4574080170521</c:v>
                </c:pt>
                <c:pt idx="102">
                  <c:v>1.23955158373686</c:v>
                </c:pt>
                <c:pt idx="103">
                  <c:v>0.203270193801358</c:v>
                </c:pt>
                <c:pt idx="104">
                  <c:v>-1.54427689201538</c:v>
                </c:pt>
                <c:pt idx="105">
                  <c:v>-1.64041310448369</c:v>
                </c:pt>
                <c:pt idx="106">
                  <c:v>-0.52024204383734896</c:v>
                </c:pt>
                <c:pt idx="107">
                  <c:v>-0.26111402622201302</c:v>
                </c:pt>
                <c:pt idx="108">
                  <c:v>-0.40860511492739299</c:v>
                </c:pt>
                <c:pt idx="109">
                  <c:v>-0.82928017806529697</c:v>
                </c:pt>
                <c:pt idx="110">
                  <c:v>0.80489337663571803</c:v>
                </c:pt>
                <c:pt idx="111">
                  <c:v>0.47760625452601302</c:v>
                </c:pt>
                <c:pt idx="112">
                  <c:v>1.262269321917</c:v>
                </c:pt>
                <c:pt idx="113">
                  <c:v>1.4066191085572699</c:v>
                </c:pt>
                <c:pt idx="114">
                  <c:v>2.43136975249777</c:v>
                </c:pt>
                <c:pt idx="115">
                  <c:v>2.33120539821094</c:v>
                </c:pt>
                <c:pt idx="116">
                  <c:v>2.8835677521829601</c:v>
                </c:pt>
                <c:pt idx="117">
                  <c:v>2.8927662840638502</c:v>
                </c:pt>
                <c:pt idx="118">
                  <c:v>4.4310282996320201</c:v>
                </c:pt>
                <c:pt idx="119">
                  <c:v>4.6181527494487096</c:v>
                </c:pt>
                <c:pt idx="120">
                  <c:v>3.9352935604394799</c:v>
                </c:pt>
                <c:pt idx="121">
                  <c:v>3.9201645401163798</c:v>
                </c:pt>
                <c:pt idx="122">
                  <c:v>5.9308470503599899</c:v>
                </c:pt>
                <c:pt idx="123">
                  <c:v>7.3560569341283797</c:v>
                </c:pt>
                <c:pt idx="124">
                  <c:v>7.4127942146924202</c:v>
                </c:pt>
                <c:pt idx="125">
                  <c:v>8.7914905629588098</c:v>
                </c:pt>
                <c:pt idx="126">
                  <c:v>9.7187600093448907</c:v>
                </c:pt>
                <c:pt idx="127">
                  <c:v>10.090130515810101</c:v>
                </c:pt>
                <c:pt idx="128">
                  <c:v>10.018028710128601</c:v>
                </c:pt>
                <c:pt idx="129">
                  <c:v>8.5375187172793296</c:v>
                </c:pt>
                <c:pt idx="130">
                  <c:v>6.90687967917812</c:v>
                </c:pt>
                <c:pt idx="131">
                  <c:v>5.5661220925203301</c:v>
                </c:pt>
                <c:pt idx="132">
                  <c:v>6.0853992951478997</c:v>
                </c:pt>
                <c:pt idx="133">
                  <c:v>5.5054468360387396</c:v>
                </c:pt>
                <c:pt idx="134">
                  <c:v>7.0825747827165699</c:v>
                </c:pt>
                <c:pt idx="135">
                  <c:v>8.2089529860384705</c:v>
                </c:pt>
                <c:pt idx="136">
                  <c:v>8.2213610062887597</c:v>
                </c:pt>
                <c:pt idx="137">
                  <c:v>8.9854491405390799</c:v>
                </c:pt>
                <c:pt idx="138">
                  <c:v>9.7295993433916799</c:v>
                </c:pt>
                <c:pt idx="139">
                  <c:v>8.5492188017152309</c:v>
                </c:pt>
                <c:pt idx="140">
                  <c:v>7.7750856618123398</c:v>
                </c:pt>
                <c:pt idx="141">
                  <c:v>6.4245317740800001</c:v>
                </c:pt>
                <c:pt idx="142">
                  <c:v>3.7227901156467902</c:v>
                </c:pt>
                <c:pt idx="143">
                  <c:v>2.9965244377626701</c:v>
                </c:pt>
                <c:pt idx="144">
                  <c:v>1.4214136437973699</c:v>
                </c:pt>
                <c:pt idx="145">
                  <c:v>2.2815481419280101</c:v>
                </c:pt>
                <c:pt idx="146">
                  <c:v>3.5164846611032501</c:v>
                </c:pt>
                <c:pt idx="147">
                  <c:v>3.8079576922981802</c:v>
                </c:pt>
                <c:pt idx="148">
                  <c:v>3.8843784834797601</c:v>
                </c:pt>
                <c:pt idx="149">
                  <c:v>5.2584891901672099</c:v>
                </c:pt>
                <c:pt idx="150">
                  <c:v>4.5014263179461302</c:v>
                </c:pt>
                <c:pt idx="151">
                  <c:v>4.0885886269811103</c:v>
                </c:pt>
                <c:pt idx="152">
                  <c:v>4.8372611346165399</c:v>
                </c:pt>
                <c:pt idx="153">
                  <c:v>2.7734184378164901</c:v>
                </c:pt>
                <c:pt idx="154">
                  <c:v>4.0756413323864198</c:v>
                </c:pt>
                <c:pt idx="155">
                  <c:v>4.1894246832062496</c:v>
                </c:pt>
                <c:pt idx="156">
                  <c:v>4.7664729301912301</c:v>
                </c:pt>
                <c:pt idx="157">
                  <c:v>5.71851697863654</c:v>
                </c:pt>
                <c:pt idx="158">
                  <c:v>4.8641795006686097</c:v>
                </c:pt>
                <c:pt idx="159">
                  <c:v>3.49728515322695</c:v>
                </c:pt>
                <c:pt idx="160">
                  <c:v>2.6901278041856802</c:v>
                </c:pt>
                <c:pt idx="161">
                  <c:v>2.7412483390456299</c:v>
                </c:pt>
                <c:pt idx="162">
                  <c:v>3.64808374358724</c:v>
                </c:pt>
                <c:pt idx="163">
                  <c:v>3.4814392789487099</c:v>
                </c:pt>
                <c:pt idx="164">
                  <c:v>3.01842872455342</c:v>
                </c:pt>
                <c:pt idx="165">
                  <c:v>3.5741496460916</c:v>
                </c:pt>
                <c:pt idx="166">
                  <c:v>4.1969285259014804</c:v>
                </c:pt>
                <c:pt idx="167">
                  <c:v>5.0357793329168796</c:v>
                </c:pt>
                <c:pt idx="168">
                  <c:v>4.0891321518783403</c:v>
                </c:pt>
                <c:pt idx="169">
                  <c:v>6.8568938459263302</c:v>
                </c:pt>
                <c:pt idx="170">
                  <c:v>19.7743180686439</c:v>
                </c:pt>
                <c:pt idx="171">
                  <c:v>22.016196924400099</c:v>
                </c:pt>
                <c:pt idx="172">
                  <c:v>23.642913465728501</c:v>
                </c:pt>
                <c:pt idx="173">
                  <c:v>20.048947382805402</c:v>
                </c:pt>
                <c:pt idx="174">
                  <c:v>11.4337335748735</c:v>
                </c:pt>
                <c:pt idx="175">
                  <c:v>7.6981613325214404</c:v>
                </c:pt>
                <c:pt idx="176">
                  <c:v>4.8853732476355001</c:v>
                </c:pt>
                <c:pt idx="177">
                  <c:v>2.01650732235756</c:v>
                </c:pt>
                <c:pt idx="178">
                  <c:v>0.15095650738458399</c:v>
                </c:pt>
                <c:pt idx="179">
                  <c:v>-0.205284644119404</c:v>
                </c:pt>
                <c:pt idx="180">
                  <c:v>-1.97211564231127</c:v>
                </c:pt>
                <c:pt idx="181">
                  <c:v>-5.4063134397471302</c:v>
                </c:pt>
                <c:pt idx="182">
                  <c:v>-8.5399556836875803</c:v>
                </c:pt>
                <c:pt idx="183">
                  <c:v>-11.0415008533448</c:v>
                </c:pt>
                <c:pt idx="184">
                  <c:v>-12.586537549847099</c:v>
                </c:pt>
                <c:pt idx="185">
                  <c:v>-15.822903312489601</c:v>
                </c:pt>
                <c:pt idx="186">
                  <c:v>-15.7566786030541</c:v>
                </c:pt>
                <c:pt idx="187">
                  <c:v>-16.431503713949201</c:v>
                </c:pt>
                <c:pt idx="188">
                  <c:v>-16.348849521265699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78-4224-8F25-39858D6FB807}"/>
            </c:ext>
          </c:extLst>
        </c:ser>
        <c:ser>
          <c:idx val="1"/>
          <c:order val="1"/>
          <c:tx>
            <c:strRef>
              <c:f>'Output R'!$C$1</c:f>
              <c:strCache>
                <c:ptCount val="1"/>
                <c:pt idx="0">
                  <c:v>Bancaire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'Output R'!$A$2:$A$190</c:f>
              <c:numCache>
                <c:formatCode>mmm\-yy</c:formatCode>
                <c:ptCount val="18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</c:numCache>
            </c:numRef>
          </c:cat>
          <c:val>
            <c:numRef>
              <c:f>'Output R'!$C$2:$C$190</c:f>
              <c:numCache>
                <c:formatCode>General</c:formatCode>
                <c:ptCount val="189"/>
                <c:pt idx="0">
                  <c:v>1.1542506502801499</c:v>
                </c:pt>
                <c:pt idx="1">
                  <c:v>1.88357076221942</c:v>
                </c:pt>
                <c:pt idx="2">
                  <c:v>0.97200970234620299</c:v>
                </c:pt>
                <c:pt idx="3">
                  <c:v>-0.246746352973959</c:v>
                </c:pt>
                <c:pt idx="4">
                  <c:v>5.20076015203682E-2</c:v>
                </c:pt>
                <c:pt idx="5">
                  <c:v>-0.69018418108569102</c:v>
                </c:pt>
                <c:pt idx="6">
                  <c:v>-0.33195754214715401</c:v>
                </c:pt>
                <c:pt idx="7">
                  <c:v>-0.57696555482747103</c:v>
                </c:pt>
                <c:pt idx="8">
                  <c:v>0.12889632296313699</c:v>
                </c:pt>
                <c:pt idx="9">
                  <c:v>-0.625701241736484</c:v>
                </c:pt>
                <c:pt idx="10">
                  <c:v>-8.5104581560820694E-2</c:v>
                </c:pt>
                <c:pt idx="11">
                  <c:v>-0.35958710716318798</c:v>
                </c:pt>
                <c:pt idx="12">
                  <c:v>0.37221258942459901</c:v>
                </c:pt>
                <c:pt idx="13">
                  <c:v>0.170220746846175</c:v>
                </c:pt>
                <c:pt idx="14">
                  <c:v>-0.250556546351486</c:v>
                </c:pt>
                <c:pt idx="15">
                  <c:v>-0.54398710981746401</c:v>
                </c:pt>
                <c:pt idx="16">
                  <c:v>-0.42344067930665602</c:v>
                </c:pt>
                <c:pt idx="17">
                  <c:v>-1.1803575190672599</c:v>
                </c:pt>
                <c:pt idx="18">
                  <c:v>-1.25502801863007</c:v>
                </c:pt>
                <c:pt idx="19">
                  <c:v>-1.36743450684696</c:v>
                </c:pt>
                <c:pt idx="20">
                  <c:v>-6.7754401012680293E-2</c:v>
                </c:pt>
                <c:pt idx="21">
                  <c:v>-0.124465645812616</c:v>
                </c:pt>
                <c:pt idx="22">
                  <c:v>7.4092119583578198E-2</c:v>
                </c:pt>
                <c:pt idx="23">
                  <c:v>-0.22933388281427899</c:v>
                </c:pt>
                <c:pt idx="24">
                  <c:v>0.37525334265829802</c:v>
                </c:pt>
                <c:pt idx="25">
                  <c:v>-0.137659311451483</c:v>
                </c:pt>
                <c:pt idx="26">
                  <c:v>0.32007648166020303</c:v>
                </c:pt>
                <c:pt idx="27">
                  <c:v>0.339818012828914</c:v>
                </c:pt>
                <c:pt idx="28">
                  <c:v>0.97672721888591796</c:v>
                </c:pt>
                <c:pt idx="29">
                  <c:v>0.46694731142080498</c:v>
                </c:pt>
                <c:pt idx="30">
                  <c:v>0.430062261733752</c:v>
                </c:pt>
                <c:pt idx="31">
                  <c:v>0.20659616549234799</c:v>
                </c:pt>
                <c:pt idx="32">
                  <c:v>0.91352710279024196</c:v>
                </c:pt>
                <c:pt idx="33">
                  <c:v>2.4016093114453099E-2</c:v>
                </c:pt>
                <c:pt idx="34">
                  <c:v>-3.55861039259436E-2</c:v>
                </c:pt>
                <c:pt idx="35">
                  <c:v>-0.61758450190981096</c:v>
                </c:pt>
                <c:pt idx="36">
                  <c:v>-0.83571427123340003</c:v>
                </c:pt>
                <c:pt idx="37">
                  <c:v>9.1356823103072193E-2</c:v>
                </c:pt>
                <c:pt idx="38">
                  <c:v>0.45188613968147401</c:v>
                </c:pt>
                <c:pt idx="39">
                  <c:v>0.58162161112176003</c:v>
                </c:pt>
                <c:pt idx="40">
                  <c:v>1.15519415966132</c:v>
                </c:pt>
                <c:pt idx="41">
                  <c:v>1.1474476959073701</c:v>
                </c:pt>
                <c:pt idx="42">
                  <c:v>1.3521619394609901</c:v>
                </c:pt>
                <c:pt idx="43">
                  <c:v>1.30368696918859</c:v>
                </c:pt>
                <c:pt idx="44">
                  <c:v>2.2870422876374099</c:v>
                </c:pt>
                <c:pt idx="45">
                  <c:v>1.4718843806633699</c:v>
                </c:pt>
                <c:pt idx="46">
                  <c:v>2.2338379446025498</c:v>
                </c:pt>
                <c:pt idx="47">
                  <c:v>1.8710273303903999</c:v>
                </c:pt>
                <c:pt idx="48">
                  <c:v>2.42818484285932</c:v>
                </c:pt>
                <c:pt idx="49">
                  <c:v>2.5640258943700198</c:v>
                </c:pt>
                <c:pt idx="50">
                  <c:v>2.62059150046947</c:v>
                </c:pt>
                <c:pt idx="51">
                  <c:v>2.4590142662707</c:v>
                </c:pt>
                <c:pt idx="52">
                  <c:v>4.0003664989110304</c:v>
                </c:pt>
                <c:pt idx="53">
                  <c:v>3.71981702563227</c:v>
                </c:pt>
                <c:pt idx="54">
                  <c:v>3.6595641992203398</c:v>
                </c:pt>
                <c:pt idx="55">
                  <c:v>3.4048574500332398</c:v>
                </c:pt>
                <c:pt idx="56">
                  <c:v>3.6415491378624698</c:v>
                </c:pt>
                <c:pt idx="57">
                  <c:v>3.2817895628669702</c:v>
                </c:pt>
                <c:pt idx="58">
                  <c:v>2.9957499366751299</c:v>
                </c:pt>
                <c:pt idx="59">
                  <c:v>2.2523720113463201</c:v>
                </c:pt>
                <c:pt idx="60">
                  <c:v>3.0089439239354099</c:v>
                </c:pt>
                <c:pt idx="61">
                  <c:v>4.0728084900958397</c:v>
                </c:pt>
                <c:pt idx="62">
                  <c:v>4.2382911373646701</c:v>
                </c:pt>
                <c:pt idx="63">
                  <c:v>3.90361724872615</c:v>
                </c:pt>
                <c:pt idx="64">
                  <c:v>3.2946976671489501</c:v>
                </c:pt>
                <c:pt idx="65">
                  <c:v>2.1919980942160402</c:v>
                </c:pt>
                <c:pt idx="66">
                  <c:v>0.984679489036419</c:v>
                </c:pt>
                <c:pt idx="67">
                  <c:v>-0.33514934547305097</c:v>
                </c:pt>
                <c:pt idx="68">
                  <c:v>-0.54810749078401499</c:v>
                </c:pt>
                <c:pt idx="69">
                  <c:v>-1.6357996095093601</c:v>
                </c:pt>
                <c:pt idx="70">
                  <c:v>-1.5879752256113699</c:v>
                </c:pt>
                <c:pt idx="71">
                  <c:v>-2.2206523685642701</c:v>
                </c:pt>
                <c:pt idx="72">
                  <c:v>-2.5476387056646601</c:v>
                </c:pt>
                <c:pt idx="73">
                  <c:v>-3.06252353580029</c:v>
                </c:pt>
                <c:pt idx="74">
                  <c:v>-3.3879203101880702</c:v>
                </c:pt>
                <c:pt idx="75">
                  <c:v>-3.6511060837234401</c:v>
                </c:pt>
                <c:pt idx="76">
                  <c:v>-3.3577259522630301</c:v>
                </c:pt>
                <c:pt idx="77">
                  <c:v>-3.38006461001414</c:v>
                </c:pt>
                <c:pt idx="78">
                  <c:v>-3.3290849862713299</c:v>
                </c:pt>
                <c:pt idx="79">
                  <c:v>-3.68264806805694</c:v>
                </c:pt>
                <c:pt idx="80">
                  <c:v>-3.7322313035855599</c:v>
                </c:pt>
                <c:pt idx="81">
                  <c:v>-4.36836254782484</c:v>
                </c:pt>
                <c:pt idx="82">
                  <c:v>-4.3901105494201103</c:v>
                </c:pt>
                <c:pt idx="83">
                  <c:v>-4.5177960508688901</c:v>
                </c:pt>
                <c:pt idx="84">
                  <c:v>-4.7800625241918704</c:v>
                </c:pt>
                <c:pt idx="85">
                  <c:v>-4.7188480363119796</c:v>
                </c:pt>
                <c:pt idx="86">
                  <c:v>-4.2025568467828798</c:v>
                </c:pt>
                <c:pt idx="87">
                  <c:v>-3.39622114123677</c:v>
                </c:pt>
                <c:pt idx="88">
                  <c:v>-2.7497558511692599</c:v>
                </c:pt>
                <c:pt idx="89">
                  <c:v>-2.5321369011016599</c:v>
                </c:pt>
                <c:pt idx="90">
                  <c:v>-2.1434747892103001</c:v>
                </c:pt>
                <c:pt idx="91">
                  <c:v>-2.0166847931632299</c:v>
                </c:pt>
                <c:pt idx="92">
                  <c:v>-1.85827959415043</c:v>
                </c:pt>
                <c:pt idx="93">
                  <c:v>-1.64985067581589</c:v>
                </c:pt>
                <c:pt idx="94">
                  <c:v>-1.2041283809160901</c:v>
                </c:pt>
                <c:pt idx="95">
                  <c:v>-1.40614513505508</c:v>
                </c:pt>
                <c:pt idx="96">
                  <c:v>-1.5754978368619701</c:v>
                </c:pt>
                <c:pt idx="97">
                  <c:v>-2.0906463464963299</c:v>
                </c:pt>
                <c:pt idx="98">
                  <c:v>-1.8614938292913501</c:v>
                </c:pt>
                <c:pt idx="99">
                  <c:v>-1.88388888377485</c:v>
                </c:pt>
                <c:pt idx="100">
                  <c:v>-2.2270274568794899</c:v>
                </c:pt>
                <c:pt idx="101">
                  <c:v>-2.6094940559692601</c:v>
                </c:pt>
                <c:pt idx="102">
                  <c:v>-2.5699739972376898</c:v>
                </c:pt>
                <c:pt idx="103">
                  <c:v>-2.7059823118182398</c:v>
                </c:pt>
                <c:pt idx="104">
                  <c:v>-2.8363735195119202</c:v>
                </c:pt>
                <c:pt idx="105">
                  <c:v>-2.9884922022302902</c:v>
                </c:pt>
                <c:pt idx="106">
                  <c:v>-2.07721445699684</c:v>
                </c:pt>
                <c:pt idx="107">
                  <c:v>-1.67948551069329</c:v>
                </c:pt>
                <c:pt idx="108">
                  <c:v>-1.4829961353116401</c:v>
                </c:pt>
                <c:pt idx="109">
                  <c:v>-1.3737727329729601</c:v>
                </c:pt>
                <c:pt idx="110">
                  <c:v>-0.15441610925826199</c:v>
                </c:pt>
                <c:pt idx="111">
                  <c:v>0.23646720923673001</c:v>
                </c:pt>
                <c:pt idx="112">
                  <c:v>1.30946198044008</c:v>
                </c:pt>
                <c:pt idx="113">
                  <c:v>2.1833737393561701</c:v>
                </c:pt>
                <c:pt idx="114">
                  <c:v>3.3831697645387901</c:v>
                </c:pt>
                <c:pt idx="115">
                  <c:v>3.25017075858214</c:v>
                </c:pt>
                <c:pt idx="116">
                  <c:v>3.7052195509526502</c:v>
                </c:pt>
                <c:pt idx="117">
                  <c:v>3.8539845590444899</c:v>
                </c:pt>
                <c:pt idx="118">
                  <c:v>4.7927081763282997</c:v>
                </c:pt>
                <c:pt idx="119">
                  <c:v>5.6154705285303201</c:v>
                </c:pt>
                <c:pt idx="120">
                  <c:v>6.4988365413237004</c:v>
                </c:pt>
                <c:pt idx="121">
                  <c:v>6.9869529562924297</c:v>
                </c:pt>
                <c:pt idx="122">
                  <c:v>7.7033742956045801</c:v>
                </c:pt>
                <c:pt idx="123">
                  <c:v>8.2616587131122792</c:v>
                </c:pt>
                <c:pt idx="124">
                  <c:v>8.9909000208383798</c:v>
                </c:pt>
                <c:pt idx="125">
                  <c:v>9.6337022465585402</c:v>
                </c:pt>
                <c:pt idx="126">
                  <c:v>9.3881993655403697</c:v>
                </c:pt>
                <c:pt idx="127">
                  <c:v>9.1538771994058994</c:v>
                </c:pt>
                <c:pt idx="128">
                  <c:v>9.4825406590031704</c:v>
                </c:pt>
                <c:pt idx="129">
                  <c:v>8.5189290077081701</c:v>
                </c:pt>
                <c:pt idx="130">
                  <c:v>7.8784898551606197</c:v>
                </c:pt>
                <c:pt idx="131">
                  <c:v>6.8043047720482104</c:v>
                </c:pt>
                <c:pt idx="132">
                  <c:v>6.8561587670798696</c:v>
                </c:pt>
                <c:pt idx="133">
                  <c:v>6.0919075376252501</c:v>
                </c:pt>
                <c:pt idx="134">
                  <c:v>6.4174809007642599</c:v>
                </c:pt>
                <c:pt idx="135">
                  <c:v>6.0657494235763796</c:v>
                </c:pt>
                <c:pt idx="136">
                  <c:v>5.4976343843375099</c:v>
                </c:pt>
                <c:pt idx="137">
                  <c:v>4.62765703314476</c:v>
                </c:pt>
                <c:pt idx="138">
                  <c:v>3.9274460471863901</c:v>
                </c:pt>
                <c:pt idx="139">
                  <c:v>2.99250163430878</c:v>
                </c:pt>
                <c:pt idx="140">
                  <c:v>2.7388924391075702</c:v>
                </c:pt>
                <c:pt idx="141">
                  <c:v>2.0382691216209299</c:v>
                </c:pt>
                <c:pt idx="142">
                  <c:v>1.3264368437641301</c:v>
                </c:pt>
                <c:pt idx="143">
                  <c:v>0.61312931376733804</c:v>
                </c:pt>
                <c:pt idx="144">
                  <c:v>-1.38083793753375E-2</c:v>
                </c:pt>
                <c:pt idx="145">
                  <c:v>-0.30251643292278801</c:v>
                </c:pt>
                <c:pt idx="146">
                  <c:v>-0.45805487385996702</c:v>
                </c:pt>
                <c:pt idx="147">
                  <c:v>-0.959689351503211</c:v>
                </c:pt>
                <c:pt idx="148">
                  <c:v>-1.03367540671142</c:v>
                </c:pt>
                <c:pt idx="149">
                  <c:v>-1.2712643238610299</c:v>
                </c:pt>
                <c:pt idx="150">
                  <c:v>-1.1908210554463301</c:v>
                </c:pt>
                <c:pt idx="151">
                  <c:v>-1.23436026523339</c:v>
                </c:pt>
                <c:pt idx="152">
                  <c:v>-1.24449293734299</c:v>
                </c:pt>
                <c:pt idx="153">
                  <c:v>-1.59091866999668</c:v>
                </c:pt>
                <c:pt idx="154">
                  <c:v>-1.1100112528995101</c:v>
                </c:pt>
                <c:pt idx="155">
                  <c:v>-1.0478987596831899</c:v>
                </c:pt>
                <c:pt idx="156">
                  <c:v>-0.36297989210130899</c:v>
                </c:pt>
                <c:pt idx="157">
                  <c:v>-0.17766970363791099</c:v>
                </c:pt>
                <c:pt idx="158">
                  <c:v>8.2155104844124305E-2</c:v>
                </c:pt>
                <c:pt idx="159">
                  <c:v>-0.112508926535762</c:v>
                </c:pt>
                <c:pt idx="160">
                  <c:v>6.2494953717021198E-2</c:v>
                </c:pt>
                <c:pt idx="161">
                  <c:v>-0.210703336503683</c:v>
                </c:pt>
                <c:pt idx="162">
                  <c:v>0.17301000340341199</c:v>
                </c:pt>
                <c:pt idx="163">
                  <c:v>0.28040785373557597</c:v>
                </c:pt>
                <c:pt idx="164">
                  <c:v>0.80342119431708503</c:v>
                </c:pt>
                <c:pt idx="165">
                  <c:v>-5.0122025578417398E-2</c:v>
                </c:pt>
                <c:pt idx="166">
                  <c:v>0.49111358573444702</c:v>
                </c:pt>
                <c:pt idx="167">
                  <c:v>0.882151811930455</c:v>
                </c:pt>
                <c:pt idx="168">
                  <c:v>1.02747017993208</c:v>
                </c:pt>
                <c:pt idx="169">
                  <c:v>2.0510964366129798</c:v>
                </c:pt>
                <c:pt idx="170">
                  <c:v>8.3407235707574294</c:v>
                </c:pt>
                <c:pt idx="171">
                  <c:v>10.3614085352405</c:v>
                </c:pt>
                <c:pt idx="172">
                  <c:v>11.137581716888</c:v>
                </c:pt>
                <c:pt idx="173">
                  <c:v>9.8834201992764594</c:v>
                </c:pt>
                <c:pt idx="174">
                  <c:v>6.0722909668212104</c:v>
                </c:pt>
                <c:pt idx="175">
                  <c:v>4.57479514962065</c:v>
                </c:pt>
                <c:pt idx="176">
                  <c:v>3.4102301300896301</c:v>
                </c:pt>
                <c:pt idx="177">
                  <c:v>2.2521675299510799</c:v>
                </c:pt>
                <c:pt idx="178">
                  <c:v>1.9583708877805199</c:v>
                </c:pt>
                <c:pt idx="179">
                  <c:v>1.7235788062770001</c:v>
                </c:pt>
                <c:pt idx="180">
                  <c:v>1.0251229052428901</c:v>
                </c:pt>
                <c:pt idx="181">
                  <c:v>-0.74603946027704404</c:v>
                </c:pt>
                <c:pt idx="182">
                  <c:v>-2.7579457503456499</c:v>
                </c:pt>
                <c:pt idx="183">
                  <c:v>-4.5205031372074798</c:v>
                </c:pt>
                <c:pt idx="184">
                  <c:v>-5.9952281833340297</c:v>
                </c:pt>
                <c:pt idx="185">
                  <c:v>-7.64428739123196</c:v>
                </c:pt>
                <c:pt idx="186">
                  <c:v>-8.1925173285904993</c:v>
                </c:pt>
                <c:pt idx="187">
                  <c:v>-8.8711156828611806</c:v>
                </c:pt>
                <c:pt idx="188">
                  <c:v>-9.1522797508151701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78-4224-8F25-39858D6FB807}"/>
            </c:ext>
          </c:extLst>
        </c:ser>
        <c:ser>
          <c:idx val="2"/>
          <c:order val="2"/>
          <c:tx>
            <c:strRef>
              <c:f>'Output R'!$D$1</c:f>
              <c:strCache>
                <c:ptCount val="1"/>
                <c:pt idx="0">
                  <c:v>HCSF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'Output R'!$A$2:$A$190</c:f>
              <c:numCache>
                <c:formatCode>mmm\-yy</c:formatCode>
                <c:ptCount val="18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</c:numCache>
            </c:numRef>
          </c:cat>
          <c:val>
            <c:numRef>
              <c:f>'Output R'!$D$2:$D$190</c:f>
              <c:numCache>
                <c:formatCode>General</c:formatCode>
                <c:ptCount val="189"/>
                <c:pt idx="0">
                  <c:v>2.1640911197557702</c:v>
                </c:pt>
                <c:pt idx="1">
                  <c:v>3.2074785931864902</c:v>
                </c:pt>
                <c:pt idx="2">
                  <c:v>1.9059119348981799</c:v>
                </c:pt>
                <c:pt idx="3">
                  <c:v>0.12246826407931</c:v>
                </c:pt>
                <c:pt idx="4">
                  <c:v>0.49156449254032603</c:v>
                </c:pt>
                <c:pt idx="5">
                  <c:v>-0.70145461098256701</c:v>
                </c:pt>
                <c:pt idx="6">
                  <c:v>-0.53961137590788899</c:v>
                </c:pt>
                <c:pt idx="7">
                  <c:v>-1.1718133949896901</c:v>
                </c:pt>
                <c:pt idx="8">
                  <c:v>-0.13453983109199799</c:v>
                </c:pt>
                <c:pt idx="9">
                  <c:v>-1.4135805083340101</c:v>
                </c:pt>
                <c:pt idx="10">
                  <c:v>-0.56770881495125802</c:v>
                </c:pt>
                <c:pt idx="11">
                  <c:v>-0.918303622904869</c:v>
                </c:pt>
                <c:pt idx="12">
                  <c:v>8.6113835984376899E-2</c:v>
                </c:pt>
                <c:pt idx="13">
                  <c:v>-0.21755695927922999</c:v>
                </c:pt>
                <c:pt idx="14">
                  <c:v>-0.71676292734525504</c:v>
                </c:pt>
                <c:pt idx="15">
                  <c:v>-1.0351070432499301</c:v>
                </c:pt>
                <c:pt idx="16">
                  <c:v>-0.66998553328774302</c:v>
                </c:pt>
                <c:pt idx="17">
                  <c:v>-1.6852033993086899</c:v>
                </c:pt>
                <c:pt idx="18">
                  <c:v>-1.76255368930003</c:v>
                </c:pt>
                <c:pt idx="19">
                  <c:v>-1.9669457109826201</c:v>
                </c:pt>
                <c:pt idx="20">
                  <c:v>-0.14448471754235301</c:v>
                </c:pt>
                <c:pt idx="21">
                  <c:v>-0.32177228418619103</c:v>
                </c:pt>
                <c:pt idx="22">
                  <c:v>4.7965665206308097E-3</c:v>
                </c:pt>
                <c:pt idx="23">
                  <c:v>-0.46097321487575599</c:v>
                </c:pt>
                <c:pt idx="24">
                  <c:v>0.74630878733569495</c:v>
                </c:pt>
                <c:pt idx="25">
                  <c:v>-1.31294590540116E-2</c:v>
                </c:pt>
                <c:pt idx="26">
                  <c:v>0.59355379138771702</c:v>
                </c:pt>
                <c:pt idx="27">
                  <c:v>0.63908926110393105</c:v>
                </c:pt>
                <c:pt idx="28">
                  <c:v>1.4940445112744201</c:v>
                </c:pt>
                <c:pt idx="29">
                  <c:v>0.49775103378811802</c:v>
                </c:pt>
                <c:pt idx="30">
                  <c:v>0.50653707491408395</c:v>
                </c:pt>
                <c:pt idx="31">
                  <c:v>0.21607252748306799</c:v>
                </c:pt>
                <c:pt idx="32">
                  <c:v>1.2803143899487499</c:v>
                </c:pt>
                <c:pt idx="33">
                  <c:v>0.22843498179148</c:v>
                </c:pt>
                <c:pt idx="34">
                  <c:v>6.7616235376442999E-2</c:v>
                </c:pt>
                <c:pt idx="35">
                  <c:v>-0.77506180591157103</c:v>
                </c:pt>
                <c:pt idx="36">
                  <c:v>-0.95130479208998897</c:v>
                </c:pt>
                <c:pt idx="37">
                  <c:v>0.33161210986034301</c:v>
                </c:pt>
                <c:pt idx="38">
                  <c:v>0.77818717312834795</c:v>
                </c:pt>
                <c:pt idx="39">
                  <c:v>0.80590701121816399</c:v>
                </c:pt>
                <c:pt idx="40">
                  <c:v>1.4162497252377499</c:v>
                </c:pt>
                <c:pt idx="41">
                  <c:v>1.4710387010202299</c:v>
                </c:pt>
                <c:pt idx="42">
                  <c:v>1.75090469399243</c:v>
                </c:pt>
                <c:pt idx="43">
                  <c:v>1.8179520238422699</c:v>
                </c:pt>
                <c:pt idx="44">
                  <c:v>3.2675684091583501</c:v>
                </c:pt>
                <c:pt idx="45">
                  <c:v>2.2697778000550799</c:v>
                </c:pt>
                <c:pt idx="46">
                  <c:v>3.3363061010164401</c:v>
                </c:pt>
                <c:pt idx="47">
                  <c:v>2.9464790693093601</c:v>
                </c:pt>
                <c:pt idx="48">
                  <c:v>3.9427430583722098</c:v>
                </c:pt>
                <c:pt idx="49">
                  <c:v>4.0483550682784299</c:v>
                </c:pt>
                <c:pt idx="50">
                  <c:v>4.04096554113754</c:v>
                </c:pt>
                <c:pt idx="51">
                  <c:v>3.7520143423212602</c:v>
                </c:pt>
                <c:pt idx="52">
                  <c:v>5.9553343747893797</c:v>
                </c:pt>
                <c:pt idx="53">
                  <c:v>5.6302951853492704</c:v>
                </c:pt>
                <c:pt idx="54">
                  <c:v>5.5500044279867602</c:v>
                </c:pt>
                <c:pt idx="55">
                  <c:v>5.1656299537761896</c:v>
                </c:pt>
                <c:pt idx="56">
                  <c:v>5.5588996197791198</c:v>
                </c:pt>
                <c:pt idx="57">
                  <c:v>5.2623645619316299</c:v>
                </c:pt>
                <c:pt idx="58">
                  <c:v>4.8812717598028099</c:v>
                </c:pt>
                <c:pt idx="59">
                  <c:v>3.88732165119016</c:v>
                </c:pt>
                <c:pt idx="60">
                  <c:v>5.0308532227986698</c:v>
                </c:pt>
                <c:pt idx="61">
                  <c:v>6.2366631937797496</c:v>
                </c:pt>
                <c:pt idx="62">
                  <c:v>6.5639834025100496</c:v>
                </c:pt>
                <c:pt idx="63">
                  <c:v>6.0946578863294203</c:v>
                </c:pt>
                <c:pt idx="64">
                  <c:v>4.9276364421489998</c:v>
                </c:pt>
                <c:pt idx="65">
                  <c:v>3.4733762227359901</c:v>
                </c:pt>
                <c:pt idx="66">
                  <c:v>1.7461233184598</c:v>
                </c:pt>
                <c:pt idx="67">
                  <c:v>2.5962938265816902E-3</c:v>
                </c:pt>
                <c:pt idx="68">
                  <c:v>-0.12783115360931799</c:v>
                </c:pt>
                <c:pt idx="69">
                  <c:v>-1.5725026373872</c:v>
                </c:pt>
                <c:pt idx="70">
                  <c:v>-1.4173768512570599</c:v>
                </c:pt>
                <c:pt idx="71">
                  <c:v>-2.20103799754061</c:v>
                </c:pt>
                <c:pt idx="72">
                  <c:v>-2.6415008670586602</c:v>
                </c:pt>
                <c:pt idx="73">
                  <c:v>-3.3375990089892098</c:v>
                </c:pt>
                <c:pt idx="74">
                  <c:v>-3.7126476278418199</c:v>
                </c:pt>
                <c:pt idx="75">
                  <c:v>-4.2365721377433196</c:v>
                </c:pt>
                <c:pt idx="76">
                  <c:v>-3.8521365059630699</c:v>
                </c:pt>
                <c:pt idx="77">
                  <c:v>-3.7626865801708398</c:v>
                </c:pt>
                <c:pt idx="78">
                  <c:v>-3.7507804288383602</c:v>
                </c:pt>
                <c:pt idx="79">
                  <c:v>-4.2613270735351696</c:v>
                </c:pt>
                <c:pt idx="80">
                  <c:v>-4.4200696386012197</c:v>
                </c:pt>
                <c:pt idx="81">
                  <c:v>-4.96805199420601</c:v>
                </c:pt>
                <c:pt idx="82">
                  <c:v>-5.1124179750388201</c:v>
                </c:pt>
                <c:pt idx="83">
                  <c:v>-5.3699582830718002</c:v>
                </c:pt>
                <c:pt idx="84">
                  <c:v>-5.73457191067443</c:v>
                </c:pt>
                <c:pt idx="85">
                  <c:v>-5.7264565811619104</c:v>
                </c:pt>
                <c:pt idx="86">
                  <c:v>-3.8112130978382099</c:v>
                </c:pt>
                <c:pt idx="87">
                  <c:v>-3.1644222009594598</c:v>
                </c:pt>
                <c:pt idx="88">
                  <c:v>-1.4297631945923801</c:v>
                </c:pt>
                <c:pt idx="89">
                  <c:v>-1.99842023759411</c:v>
                </c:pt>
                <c:pt idx="90">
                  <c:v>-0.93782863701240005</c:v>
                </c:pt>
                <c:pt idx="91">
                  <c:v>0.29106609792600302</c:v>
                </c:pt>
                <c:pt idx="92">
                  <c:v>0.33067564461849902</c:v>
                </c:pt>
                <c:pt idx="93">
                  <c:v>0.989129604621382</c:v>
                </c:pt>
                <c:pt idx="94">
                  <c:v>2.03550085092871</c:v>
                </c:pt>
                <c:pt idx="95">
                  <c:v>1.9011789895411699</c:v>
                </c:pt>
                <c:pt idx="96">
                  <c:v>1.7551839985075199</c:v>
                </c:pt>
                <c:pt idx="97">
                  <c:v>1.1512344991091501</c:v>
                </c:pt>
                <c:pt idx="98">
                  <c:v>0.61773998131795904</c:v>
                </c:pt>
                <c:pt idx="99">
                  <c:v>0.26807265847924999</c:v>
                </c:pt>
                <c:pt idx="100">
                  <c:v>2.2119144983209099E-3</c:v>
                </c:pt>
                <c:pt idx="101">
                  <c:v>-7.8928355467144704E-2</c:v>
                </c:pt>
                <c:pt idx="102">
                  <c:v>-0.286747810390589</c:v>
                </c:pt>
                <c:pt idx="103">
                  <c:v>-0.920533431895591</c:v>
                </c:pt>
                <c:pt idx="104">
                  <c:v>-2.63497157116409</c:v>
                </c:pt>
                <c:pt idx="105">
                  <c:v>-2.91486938868877</c:v>
                </c:pt>
                <c:pt idx="106">
                  <c:v>-1.70151366264921</c:v>
                </c:pt>
                <c:pt idx="107">
                  <c:v>-1.68756822524434</c:v>
                </c:pt>
                <c:pt idx="108">
                  <c:v>-1.9086280813463501</c:v>
                </c:pt>
                <c:pt idx="109">
                  <c:v>-2.1846374308840999</c:v>
                </c:pt>
                <c:pt idx="110">
                  <c:v>-0.32535927338649201</c:v>
                </c:pt>
                <c:pt idx="111">
                  <c:v>-0.29806636861261898</c:v>
                </c:pt>
                <c:pt idx="112">
                  <c:v>0.30923593822779899</c:v>
                </c:pt>
                <c:pt idx="113">
                  <c:v>0.83150534283071398</c:v>
                </c:pt>
                <c:pt idx="114">
                  <c:v>1.85578572662492</c:v>
                </c:pt>
                <c:pt idx="115">
                  <c:v>1.6369760885250599</c:v>
                </c:pt>
                <c:pt idx="116">
                  <c:v>1.93553214814698</c:v>
                </c:pt>
                <c:pt idx="117">
                  <c:v>2.1477190977553802</c:v>
                </c:pt>
                <c:pt idx="118">
                  <c:v>3.5118670433006098</c:v>
                </c:pt>
                <c:pt idx="119">
                  <c:v>3.3478966097593701</c:v>
                </c:pt>
                <c:pt idx="120">
                  <c:v>2.74981787708768</c:v>
                </c:pt>
                <c:pt idx="121">
                  <c:v>2.9449952564652602</c:v>
                </c:pt>
                <c:pt idx="122">
                  <c:v>4.1716536925019501</c:v>
                </c:pt>
                <c:pt idx="123">
                  <c:v>5.1064858128161896</c:v>
                </c:pt>
                <c:pt idx="124">
                  <c:v>5.9684179849376404</c:v>
                </c:pt>
                <c:pt idx="125">
                  <c:v>6.9112675287882803</c:v>
                </c:pt>
                <c:pt idx="126">
                  <c:v>8.5042702885581996</c:v>
                </c:pt>
                <c:pt idx="127">
                  <c:v>9.4623162030247308</c:v>
                </c:pt>
                <c:pt idx="128">
                  <c:v>10.0504119866642</c:v>
                </c:pt>
                <c:pt idx="129">
                  <c:v>9.2467248340860699</c:v>
                </c:pt>
                <c:pt idx="130">
                  <c:v>7.8660095500146499</c:v>
                </c:pt>
                <c:pt idx="131">
                  <c:v>7.2190592590053599</c:v>
                </c:pt>
                <c:pt idx="132">
                  <c:v>7.6636673323017197</c:v>
                </c:pt>
                <c:pt idx="133">
                  <c:v>6.4304371969190504</c:v>
                </c:pt>
                <c:pt idx="134">
                  <c:v>7.5972711212676103</c:v>
                </c:pt>
                <c:pt idx="135">
                  <c:v>7.9176980648718596</c:v>
                </c:pt>
                <c:pt idx="136">
                  <c:v>7.3824386970943996</c:v>
                </c:pt>
                <c:pt idx="137">
                  <c:v>7.7076368936470701</c:v>
                </c:pt>
                <c:pt idx="138">
                  <c:v>8.2775308635411893</c:v>
                </c:pt>
                <c:pt idx="139">
                  <c:v>7.6768016193235598</c:v>
                </c:pt>
                <c:pt idx="140">
                  <c:v>6.84624678795298</c:v>
                </c:pt>
                <c:pt idx="141">
                  <c:v>5.9029247553335704</c:v>
                </c:pt>
                <c:pt idx="142">
                  <c:v>4.0603675569578197</c:v>
                </c:pt>
                <c:pt idx="143">
                  <c:v>3.7742166264176702</c:v>
                </c:pt>
                <c:pt idx="144">
                  <c:v>2.4470285640996199</c:v>
                </c:pt>
                <c:pt idx="145">
                  <c:v>2.0603814943293601</c:v>
                </c:pt>
                <c:pt idx="146">
                  <c:v>2.5856170205537401</c:v>
                </c:pt>
                <c:pt idx="147">
                  <c:v>2.5196772307723401</c:v>
                </c:pt>
                <c:pt idx="148">
                  <c:v>2.0489764691393599</c:v>
                </c:pt>
                <c:pt idx="149">
                  <c:v>0.86783796004274205</c:v>
                </c:pt>
                <c:pt idx="150">
                  <c:v>-0.38702890906545601</c:v>
                </c:pt>
                <c:pt idx="151">
                  <c:v>-0.48998899778624999</c:v>
                </c:pt>
                <c:pt idx="152">
                  <c:v>-0.33386525124065802</c:v>
                </c:pt>
                <c:pt idx="153">
                  <c:v>-2.5870789791572499</c:v>
                </c:pt>
                <c:pt idx="154">
                  <c:v>-1.8967649018320101</c:v>
                </c:pt>
                <c:pt idx="155">
                  <c:v>-1.43352384494399</c:v>
                </c:pt>
                <c:pt idx="156">
                  <c:v>-1.0480787434893</c:v>
                </c:pt>
                <c:pt idx="157">
                  <c:v>-0.12850637304888701</c:v>
                </c:pt>
                <c:pt idx="158">
                  <c:v>-0.40136073983440901</c:v>
                </c:pt>
                <c:pt idx="159">
                  <c:v>-0.77260314385015005</c:v>
                </c:pt>
                <c:pt idx="160">
                  <c:v>-1.0844595286682299</c:v>
                </c:pt>
                <c:pt idx="161">
                  <c:v>-1.86915089334226</c:v>
                </c:pt>
                <c:pt idx="162">
                  <c:v>-0.52302900793001506</c:v>
                </c:pt>
                <c:pt idx="163">
                  <c:v>-0.13533964459702499</c:v>
                </c:pt>
                <c:pt idx="164">
                  <c:v>-0.22763290278492401</c:v>
                </c:pt>
                <c:pt idx="165">
                  <c:v>-0.18694565350145401</c:v>
                </c:pt>
                <c:pt idx="166">
                  <c:v>0.88235961763429904</c:v>
                </c:pt>
                <c:pt idx="167">
                  <c:v>1.55093243992076</c:v>
                </c:pt>
                <c:pt idx="168">
                  <c:v>0.64756942469269796</c:v>
                </c:pt>
                <c:pt idx="169">
                  <c:v>1.7653326149234501</c:v>
                </c:pt>
                <c:pt idx="170">
                  <c:v>11.855638152990499</c:v>
                </c:pt>
                <c:pt idx="171">
                  <c:v>13.6144397235035</c:v>
                </c:pt>
                <c:pt idx="172">
                  <c:v>14.681379279344201</c:v>
                </c:pt>
                <c:pt idx="173">
                  <c:v>10.982429403527901</c:v>
                </c:pt>
                <c:pt idx="174">
                  <c:v>5.1191738855336997</c:v>
                </c:pt>
                <c:pt idx="175">
                  <c:v>2.64330894078316</c:v>
                </c:pt>
                <c:pt idx="176">
                  <c:v>0.91088644613862502</c:v>
                </c:pt>
                <c:pt idx="177">
                  <c:v>-2.2919643471625202</c:v>
                </c:pt>
                <c:pt idx="178">
                  <c:v>-4.4863119314580802</c:v>
                </c:pt>
                <c:pt idx="179">
                  <c:v>-4.5236174735014503</c:v>
                </c:pt>
                <c:pt idx="180">
                  <c:v>-5.24355925009435</c:v>
                </c:pt>
                <c:pt idx="181">
                  <c:v>-7.3574575432184997</c:v>
                </c:pt>
                <c:pt idx="182">
                  <c:v>-9.6554979889385404</c:v>
                </c:pt>
                <c:pt idx="183">
                  <c:v>-11.4175371539471</c:v>
                </c:pt>
                <c:pt idx="184">
                  <c:v>-11.639331321615099</c:v>
                </c:pt>
                <c:pt idx="185">
                  <c:v>-14.799499470217301</c:v>
                </c:pt>
                <c:pt idx="186">
                  <c:v>-14.711009260247801</c:v>
                </c:pt>
                <c:pt idx="187">
                  <c:v>-14.532104756925699</c:v>
                </c:pt>
                <c:pt idx="188">
                  <c:v>-14.679982540186501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78-4224-8F25-39858D6FB807}"/>
            </c:ext>
          </c:extLst>
        </c:ser>
        <c:ser>
          <c:idx val="3"/>
          <c:order val="3"/>
          <c:tx>
            <c:strRef>
              <c:f>'Output R'!$E$1</c:f>
              <c:strCache>
                <c:ptCount val="1"/>
                <c:pt idx="0">
                  <c:v>HCSF net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'Output R'!$A$2:$A$190</c:f>
              <c:numCache>
                <c:formatCode>mmm\-yy</c:formatCode>
                <c:ptCount val="18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</c:numCache>
            </c:numRef>
          </c:cat>
          <c:val>
            <c:numRef>
              <c:f>'Output R'!$E$2:$E$190</c:f>
              <c:numCache>
                <c:formatCode>General</c:formatCode>
                <c:ptCount val="189"/>
                <c:pt idx="0">
                  <c:v>1.3421856062983599</c:v>
                </c:pt>
                <c:pt idx="1">
                  <c:v>2.1299547877222</c:v>
                </c:pt>
                <c:pt idx="2">
                  <c:v>1.1458122784017699</c:v>
                </c:pt>
                <c:pt idx="3">
                  <c:v>-0.178034180195555</c:v>
                </c:pt>
                <c:pt idx="4">
                  <c:v>0.13381072535861499</c:v>
                </c:pt>
                <c:pt idx="5">
                  <c:v>-0.69228164876595999</c:v>
                </c:pt>
                <c:pt idx="6">
                  <c:v>-0.37060267006035003</c:v>
                </c:pt>
                <c:pt idx="7">
                  <c:v>-0.68766888476675503</c:v>
                </c:pt>
                <c:pt idx="8">
                  <c:v>7.9869903917353893E-2</c:v>
                </c:pt>
                <c:pt idx="9">
                  <c:v>-0.77232841681153197</c:v>
                </c:pt>
                <c:pt idx="10">
                  <c:v>-0.174918971177765</c:v>
                </c:pt>
                <c:pt idx="11">
                  <c:v>-0.46356626722510202</c:v>
                </c:pt>
                <c:pt idx="12">
                  <c:v>0.31896857884080598</c:v>
                </c:pt>
                <c:pt idx="13">
                  <c:v>9.8053916194754495E-2</c:v>
                </c:pt>
                <c:pt idx="14">
                  <c:v>-0.33731923645545497</c:v>
                </c:pt>
                <c:pt idx="15">
                  <c:v>-0.63538630194661805</c:v>
                </c:pt>
                <c:pt idx="16">
                  <c:v>-0.46932356644581102</c:v>
                </c:pt>
                <c:pt idx="17">
                  <c:v>-1.2743111594362799</c:v>
                </c:pt>
                <c:pt idx="18">
                  <c:v>-1.3494803776695701</c:v>
                </c:pt>
                <c:pt idx="19">
                  <c:v>-1.4790057056524599</c:v>
                </c:pt>
                <c:pt idx="20">
                  <c:v>-8.2034189848788297E-2</c:v>
                </c:pt>
                <c:pt idx="21">
                  <c:v>-0.16118512331988899</c:v>
                </c:pt>
                <c:pt idx="22">
                  <c:v>6.1195967061681601E-2</c:v>
                </c:pt>
                <c:pt idx="23">
                  <c:v>-0.27244279852814202</c:v>
                </c:pt>
                <c:pt idx="24">
                  <c:v>0.44430810010133498</c:v>
                </c:pt>
                <c:pt idx="25">
                  <c:v>-0.114483856475462</c:v>
                </c:pt>
                <c:pt idx="26">
                  <c:v>0.37097159601656798</c:v>
                </c:pt>
                <c:pt idx="27">
                  <c:v>0.39551347224272798</c:v>
                </c:pt>
                <c:pt idx="28">
                  <c:v>1.0730018340665</c:v>
                </c:pt>
                <c:pt idx="29">
                  <c:v>0.47267999532810701</c:v>
                </c:pt>
                <c:pt idx="30">
                  <c:v>0.44429450047440999</c:v>
                </c:pt>
                <c:pt idx="31">
                  <c:v>0.20835975066027501</c:v>
                </c:pt>
                <c:pt idx="32">
                  <c:v>0.98178754071465302</c:v>
                </c:pt>
                <c:pt idx="33">
                  <c:v>6.2059186072261997E-2</c:v>
                </c:pt>
                <c:pt idx="34">
                  <c:v>-1.6379776110775499E-2</c:v>
                </c:pt>
                <c:pt idx="35">
                  <c:v>-0.64689159654111905</c:v>
                </c:pt>
                <c:pt idx="36">
                  <c:v>-0.85722608434641401</c:v>
                </c:pt>
                <c:pt idx="37">
                  <c:v>0.136069199081953</c:v>
                </c:pt>
                <c:pt idx="38">
                  <c:v>0.51261193966986496</c:v>
                </c:pt>
                <c:pt idx="39">
                  <c:v>0.62336193355561298</c:v>
                </c:pt>
                <c:pt idx="40">
                  <c:v>1.2037775425994399</c:v>
                </c:pt>
                <c:pt idx="41">
                  <c:v>1.2076691498419601</c:v>
                </c:pt>
                <c:pt idx="42">
                  <c:v>1.4263694051950599</c:v>
                </c:pt>
                <c:pt idx="43">
                  <c:v>1.3993935519107801</c:v>
                </c:pt>
                <c:pt idx="44">
                  <c:v>2.4695217377019398</c:v>
                </c:pt>
                <c:pt idx="45">
                  <c:v>1.6203752257158901</c:v>
                </c:pt>
                <c:pt idx="46">
                  <c:v>2.4390112474657299</c:v>
                </c:pt>
                <c:pt idx="47">
                  <c:v>2.07117278045193</c:v>
                </c:pt>
                <c:pt idx="48">
                  <c:v>2.7100495930087898</c:v>
                </c:pt>
                <c:pt idx="49">
                  <c:v>2.8402649107762499</c:v>
                </c:pt>
                <c:pt idx="50">
                  <c:v>2.8849282357570698</c:v>
                </c:pt>
                <c:pt idx="51">
                  <c:v>2.69964624703336</c:v>
                </c:pt>
                <c:pt idx="52">
                  <c:v>4.3641930763517003</c:v>
                </c:pt>
                <c:pt idx="53">
                  <c:v>4.0753639063259897</c:v>
                </c:pt>
                <c:pt idx="54">
                  <c:v>4.0113819486445799</c:v>
                </c:pt>
                <c:pt idx="55">
                  <c:v>3.7325435678425198</c:v>
                </c:pt>
                <c:pt idx="56">
                  <c:v>3.99837498252068</c:v>
                </c:pt>
                <c:pt idx="57">
                  <c:v>3.6503817183521301</c:v>
                </c:pt>
                <c:pt idx="58">
                  <c:v>3.3466523530588601</c:v>
                </c:pt>
                <c:pt idx="59">
                  <c:v>2.5566420400725201</c:v>
                </c:pt>
                <c:pt idx="60">
                  <c:v>3.3852285417941101</c:v>
                </c:pt>
                <c:pt idx="61">
                  <c:v>4.47550966009155</c:v>
                </c:pt>
                <c:pt idx="62">
                  <c:v>4.6711108616416803</c:v>
                </c:pt>
                <c:pt idx="63">
                  <c:v>4.3113778191419101</c:v>
                </c:pt>
                <c:pt idx="64">
                  <c:v>3.5985934666702399</c:v>
                </c:pt>
                <c:pt idx="65">
                  <c:v>2.4304671885981399</c:v>
                </c:pt>
                <c:pt idx="66">
                  <c:v>1.1263869338444401</c:v>
                </c:pt>
                <c:pt idx="67">
                  <c:v>-0.27229366303031199</c:v>
                </c:pt>
                <c:pt idx="68">
                  <c:v>-0.46989254760242399</c:v>
                </c:pt>
                <c:pt idx="69">
                  <c:v>-1.6240198145501801</c:v>
                </c:pt>
                <c:pt idx="70">
                  <c:v>-1.5562262524317101</c:v>
                </c:pt>
                <c:pt idx="71">
                  <c:v>-2.2170020633258298</c:v>
                </c:pt>
                <c:pt idx="72">
                  <c:v>-2.5651067926611102</c:v>
                </c:pt>
                <c:pt idx="73">
                  <c:v>-3.1137160741447598</c:v>
                </c:pt>
                <c:pt idx="74">
                  <c:v>-3.4483532359875699</c:v>
                </c:pt>
                <c:pt idx="75">
                  <c:v>-3.76006342940153</c:v>
                </c:pt>
                <c:pt idx="76">
                  <c:v>-3.4497375407001698</c:v>
                </c:pt>
                <c:pt idx="77">
                  <c:v>-3.4512719395939602</c:v>
                </c:pt>
                <c:pt idx="78">
                  <c:v>-3.4075640300880798</c:v>
                </c:pt>
                <c:pt idx="79">
                  <c:v>-3.7903423195060699</c:v>
                </c:pt>
                <c:pt idx="80">
                  <c:v>-3.8602405002321798</c:v>
                </c:pt>
                <c:pt idx="81">
                  <c:v>-4.4799669181554798</c:v>
                </c:pt>
                <c:pt idx="82">
                  <c:v>-4.5245345682314904</c:v>
                </c:pt>
                <c:pt idx="83">
                  <c:v>-4.6763865178488899</c:v>
                </c:pt>
                <c:pt idx="84">
                  <c:v>-4.9577001659678404</c:v>
                </c:pt>
                <c:pt idx="85">
                  <c:v>-4.9063676231020699</c:v>
                </c:pt>
                <c:pt idx="86">
                  <c:v>-3.79125880347241</c:v>
                </c:pt>
                <c:pt idx="87">
                  <c:v>-2.8676011816538902</c:v>
                </c:pt>
                <c:pt idx="88">
                  <c:v>-0.67113363336828602</c:v>
                </c:pt>
                <c:pt idx="89">
                  <c:v>-2.1738655205991</c:v>
                </c:pt>
                <c:pt idx="90">
                  <c:v>-0.853382988100574</c:v>
                </c:pt>
                <c:pt idx="91">
                  <c:v>0.15118936817996001</c:v>
                </c:pt>
                <c:pt idx="92">
                  <c:v>-6.2683334403878493E-2</c:v>
                </c:pt>
                <c:pt idx="93">
                  <c:v>0.20176320796265301</c:v>
                </c:pt>
                <c:pt idx="94">
                  <c:v>0.69598262293881896</c:v>
                </c:pt>
                <c:pt idx="95">
                  <c:v>0.34129793025496702</c:v>
                </c:pt>
                <c:pt idx="96">
                  <c:v>-0.17685432293060999</c:v>
                </c:pt>
                <c:pt idx="97">
                  <c:v>-0.67111476045833895</c:v>
                </c:pt>
                <c:pt idx="98">
                  <c:v>-0.77129411339627196</c:v>
                </c:pt>
                <c:pt idx="99">
                  <c:v>-1.4674598336762901</c:v>
                </c:pt>
                <c:pt idx="100">
                  <c:v>-1.4715001234207401</c:v>
                </c:pt>
                <c:pt idx="101">
                  <c:v>-2.1885941788591099</c:v>
                </c:pt>
                <c:pt idx="102">
                  <c:v>-2.8847474360288099</c:v>
                </c:pt>
                <c:pt idx="103">
                  <c:v>-3.64485001216751</c:v>
                </c:pt>
                <c:pt idx="104">
                  <c:v>-5.3811413570646103</c:v>
                </c:pt>
                <c:pt idx="105">
                  <c:v>-6.0449698434578902</c:v>
                </c:pt>
                <c:pt idx="106">
                  <c:v>-4.6368217491965096</c:v>
                </c:pt>
                <c:pt idx="107">
                  <c:v>-4.4185203976963097</c:v>
                </c:pt>
                <c:pt idx="108">
                  <c:v>-4.7246218755733604</c:v>
                </c:pt>
                <c:pt idx="109">
                  <c:v>-5.1213286756601404</c:v>
                </c:pt>
                <c:pt idx="110">
                  <c:v>-3.2460736424341099</c:v>
                </c:pt>
                <c:pt idx="111">
                  <c:v>-3.43253488138564</c:v>
                </c:pt>
                <c:pt idx="112">
                  <c:v>-2.8264516871813199</c:v>
                </c:pt>
                <c:pt idx="113">
                  <c:v>-2.1126830160013599</c:v>
                </c:pt>
                <c:pt idx="114">
                  <c:v>-1.3836960680894199</c:v>
                </c:pt>
                <c:pt idx="115">
                  <c:v>-1.52766745910068</c:v>
                </c:pt>
                <c:pt idx="116">
                  <c:v>-0.65015077625509698</c:v>
                </c:pt>
                <c:pt idx="117">
                  <c:v>-0.36804027290298502</c:v>
                </c:pt>
                <c:pt idx="118">
                  <c:v>0.93996899936101996</c:v>
                </c:pt>
                <c:pt idx="119">
                  <c:v>1.74874722732636</c:v>
                </c:pt>
                <c:pt idx="120">
                  <c:v>1.7645439477628999</c:v>
                </c:pt>
                <c:pt idx="121">
                  <c:v>1.86733864317311</c:v>
                </c:pt>
                <c:pt idx="122">
                  <c:v>3.0214798394982201</c:v>
                </c:pt>
                <c:pt idx="123">
                  <c:v>3.7870335419933601</c:v>
                </c:pt>
                <c:pt idx="124">
                  <c:v>4.0884725473777603</c:v>
                </c:pt>
                <c:pt idx="125">
                  <c:v>5.1511145286222799</c:v>
                </c:pt>
                <c:pt idx="126">
                  <c:v>5.8717024872690704</c:v>
                </c:pt>
                <c:pt idx="127">
                  <c:v>6.7504833128696999</c:v>
                </c:pt>
                <c:pt idx="128">
                  <c:v>6.4384219015947703</c:v>
                </c:pt>
                <c:pt idx="129">
                  <c:v>7.1985585486463197</c:v>
                </c:pt>
                <c:pt idx="130">
                  <c:v>6.6675309354810004</c:v>
                </c:pt>
                <c:pt idx="131">
                  <c:v>5.5400588968278202</c:v>
                </c:pt>
                <c:pt idx="132">
                  <c:v>4.9943851779501198</c:v>
                </c:pt>
                <c:pt idx="133">
                  <c:v>4.1845517299401003</c:v>
                </c:pt>
                <c:pt idx="134">
                  <c:v>5.5884184833258104</c:v>
                </c:pt>
                <c:pt idx="135">
                  <c:v>6.5550770984250004</c:v>
                </c:pt>
                <c:pt idx="136">
                  <c:v>6.27947388732448</c:v>
                </c:pt>
                <c:pt idx="137">
                  <c:v>7.2320025397468699</c:v>
                </c:pt>
                <c:pt idx="138">
                  <c:v>8.0869241979332607</c:v>
                </c:pt>
                <c:pt idx="139">
                  <c:v>7.6911979881049097</c:v>
                </c:pt>
                <c:pt idx="140">
                  <c:v>6.2006373435541304</c:v>
                </c:pt>
                <c:pt idx="141">
                  <c:v>5.8779471695780199</c:v>
                </c:pt>
                <c:pt idx="142">
                  <c:v>4.6375788233614497</c:v>
                </c:pt>
                <c:pt idx="143">
                  <c:v>4.3979486328679602</c:v>
                </c:pt>
                <c:pt idx="144">
                  <c:v>2.1238787089362701</c:v>
                </c:pt>
                <c:pt idx="145">
                  <c:v>2.9771262198323498</c:v>
                </c:pt>
                <c:pt idx="146">
                  <c:v>3.33606134826148</c:v>
                </c:pt>
                <c:pt idx="147">
                  <c:v>3.9511289077513898</c:v>
                </c:pt>
                <c:pt idx="148">
                  <c:v>2.5679858266283899</c:v>
                </c:pt>
                <c:pt idx="149">
                  <c:v>1.5623242682446199</c:v>
                </c:pt>
                <c:pt idx="150">
                  <c:v>0.57509929482147004</c:v>
                </c:pt>
                <c:pt idx="151">
                  <c:v>0.200812361448683</c:v>
                </c:pt>
                <c:pt idx="152">
                  <c:v>-0.66986926775849598</c:v>
                </c:pt>
                <c:pt idx="153">
                  <c:v>-1.79644067832001</c:v>
                </c:pt>
                <c:pt idx="154">
                  <c:v>-1.21768538480698</c:v>
                </c:pt>
                <c:pt idx="155">
                  <c:v>-1.1588010214758</c:v>
                </c:pt>
                <c:pt idx="156">
                  <c:v>-1.62944293049078</c:v>
                </c:pt>
                <c:pt idx="157">
                  <c:v>-1.3773788097653501</c:v>
                </c:pt>
                <c:pt idx="158">
                  <c:v>-0.32490427089601798</c:v>
                </c:pt>
                <c:pt idx="159">
                  <c:v>-1.1551145555547</c:v>
                </c:pt>
                <c:pt idx="160">
                  <c:v>-1.3088724699402501</c:v>
                </c:pt>
                <c:pt idx="161">
                  <c:v>-1.85015691988315</c:v>
                </c:pt>
                <c:pt idx="162">
                  <c:v>-0.16586126851896599</c:v>
                </c:pt>
                <c:pt idx="163">
                  <c:v>0.54350996269310803</c:v>
                </c:pt>
                <c:pt idx="164">
                  <c:v>-1.56954000595808E-2</c:v>
                </c:pt>
                <c:pt idx="165">
                  <c:v>0.12372528393896499</c:v>
                </c:pt>
                <c:pt idx="166">
                  <c:v>1.67674578819263</c:v>
                </c:pt>
                <c:pt idx="167">
                  <c:v>1.9289459626461301</c:v>
                </c:pt>
                <c:pt idx="168">
                  <c:v>0.80216198593780697</c:v>
                </c:pt>
                <c:pt idx="169">
                  <c:v>1.02312109910051</c:v>
                </c:pt>
                <c:pt idx="170">
                  <c:v>4.40925291634034</c:v>
                </c:pt>
                <c:pt idx="171">
                  <c:v>5.3718787335909299</c:v>
                </c:pt>
                <c:pt idx="172">
                  <c:v>5.7791561115748697</c:v>
                </c:pt>
                <c:pt idx="173">
                  <c:v>3.49148056001449</c:v>
                </c:pt>
                <c:pt idx="174">
                  <c:v>0.33141902650747401</c:v>
                </c:pt>
                <c:pt idx="175">
                  <c:v>-1.34371343926043</c:v>
                </c:pt>
                <c:pt idx="176">
                  <c:v>-2.8445842723256201</c:v>
                </c:pt>
                <c:pt idx="177">
                  <c:v>-4.8143442442552704</c:v>
                </c:pt>
                <c:pt idx="178">
                  <c:v>-6.1315907928869704</c:v>
                </c:pt>
                <c:pt idx="179">
                  <c:v>-5.5817422810150701</c:v>
                </c:pt>
                <c:pt idx="180">
                  <c:v>-6.1459027707797498</c:v>
                </c:pt>
                <c:pt idx="181">
                  <c:v>-7.2824011615686004</c:v>
                </c:pt>
                <c:pt idx="182">
                  <c:v>-7.7021837707333196</c:v>
                </c:pt>
                <c:pt idx="183">
                  <c:v>-8.9536891158151697</c:v>
                </c:pt>
                <c:pt idx="184">
                  <c:v>-9.2499046950606196</c:v>
                </c:pt>
                <c:pt idx="185">
                  <c:v>-11.9040225119774</c:v>
                </c:pt>
                <c:pt idx="186">
                  <c:v>-11.140361507170899</c:v>
                </c:pt>
                <c:pt idx="187">
                  <c:v>-9.9414713068903602</c:v>
                </c:pt>
                <c:pt idx="188">
                  <c:v>-10.7230956538034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78-4224-8F25-39858D6FB807}"/>
            </c:ext>
          </c:extLst>
        </c:ser>
        <c:ser>
          <c:idx val="4"/>
          <c:order val="4"/>
          <c:tx>
            <c:strRef>
              <c:f>'Output R'!$H$1</c:f>
              <c:strCache>
                <c:ptCount val="1"/>
                <c:pt idx="0">
                  <c:v>Seuil ESRB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'Output R'!$A$2:$A$190</c:f>
              <c:numCache>
                <c:formatCode>mmm\-yy</c:formatCode>
                <c:ptCount val="18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</c:numCache>
            </c:numRef>
          </c:cat>
          <c:val>
            <c:numRef>
              <c:f>'Output R'!$H$2:$H$190</c:f>
              <c:numCache>
                <c:formatCode>0</c:formatCode>
                <c:ptCount val="18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78-4224-8F25-39858D6FB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604768"/>
        <c:axId val="218601440"/>
      </c:lineChart>
      <c:dateAx>
        <c:axId val="218604768"/>
        <c:scaling>
          <c:orientation val="minMax"/>
          <c:min val="3652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cross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8601440"/>
        <c:crosses val="autoZero"/>
        <c:auto val="1"/>
        <c:lblOffset val="100"/>
        <c:baseTimeUnit val="months"/>
        <c:majorUnit val="24"/>
        <c:majorTimeUnit val="months"/>
      </c:dateAx>
      <c:valAx>
        <c:axId val="21860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860476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 b="1">
          <a:solidFill>
            <a:sysClr val="windowText" lastClr="000000"/>
          </a:solidFill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Taux de CCyB induits par la règle de Bâle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'Output R'!$I$1</c:f>
              <c:strCache>
                <c:ptCount val="1"/>
                <c:pt idx="0">
                  <c:v>c_bis_ccyb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'Output R'!$A$2:$A$370</c:f>
              <c:numCache>
                <c:formatCode>mmm\-yy</c:formatCode>
                <c:ptCount val="36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</c:numCache>
            </c:numRef>
          </c:cat>
          <c:val>
            <c:numRef>
              <c:f>'Output R'!$I$2:$I$370</c:f>
              <c:numCache>
                <c:formatCode>General</c:formatCode>
                <c:ptCount val="369"/>
                <c:pt idx="0">
                  <c:v>0.87763335283166599</c:v>
                </c:pt>
                <c:pt idx="1">
                  <c:v>1.4606940133639501</c:v>
                </c:pt>
                <c:pt idx="2">
                  <c:v>0.73481191617879804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0.26521089073273302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7.5241163547095202E-2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3.1200434495100699E-2</c:v>
                </c:pt>
                <c:pt idx="41">
                  <c:v>9.9494889568367398E-2</c:v>
                </c:pt>
                <c:pt idx="42">
                  <c:v>0.248449869145628</c:v>
                </c:pt>
                <c:pt idx="43">
                  <c:v>0.36393433495208699</c:v>
                </c:pt>
                <c:pt idx="44">
                  <c:v>1.19848200453892</c:v>
                </c:pt>
                <c:pt idx="45">
                  <c:v>0.73722366106350901</c:v>
                </c:pt>
                <c:pt idx="46">
                  <c:v>1.3197479928312399</c:v>
                </c:pt>
                <c:pt idx="47">
                  <c:v>1.1758194461975899</c:v>
                </c:pt>
                <c:pt idx="48">
                  <c:v>1.8464738256142099</c:v>
                </c:pt>
                <c:pt idx="49">
                  <c:v>1.8547410814715699</c:v>
                </c:pt>
                <c:pt idx="50">
                  <c:v>1.80009721533626</c:v>
                </c:pt>
                <c:pt idx="51">
                  <c:v>1.6055695449994101</c:v>
                </c:pt>
                <c:pt idx="52">
                  <c:v>2.5</c:v>
                </c:pt>
                <c:pt idx="53">
                  <c:v>2.5</c:v>
                </c:pt>
                <c:pt idx="54">
                  <c:v>2.5</c:v>
                </c:pt>
                <c:pt idx="55">
                  <c:v>2.4301037229422802</c:v>
                </c:pt>
                <c:pt idx="56">
                  <c:v>2.5</c:v>
                </c:pt>
                <c:pt idx="57">
                  <c:v>2.5</c:v>
                </c:pt>
                <c:pt idx="58">
                  <c:v>2.4433244545441202</c:v>
                </c:pt>
                <c:pt idx="59">
                  <c:v>1.9276712271149501</c:v>
                </c:pt>
                <c:pt idx="60">
                  <c:v>2.5</c:v>
                </c:pt>
                <c:pt idx="61">
                  <c:v>2.5</c:v>
                </c:pt>
                <c:pt idx="62">
                  <c:v>2.5</c:v>
                </c:pt>
                <c:pt idx="63">
                  <c:v>2.5</c:v>
                </c:pt>
                <c:pt idx="64">
                  <c:v>2.2511241037655401</c:v>
                </c:pt>
                <c:pt idx="65">
                  <c:v>1.50898486509358</c:v>
                </c:pt>
                <c:pt idx="66">
                  <c:v>0.54375484868264201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0.25929056473312201</c:v>
                </c:pt>
                <c:pt idx="95">
                  <c:v>0.32173702713073199</c:v>
                </c:pt>
                <c:pt idx="96">
                  <c:v>0.40658495820316398</c:v>
                </c:pt>
                <c:pt idx="97">
                  <c:v>0.37949787289965498</c:v>
                </c:pt>
                <c:pt idx="98">
                  <c:v>0.127251030857636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0.13480304765555301</c:v>
                </c:pt>
                <c:pt idx="115">
                  <c:v>0.10350168694091801</c:v>
                </c:pt>
                <c:pt idx="116">
                  <c:v>0.27611492255717501</c:v>
                </c:pt>
                <c:pt idx="117">
                  <c:v>0.27898946376995498</c:v>
                </c:pt>
                <c:pt idx="118">
                  <c:v>0.75969634363500504</c:v>
                </c:pt>
                <c:pt idx="119">
                  <c:v>0.81817273420271996</c:v>
                </c:pt>
                <c:pt idx="120">
                  <c:v>0.60477923763733699</c:v>
                </c:pt>
                <c:pt idx="121">
                  <c:v>0.60005141878636903</c:v>
                </c:pt>
                <c:pt idx="122">
                  <c:v>1.2283897032375</c:v>
                </c:pt>
                <c:pt idx="123">
                  <c:v>1.6737677919151199</c:v>
                </c:pt>
                <c:pt idx="124">
                  <c:v>1.6914981920913801</c:v>
                </c:pt>
                <c:pt idx="125">
                  <c:v>2.1223408009246301</c:v>
                </c:pt>
                <c:pt idx="126">
                  <c:v>2.4121125029202801</c:v>
                </c:pt>
                <c:pt idx="127">
                  <c:v>2.5</c:v>
                </c:pt>
                <c:pt idx="128">
                  <c:v>2.5</c:v>
                </c:pt>
                <c:pt idx="129">
                  <c:v>2.0429745991497898</c:v>
                </c:pt>
                <c:pt idx="130">
                  <c:v>1.5333998997431599</c:v>
                </c:pt>
                <c:pt idx="131">
                  <c:v>1.1144131539126001</c:v>
                </c:pt>
                <c:pt idx="132">
                  <c:v>1.2766872797337201</c:v>
                </c:pt>
                <c:pt idx="133">
                  <c:v>1.0954521362621099</c:v>
                </c:pt>
                <c:pt idx="134">
                  <c:v>1.5883046195989301</c:v>
                </c:pt>
                <c:pt idx="135">
                  <c:v>1.9402978081370199</c:v>
                </c:pt>
                <c:pt idx="136">
                  <c:v>1.9441753144652401</c:v>
                </c:pt>
                <c:pt idx="137">
                  <c:v>2.1829528564184599</c:v>
                </c:pt>
                <c:pt idx="138">
                  <c:v>2.4154997948099002</c:v>
                </c:pt>
                <c:pt idx="139">
                  <c:v>2.0466308755360099</c:v>
                </c:pt>
                <c:pt idx="140">
                  <c:v>1.80471426931635</c:v>
                </c:pt>
                <c:pt idx="141">
                  <c:v>1.3826661793999999</c:v>
                </c:pt>
                <c:pt idx="142">
                  <c:v>0.53837191113962302</c:v>
                </c:pt>
                <c:pt idx="143">
                  <c:v>0.31141388680083398</c:v>
                </c:pt>
                <c:pt idx="144">
                  <c:v>0</c:v>
                </c:pt>
                <c:pt idx="145">
                  <c:v>8.7983794352502101E-2</c:v>
                </c:pt>
                <c:pt idx="146">
                  <c:v>0.47390145659476701</c:v>
                </c:pt>
                <c:pt idx="147">
                  <c:v>0.56498677884318305</c:v>
                </c:pt>
                <c:pt idx="148">
                  <c:v>0.58886827608742398</c:v>
                </c:pt>
                <c:pt idx="149">
                  <c:v>1.0182778719272501</c:v>
                </c:pt>
                <c:pt idx="150">
                  <c:v>0.78169572435816603</c:v>
                </c:pt>
                <c:pt idx="151">
                  <c:v>0.65268394593159595</c:v>
                </c:pt>
                <c:pt idx="152">
                  <c:v>0.88664410456766996</c:v>
                </c:pt>
                <c:pt idx="153">
                  <c:v>0.24169326181765299</c:v>
                </c:pt>
                <c:pt idx="154">
                  <c:v>0.64863791637075696</c:v>
                </c:pt>
                <c:pt idx="155">
                  <c:v>0.684195213501952</c:v>
                </c:pt>
                <c:pt idx="156">
                  <c:v>0.86452279068475801</c:v>
                </c:pt>
                <c:pt idx="157">
                  <c:v>1.1620365558239201</c:v>
                </c:pt>
                <c:pt idx="158">
                  <c:v>0.89505609395894004</c:v>
                </c:pt>
                <c:pt idx="159">
                  <c:v>0.46790161038342198</c:v>
                </c:pt>
                <c:pt idx="160">
                  <c:v>0.21566493880802501</c:v>
                </c:pt>
                <c:pt idx="161">
                  <c:v>0.23164010595175799</c:v>
                </c:pt>
                <c:pt idx="162">
                  <c:v>0.51502616987101302</c:v>
                </c:pt>
                <c:pt idx="163">
                  <c:v>0.46294977467147302</c:v>
                </c:pt>
                <c:pt idx="164">
                  <c:v>0.31825897642294299</c:v>
                </c:pt>
                <c:pt idx="165">
                  <c:v>0.49192176440362601</c:v>
                </c:pt>
                <c:pt idx="166">
                  <c:v>0.68654016434421195</c:v>
                </c:pt>
                <c:pt idx="167">
                  <c:v>0.94868104153652499</c:v>
                </c:pt>
                <c:pt idx="168">
                  <c:v>0.65285379746198102</c:v>
                </c:pt>
                <c:pt idx="169">
                  <c:v>1.5177793268519799</c:v>
                </c:pt>
                <c:pt idx="170">
                  <c:v>2.5</c:v>
                </c:pt>
                <c:pt idx="171">
                  <c:v>2.5</c:v>
                </c:pt>
                <c:pt idx="172">
                  <c:v>2.5</c:v>
                </c:pt>
                <c:pt idx="173">
                  <c:v>2.5</c:v>
                </c:pt>
                <c:pt idx="174">
                  <c:v>2.5</c:v>
                </c:pt>
                <c:pt idx="175">
                  <c:v>1.7806754164129499</c:v>
                </c:pt>
                <c:pt idx="176">
                  <c:v>0.90167913988609305</c:v>
                </c:pt>
                <c:pt idx="177">
                  <c:v>5.1585382367359501E-3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3D-41B2-957B-1EC4B6CA8E70}"/>
            </c:ext>
          </c:extLst>
        </c:ser>
        <c:ser>
          <c:idx val="1"/>
          <c:order val="1"/>
          <c:tx>
            <c:strRef>
              <c:f>'Output R'!$J$1</c:f>
              <c:strCache>
                <c:ptCount val="1"/>
                <c:pt idx="0">
                  <c:v>c_b_ccyb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'Output R'!$A$2:$A$370</c:f>
              <c:numCache>
                <c:formatCode>mmm\-yy</c:formatCode>
                <c:ptCount val="36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</c:numCache>
            </c:numRef>
          </c:cat>
          <c:val>
            <c:numRef>
              <c:f>'Output R'!$J$2:$J$370</c:f>
              <c:numCache>
                <c:formatCode>General</c:formatCode>
                <c:ptCount val="3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8.9700714886690694E-2</c:v>
                </c:pt>
                <c:pt idx="45">
                  <c:v>0</c:v>
                </c:pt>
                <c:pt idx="46">
                  <c:v>7.3074357688297495E-2</c:v>
                </c:pt>
                <c:pt idx="47">
                  <c:v>0</c:v>
                </c:pt>
                <c:pt idx="48">
                  <c:v>0.133807763393539</c:v>
                </c:pt>
                <c:pt idx="49">
                  <c:v>0.176258091990632</c:v>
                </c:pt>
                <c:pt idx="50">
                  <c:v>0.19393484389670901</c:v>
                </c:pt>
                <c:pt idx="51">
                  <c:v>0.14344195820959199</c:v>
                </c:pt>
                <c:pt idx="52">
                  <c:v>0.62511453090969704</c:v>
                </c:pt>
                <c:pt idx="53">
                  <c:v>0.53744282051008396</c:v>
                </c:pt>
                <c:pt idx="54">
                  <c:v>0.51861381225635705</c:v>
                </c:pt>
                <c:pt idx="55">
                  <c:v>0.439017953135387</c:v>
                </c:pt>
                <c:pt idx="56">
                  <c:v>0.51298410558202101</c:v>
                </c:pt>
                <c:pt idx="57">
                  <c:v>0.400559238395928</c:v>
                </c:pt>
                <c:pt idx="58">
                  <c:v>0.31117185521098001</c:v>
                </c:pt>
                <c:pt idx="59">
                  <c:v>7.8866253545726406E-2</c:v>
                </c:pt>
                <c:pt idx="60">
                  <c:v>0.315294976229816</c:v>
                </c:pt>
                <c:pt idx="61">
                  <c:v>0.64775265315495101</c:v>
                </c:pt>
                <c:pt idx="62">
                  <c:v>0.69946598042645902</c:v>
                </c:pt>
                <c:pt idx="63">
                  <c:v>0.59488039022692296</c:v>
                </c:pt>
                <c:pt idx="64">
                  <c:v>0.40459302098404598</c:v>
                </c:pt>
                <c:pt idx="65">
                  <c:v>5.9999404442512498E-2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5.7304293548804397E-2</c:v>
                </c:pt>
                <c:pt idx="114">
                  <c:v>0.43224055141837098</c:v>
                </c:pt>
                <c:pt idx="115">
                  <c:v>0.39067836205691903</c:v>
                </c:pt>
                <c:pt idx="116">
                  <c:v>0.53288110967270197</c:v>
                </c:pt>
                <c:pt idx="117">
                  <c:v>0.57937017470140295</c:v>
                </c:pt>
                <c:pt idx="118">
                  <c:v>0.87272130510259305</c:v>
                </c:pt>
                <c:pt idx="119">
                  <c:v>1.1298345401657199</c:v>
                </c:pt>
                <c:pt idx="120">
                  <c:v>1.40588641916366</c:v>
                </c:pt>
                <c:pt idx="121">
                  <c:v>1.5584227988413799</c:v>
                </c:pt>
                <c:pt idx="122">
                  <c:v>1.7823044673764299</c:v>
                </c:pt>
                <c:pt idx="123">
                  <c:v>1.9567683478475899</c:v>
                </c:pt>
                <c:pt idx="124">
                  <c:v>2.1846562565119898</c:v>
                </c:pt>
                <c:pt idx="125">
                  <c:v>2.3855319520495399</c:v>
                </c:pt>
                <c:pt idx="126">
                  <c:v>2.3088123017313702</c:v>
                </c:pt>
                <c:pt idx="127">
                  <c:v>2.2355866248143399</c:v>
                </c:pt>
                <c:pt idx="128">
                  <c:v>2.3382939559384899</c:v>
                </c:pt>
                <c:pt idx="129">
                  <c:v>2.0371653149087998</c:v>
                </c:pt>
                <c:pt idx="130">
                  <c:v>1.8370280797377001</c:v>
                </c:pt>
                <c:pt idx="131">
                  <c:v>1.5013452412650701</c:v>
                </c:pt>
                <c:pt idx="132">
                  <c:v>1.5175496147124601</c:v>
                </c:pt>
                <c:pt idx="133">
                  <c:v>1.27872110550789</c:v>
                </c:pt>
                <c:pt idx="134">
                  <c:v>1.3804627814888299</c:v>
                </c:pt>
                <c:pt idx="135">
                  <c:v>1.2705466948676201</c:v>
                </c:pt>
                <c:pt idx="136">
                  <c:v>1.09301074510547</c:v>
                </c:pt>
                <c:pt idx="137">
                  <c:v>0.82114282285773699</c:v>
                </c:pt>
                <c:pt idx="138">
                  <c:v>0.602326889745748</c:v>
                </c:pt>
                <c:pt idx="139">
                  <c:v>0.31015676072149301</c:v>
                </c:pt>
                <c:pt idx="140">
                  <c:v>0.23090388722111699</c:v>
                </c:pt>
                <c:pt idx="141">
                  <c:v>1.19591005065409E-2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1.5967636441556601E-2</c:v>
                </c:pt>
                <c:pt idx="170">
                  <c:v>1.9814761158617</c:v>
                </c:pt>
                <c:pt idx="171">
                  <c:v>2.5</c:v>
                </c:pt>
                <c:pt idx="172">
                  <c:v>2.5</c:v>
                </c:pt>
                <c:pt idx="173">
                  <c:v>2.4635688122739001</c:v>
                </c:pt>
                <c:pt idx="174">
                  <c:v>1.27259092713163</c:v>
                </c:pt>
                <c:pt idx="175">
                  <c:v>0.80462348425645303</c:v>
                </c:pt>
                <c:pt idx="176">
                  <c:v>0.44069691565301</c:v>
                </c:pt>
                <c:pt idx="177">
                  <c:v>7.8802353109713605E-2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3D-41B2-957B-1EC4B6CA8E70}"/>
            </c:ext>
          </c:extLst>
        </c:ser>
        <c:ser>
          <c:idx val="2"/>
          <c:order val="2"/>
          <c:tx>
            <c:strRef>
              <c:f>'Output R'!$K$1</c:f>
              <c:strCache>
                <c:ptCount val="1"/>
                <c:pt idx="0">
                  <c:v>c_hcsf_ccyb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'Output R'!$A$2:$A$370</c:f>
              <c:numCache>
                <c:formatCode>mmm\-yy</c:formatCode>
                <c:ptCount val="36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</c:numCache>
            </c:numRef>
          </c:cat>
          <c:val>
            <c:numRef>
              <c:f>'Output R'!$K$2:$K$370</c:f>
              <c:numCache>
                <c:formatCode>General</c:formatCode>
                <c:ptCount val="369"/>
                <c:pt idx="0">
                  <c:v>5.1278474923678499E-2</c:v>
                </c:pt>
                <c:pt idx="1">
                  <c:v>0.37733706037077902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0.396115127861983</c:v>
                </c:pt>
                <c:pt idx="45">
                  <c:v>8.4305562517212704E-2</c:v>
                </c:pt>
                <c:pt idx="46">
                  <c:v>0.41759565656763797</c:v>
                </c:pt>
                <c:pt idx="47">
                  <c:v>0.29577470915917597</c:v>
                </c:pt>
                <c:pt idx="48">
                  <c:v>0.60710720574131705</c:v>
                </c:pt>
                <c:pt idx="49">
                  <c:v>0.64011095883700997</c:v>
                </c:pt>
                <c:pt idx="50">
                  <c:v>0.63780173160548204</c:v>
                </c:pt>
                <c:pt idx="51">
                  <c:v>0.54750448197539303</c:v>
                </c:pt>
                <c:pt idx="52">
                  <c:v>1.2360419921216801</c:v>
                </c:pt>
                <c:pt idx="53">
                  <c:v>1.13446724542165</c:v>
                </c:pt>
                <c:pt idx="54">
                  <c:v>1.1093763837458599</c:v>
                </c:pt>
                <c:pt idx="55">
                  <c:v>0.98925936055505803</c:v>
                </c:pt>
                <c:pt idx="56">
                  <c:v>1.11215613118098</c:v>
                </c:pt>
                <c:pt idx="57">
                  <c:v>1.0194889256036399</c:v>
                </c:pt>
                <c:pt idx="58">
                  <c:v>0.90039742493837904</c:v>
                </c:pt>
                <c:pt idx="59">
                  <c:v>0.58978801599692599</c:v>
                </c:pt>
                <c:pt idx="60">
                  <c:v>0.94714163212458402</c:v>
                </c:pt>
                <c:pt idx="61">
                  <c:v>1.3239572480561701</c:v>
                </c:pt>
                <c:pt idx="62">
                  <c:v>1.4262448132843899</c:v>
                </c:pt>
                <c:pt idx="63">
                  <c:v>1.27958058947794</c:v>
                </c:pt>
                <c:pt idx="64">
                  <c:v>0.91488638817156298</c:v>
                </c:pt>
                <c:pt idx="65">
                  <c:v>0.46043006960499799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1.1094015915223399E-2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4.6162218048557697E-2</c:v>
                </c:pt>
                <c:pt idx="118">
                  <c:v>0.47245845103144002</c:v>
                </c:pt>
                <c:pt idx="119">
                  <c:v>0.42121769054980301</c:v>
                </c:pt>
                <c:pt idx="120">
                  <c:v>0.234318086589899</c:v>
                </c:pt>
                <c:pt idx="121">
                  <c:v>0.29531101764539303</c:v>
                </c:pt>
                <c:pt idx="122">
                  <c:v>0.67864177890685995</c:v>
                </c:pt>
                <c:pt idx="123">
                  <c:v>0.97077681650506098</c:v>
                </c:pt>
                <c:pt idx="124">
                  <c:v>1.24013062029301</c:v>
                </c:pt>
                <c:pt idx="125">
                  <c:v>1.53477110274634</c:v>
                </c:pt>
                <c:pt idx="126">
                  <c:v>2.0325844651744398</c:v>
                </c:pt>
                <c:pt idx="127">
                  <c:v>2.3319738134452299</c:v>
                </c:pt>
                <c:pt idx="128">
                  <c:v>2.5</c:v>
                </c:pt>
                <c:pt idx="129">
                  <c:v>2.2646015106519002</c:v>
                </c:pt>
                <c:pt idx="130">
                  <c:v>1.83312798437958</c:v>
                </c:pt>
                <c:pt idx="131">
                  <c:v>1.63095601843918</c:v>
                </c:pt>
                <c:pt idx="132">
                  <c:v>1.7698960413442899</c:v>
                </c:pt>
                <c:pt idx="133">
                  <c:v>1.3845116240372</c:v>
                </c:pt>
                <c:pt idx="134">
                  <c:v>1.74914722539613</c:v>
                </c:pt>
                <c:pt idx="135">
                  <c:v>1.8492806452724599</c:v>
                </c:pt>
                <c:pt idx="136">
                  <c:v>1.6820120928419999</c:v>
                </c:pt>
                <c:pt idx="137">
                  <c:v>1.7836365292647101</c:v>
                </c:pt>
                <c:pt idx="138">
                  <c:v>1.96172839485662</c:v>
                </c:pt>
                <c:pt idx="139">
                  <c:v>1.7740005060386099</c:v>
                </c:pt>
                <c:pt idx="140">
                  <c:v>1.5144521212353099</c:v>
                </c:pt>
                <c:pt idx="141">
                  <c:v>1.21966398604174</c:v>
                </c:pt>
                <c:pt idx="142">
                  <c:v>0.64386486154931699</c:v>
                </c:pt>
                <c:pt idx="143">
                  <c:v>0.55444269575552196</c:v>
                </c:pt>
                <c:pt idx="144">
                  <c:v>0.13969642628112999</c:v>
                </c:pt>
                <c:pt idx="145">
                  <c:v>1.8869216977925901E-2</c:v>
                </c:pt>
                <c:pt idx="146">
                  <c:v>0.183005318923043</c:v>
                </c:pt>
                <c:pt idx="147">
                  <c:v>0.162399134616355</c:v>
                </c:pt>
                <c:pt idx="148">
                  <c:v>1.5305146606050301E-2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2.5</c:v>
                </c:pt>
                <c:pt idx="171">
                  <c:v>2.5</c:v>
                </c:pt>
                <c:pt idx="172">
                  <c:v>2.5</c:v>
                </c:pt>
                <c:pt idx="173">
                  <c:v>2.5</c:v>
                </c:pt>
                <c:pt idx="174">
                  <c:v>0.97474183922928204</c:v>
                </c:pt>
                <c:pt idx="175">
                  <c:v>0.20103404399473701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3D-41B2-957B-1EC4B6CA8E70}"/>
            </c:ext>
          </c:extLst>
        </c:ser>
        <c:ser>
          <c:idx val="3"/>
          <c:order val="3"/>
          <c:tx>
            <c:strRef>
              <c:f>'Output R'!$L$1</c:f>
              <c:strCache>
                <c:ptCount val="1"/>
                <c:pt idx="0">
                  <c:v>c_hcsf_net_ccyb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'Output R'!$A$2:$A$370</c:f>
              <c:numCache>
                <c:formatCode>mmm\-yy</c:formatCode>
                <c:ptCount val="36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</c:numCache>
            </c:numRef>
          </c:cat>
          <c:val>
            <c:numRef>
              <c:f>'Output R'!$L$2:$L$370</c:f>
              <c:numCache>
                <c:formatCode>General</c:formatCode>
                <c:ptCount val="369"/>
                <c:pt idx="0">
                  <c:v>0</c:v>
                </c:pt>
                <c:pt idx="1">
                  <c:v>4.06108711631867E-2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0.146725543031858</c:v>
                </c:pt>
                <c:pt idx="45">
                  <c:v>0</c:v>
                </c:pt>
                <c:pt idx="46">
                  <c:v>0.137191014833041</c:v>
                </c:pt>
                <c:pt idx="47">
                  <c:v>2.2241493891227E-2</c:v>
                </c:pt>
                <c:pt idx="48">
                  <c:v>0.221890497815246</c:v>
                </c:pt>
                <c:pt idx="49">
                  <c:v>0.262582784617577</c:v>
                </c:pt>
                <c:pt idx="50">
                  <c:v>0.27654007367408401</c:v>
                </c:pt>
                <c:pt idx="51">
                  <c:v>0.21863945219792599</c:v>
                </c:pt>
                <c:pt idx="52">
                  <c:v>0.73881033635990501</c:v>
                </c:pt>
                <c:pt idx="53">
                  <c:v>0.64855122072687199</c:v>
                </c:pt>
                <c:pt idx="54">
                  <c:v>0.62855685895143198</c:v>
                </c:pt>
                <c:pt idx="55">
                  <c:v>0.54141986495078798</c:v>
                </c:pt>
                <c:pt idx="56">
                  <c:v>0.62449218203771395</c:v>
                </c:pt>
                <c:pt idx="57">
                  <c:v>0.51574428698504005</c:v>
                </c:pt>
                <c:pt idx="58">
                  <c:v>0.42082886033089201</c:v>
                </c:pt>
                <c:pt idx="59">
                  <c:v>0.17395063752266299</c:v>
                </c:pt>
                <c:pt idx="60">
                  <c:v>0.432883919310659</c:v>
                </c:pt>
                <c:pt idx="61">
                  <c:v>0.77359676877860895</c:v>
                </c:pt>
                <c:pt idx="62">
                  <c:v>0.83472214426302604</c:v>
                </c:pt>
                <c:pt idx="63">
                  <c:v>0.72230556848184702</c:v>
                </c:pt>
                <c:pt idx="64">
                  <c:v>0.49956045833445101</c:v>
                </c:pt>
                <c:pt idx="65">
                  <c:v>0.13452099643691801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0.31921244984319502</c:v>
                </c:pt>
                <c:pt idx="123">
                  <c:v>0.55844798187292699</c:v>
                </c:pt>
                <c:pt idx="124">
                  <c:v>0.652647671055548</c:v>
                </c:pt>
                <c:pt idx="125">
                  <c:v>0.98472329019446403</c:v>
                </c:pt>
                <c:pt idx="126">
                  <c:v>1.2099070272715799</c:v>
                </c:pt>
                <c:pt idx="127">
                  <c:v>1.48452603527178</c:v>
                </c:pt>
                <c:pt idx="128">
                  <c:v>1.3870068442483601</c:v>
                </c:pt>
                <c:pt idx="129">
                  <c:v>1.6245495464519699</c:v>
                </c:pt>
                <c:pt idx="130">
                  <c:v>1.45860341733781</c:v>
                </c:pt>
                <c:pt idx="131">
                  <c:v>1.10626840525869</c:v>
                </c:pt>
                <c:pt idx="132">
                  <c:v>0.935745368109413</c:v>
                </c:pt>
                <c:pt idx="133">
                  <c:v>0.682672415606281</c:v>
                </c:pt>
                <c:pt idx="134">
                  <c:v>1.12138077603932</c:v>
                </c:pt>
                <c:pt idx="135">
                  <c:v>1.4234615932578101</c:v>
                </c:pt>
                <c:pt idx="136">
                  <c:v>1.3373355897889001</c:v>
                </c:pt>
                <c:pt idx="137">
                  <c:v>1.6350007936708999</c:v>
                </c:pt>
                <c:pt idx="138">
                  <c:v>1.90216381185415</c:v>
                </c:pt>
                <c:pt idx="139">
                  <c:v>1.7784993712827799</c:v>
                </c:pt>
                <c:pt idx="140">
                  <c:v>1.31269916986067</c:v>
                </c:pt>
                <c:pt idx="141">
                  <c:v>1.21185849049313</c:v>
                </c:pt>
                <c:pt idx="142">
                  <c:v>0.82424338230045202</c:v>
                </c:pt>
                <c:pt idx="143">
                  <c:v>0.74935894777123602</c:v>
                </c:pt>
                <c:pt idx="144">
                  <c:v>3.8712096542583799E-2</c:v>
                </c:pt>
                <c:pt idx="145">
                  <c:v>0.30535194369760899</c:v>
                </c:pt>
                <c:pt idx="146">
                  <c:v>0.41751917133171301</c:v>
                </c:pt>
                <c:pt idx="147">
                  <c:v>0.60972778367230995</c:v>
                </c:pt>
                <c:pt idx="148">
                  <c:v>0.17749557082137299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0.75289153635635597</c:v>
                </c:pt>
                <c:pt idx="171">
                  <c:v>1.05371210424716</c:v>
                </c:pt>
                <c:pt idx="172">
                  <c:v>1.18098628486715</c:v>
                </c:pt>
                <c:pt idx="173">
                  <c:v>0.46608767500452802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3D-41B2-957B-1EC4B6CA8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2788528"/>
        <c:axId val="352790608"/>
      </c:lineChart>
      <c:dateAx>
        <c:axId val="352788528"/>
        <c:scaling>
          <c:orientation val="minMax"/>
          <c:min val="36526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2790608"/>
        <c:crosses val="autoZero"/>
        <c:auto val="1"/>
        <c:lblOffset val="100"/>
        <c:baseTimeUnit val="months"/>
        <c:majorUnit val="12"/>
        <c:majorTimeUnit val="months"/>
      </c:dateAx>
      <c:valAx>
        <c:axId val="35279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278852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 b="1">
          <a:solidFill>
            <a:sysClr val="windowText" lastClr="000000"/>
          </a:solidFill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Contributions au gap HCSF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'Output R'!$F$1</c:f>
              <c:strCache>
                <c:ptCount val="1"/>
                <c:pt idx="0">
                  <c:v>Ménages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'Output R'!$A$2:$A$190</c:f>
              <c:numCache>
                <c:formatCode>mmm\-yy</c:formatCode>
                <c:ptCount val="18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</c:numCache>
            </c:numRef>
          </c:cat>
          <c:val>
            <c:numRef>
              <c:f>'Output R'!$F$2:$F$190</c:f>
              <c:numCache>
                <c:formatCode>General</c:formatCode>
                <c:ptCount val="189"/>
                <c:pt idx="0">
                  <c:v>-0.708981706797849</c:v>
                </c:pt>
                <c:pt idx="1">
                  <c:v>-0.55913972820865399</c:v>
                </c:pt>
                <c:pt idx="2">
                  <c:v>-0.75111084058658095</c:v>
                </c:pt>
                <c:pt idx="3">
                  <c:v>-0.92797536091528399</c:v>
                </c:pt>
                <c:pt idx="4">
                  <c:v>-0.75900824393324495</c:v>
                </c:pt>
                <c:pt idx="5">
                  <c:v>-0.66938938200922704</c:v>
                </c:pt>
                <c:pt idx="6">
                  <c:v>5.1179551115881398E-2</c:v>
                </c:pt>
                <c:pt idx="7">
                  <c:v>0.52057388514339897</c:v>
                </c:pt>
                <c:pt idx="8">
                  <c:v>0.61495603347810701</c:v>
                </c:pt>
                <c:pt idx="9">
                  <c:v>0.82799583950419597</c:v>
                </c:pt>
                <c:pt idx="10">
                  <c:v>0.80533687973531698</c:v>
                </c:pt>
                <c:pt idx="11">
                  <c:v>0.67128729530986697</c:v>
                </c:pt>
                <c:pt idx="12">
                  <c:v>0.900086516883984</c:v>
                </c:pt>
                <c:pt idx="13">
                  <c:v>0.88570006387292799</c:v>
                </c:pt>
                <c:pt idx="14">
                  <c:v>0.60962963196137898</c:v>
                </c:pt>
                <c:pt idx="15">
                  <c:v>0.36216646476902198</c:v>
                </c:pt>
                <c:pt idx="16">
                  <c:v>3.1453299786124399E-2</c:v>
                </c:pt>
                <c:pt idx="17">
                  <c:v>-0.24887853022074399</c:v>
                </c:pt>
                <c:pt idx="18">
                  <c:v>-0.318604612929973</c:v>
                </c:pt>
                <c:pt idx="19">
                  <c:v>-0.26129080619237299</c:v>
                </c:pt>
                <c:pt idx="20">
                  <c:v>7.3818860159201805E-2</c:v>
                </c:pt>
                <c:pt idx="21">
                  <c:v>0.239580086158238</c:v>
                </c:pt>
                <c:pt idx="22">
                  <c:v>0.20194767753680701</c:v>
                </c:pt>
                <c:pt idx="23">
                  <c:v>0.19805827635821099</c:v>
                </c:pt>
                <c:pt idx="24">
                  <c:v>-0.30937213204858899</c:v>
                </c:pt>
                <c:pt idx="25">
                  <c:v>-0.36742634636704802</c:v>
                </c:pt>
                <c:pt idx="26">
                  <c:v>-0.18450992363171101</c:v>
                </c:pt>
                <c:pt idx="27">
                  <c:v>-0.21236016796704599</c:v>
                </c:pt>
                <c:pt idx="28">
                  <c:v>2.2237527504412501E-2</c:v>
                </c:pt>
                <c:pt idx="29">
                  <c:v>0.41011210430832201</c:v>
                </c:pt>
                <c:pt idx="30">
                  <c:v>0.28896042364533298</c:v>
                </c:pt>
                <c:pt idx="31">
                  <c:v>0.18911155795065299</c:v>
                </c:pt>
                <c:pt idx="32">
                  <c:v>0.23677670284487901</c:v>
                </c:pt>
                <c:pt idx="33">
                  <c:v>-0.35315228079590499</c:v>
                </c:pt>
                <c:pt idx="34">
                  <c:v>-0.22600225749345901</c:v>
                </c:pt>
                <c:pt idx="35">
                  <c:v>-0.32702691663709799</c:v>
                </c:pt>
                <c:pt idx="36">
                  <c:v>-0.62244098189559605</c:v>
                </c:pt>
                <c:pt idx="37">
                  <c:v>-0.35193242680951797</c:v>
                </c:pt>
                <c:pt idx="38">
                  <c:v>-0.15016404749510501</c:v>
                </c:pt>
                <c:pt idx="39">
                  <c:v>0.167798014908739</c:v>
                </c:pt>
                <c:pt idx="40">
                  <c:v>0.67352681567982398</c:v>
                </c:pt>
                <c:pt idx="41">
                  <c:v>0.550397716816317</c:v>
                </c:pt>
                <c:pt idx="42">
                  <c:v>0.61645127540011302</c:v>
                </c:pt>
                <c:pt idx="43">
                  <c:v>0.35482888822567099</c:v>
                </c:pt>
                <c:pt idx="44">
                  <c:v>0.47789712877204399</c:v>
                </c:pt>
                <c:pt idx="45">
                  <c:v>-2.8957299325365601E-4</c:v>
                </c:pt>
                <c:pt idx="46">
                  <c:v>0.19970047064556801</c:v>
                </c:pt>
                <c:pt idx="47">
                  <c:v>-0.113262801565066</c:v>
                </c:pt>
                <c:pt idx="48">
                  <c:v>-0.366290085727698</c:v>
                </c:pt>
                <c:pt idx="49">
                  <c:v>-0.17467415675523201</c:v>
                </c:pt>
                <c:pt idx="50">
                  <c:v>-1.06472845872812E-4</c:v>
                </c:pt>
                <c:pt idx="51">
                  <c:v>7.3330930908907896E-2</c:v>
                </c:pt>
                <c:pt idx="52">
                  <c:v>0.39330230066557198</c:v>
                </c:pt>
                <c:pt idx="53">
                  <c:v>0.194839732412594</c:v>
                </c:pt>
                <c:pt idx="54">
                  <c:v>0.171558410356624</c:v>
                </c:pt>
                <c:pt idx="55">
                  <c:v>0.156098461268487</c:v>
                </c:pt>
                <c:pt idx="56">
                  <c:v>0.103891888275763</c:v>
                </c:pt>
                <c:pt idx="57">
                  <c:v>-0.37252172235368802</c:v>
                </c:pt>
                <c:pt idx="58">
                  <c:v>-0.48318102026373599</c:v>
                </c:pt>
                <c:pt idx="59">
                  <c:v>-0.76423423808638002</c:v>
                </c:pt>
                <c:pt idx="60">
                  <c:v>-0.72163228348809105</c:v>
                </c:pt>
                <c:pt idx="61">
                  <c:v>8.0332230936670093E-2</c:v>
                </c:pt>
                <c:pt idx="62">
                  <c:v>-5.2787713213898801E-2</c:v>
                </c:pt>
                <c:pt idx="63">
                  <c:v>-0.13901912311122</c:v>
                </c:pt>
                <c:pt idx="64">
                  <c:v>0.28180161606533899</c:v>
                </c:pt>
                <c:pt idx="65">
                  <c:v>-0.17224186533941899</c:v>
                </c:pt>
                <c:pt idx="66">
                  <c:v>-0.420242203016296</c:v>
                </c:pt>
                <c:pt idx="67">
                  <c:v>-0.95831569959209995</c:v>
                </c:pt>
                <c:pt idx="68">
                  <c:v>-1.32354925015877</c:v>
                </c:pt>
                <c:pt idx="69">
                  <c:v>-1.75258733007297</c:v>
                </c:pt>
                <c:pt idx="70">
                  <c:v>-1.90274218214539</c:v>
                </c:pt>
                <c:pt idx="71">
                  <c:v>-2.2568423726882099</c:v>
                </c:pt>
                <c:pt idx="72">
                  <c:v>-2.3744558896644898</c:v>
                </c:pt>
                <c:pt idx="73">
                  <c:v>-2.5549883975516798</c:v>
                </c:pt>
                <c:pt idx="74">
                  <c:v>-2.7887737481632602</c:v>
                </c:pt>
                <c:pt idx="75">
                  <c:v>-2.5708767516713</c:v>
                </c:pt>
                <c:pt idx="76">
                  <c:v>-2.4455009333812199</c:v>
                </c:pt>
                <c:pt idx="77">
                  <c:v>-2.6740980173945399</c:v>
                </c:pt>
                <c:pt idx="78">
                  <c:v>-2.5510248696754201</c:v>
                </c:pt>
                <c:pt idx="79">
                  <c:v>-2.6149413559968799</c:v>
                </c:pt>
                <c:pt idx="80">
                  <c:v>-2.4631173385791598</c:v>
                </c:pt>
                <c:pt idx="81">
                  <c:v>-3.26188997669085</c:v>
                </c:pt>
                <c:pt idx="82">
                  <c:v>-3.0573984945451298</c:v>
                </c:pt>
                <c:pt idx="83">
                  <c:v>-2.94549201620779</c:v>
                </c:pt>
                <c:pt idx="84">
                  <c:v>-3.0189202172760399</c:v>
                </c:pt>
                <c:pt idx="85">
                  <c:v>-2.8597337496684001</c:v>
                </c:pt>
                <c:pt idx="86">
                  <c:v>-2.2450477408356502</c:v>
                </c:pt>
                <c:pt idx="87">
                  <c:v>-1.8525491802554901</c:v>
                </c:pt>
                <c:pt idx="88">
                  <c:v>-1.6322710534448901</c:v>
                </c:pt>
                <c:pt idx="89">
                  <c:v>-1.7176709346754999</c:v>
                </c:pt>
                <c:pt idx="90">
                  <c:v>-1.7047584985618001</c:v>
                </c:pt>
                <c:pt idx="91">
                  <c:v>-1.63724473138754</c:v>
                </c:pt>
                <c:pt idx="92">
                  <c:v>-1.7498151442155401</c:v>
                </c:pt>
                <c:pt idx="93">
                  <c:v>-1.77225089886734</c:v>
                </c:pt>
                <c:pt idx="94">
                  <c:v>-1.60625519143533</c:v>
                </c:pt>
                <c:pt idx="95">
                  <c:v>-1.5516696647137</c:v>
                </c:pt>
                <c:pt idx="96">
                  <c:v>-1.4726396424535499</c:v>
                </c:pt>
                <c:pt idx="97">
                  <c:v>-1.39499052684953</c:v>
                </c:pt>
                <c:pt idx="98">
                  <c:v>-1.1962466491675401</c:v>
                </c:pt>
                <c:pt idx="99">
                  <c:v>-0.99765011502861001</c:v>
                </c:pt>
                <c:pt idx="100">
                  <c:v>-0.90485094587188397</c:v>
                </c:pt>
                <c:pt idx="101">
                  <c:v>-0.88517718923191302</c:v>
                </c:pt>
                <c:pt idx="102">
                  <c:v>-0.64412363256581195</c:v>
                </c:pt>
                <c:pt idx="103">
                  <c:v>-0.19221983545799001</c:v>
                </c:pt>
                <c:pt idx="104">
                  <c:v>9.3516165640109006E-2</c:v>
                </c:pt>
                <c:pt idx="105">
                  <c:v>0.19818682523293199</c:v>
                </c:pt>
                <c:pt idx="106">
                  <c:v>0.87067332695093202</c:v>
                </c:pt>
                <c:pt idx="107">
                  <c:v>1.0968566548334999</c:v>
                </c:pt>
                <c:pt idx="108">
                  <c:v>1.18584194583507</c:v>
                </c:pt>
                <c:pt idx="109">
                  <c:v>1.3737030223715401</c:v>
                </c:pt>
                <c:pt idx="110">
                  <c:v>2.0318717361336001</c:v>
                </c:pt>
                <c:pt idx="111">
                  <c:v>2.39481631184095</c:v>
                </c:pt>
                <c:pt idx="112">
                  <c:v>2.94786227768815</c:v>
                </c:pt>
                <c:pt idx="113">
                  <c:v>3.11109463846722</c:v>
                </c:pt>
                <c:pt idx="114">
                  <c:v>3.6663908907555598</c:v>
                </c:pt>
                <c:pt idx="115">
                  <c:v>3.7979264896553899</c:v>
                </c:pt>
                <c:pt idx="116">
                  <c:v>3.9455998278957001</c:v>
                </c:pt>
                <c:pt idx="117">
                  <c:v>3.9700046802709399</c:v>
                </c:pt>
                <c:pt idx="118">
                  <c:v>4.3510824361615503</c:v>
                </c:pt>
                <c:pt idx="119">
                  <c:v>4.5376349136796996</c:v>
                </c:pt>
                <c:pt idx="120">
                  <c:v>4.7231756725218803</c:v>
                </c:pt>
                <c:pt idx="121">
                  <c:v>4.5628342175874703</c:v>
                </c:pt>
                <c:pt idx="122">
                  <c:v>4.6767479620776102</c:v>
                </c:pt>
                <c:pt idx="123">
                  <c:v>4.8890045347072499</c:v>
                </c:pt>
                <c:pt idx="124">
                  <c:v>5.0090615513530299</c:v>
                </c:pt>
                <c:pt idx="125">
                  <c:v>5.4909849529271204</c:v>
                </c:pt>
                <c:pt idx="126">
                  <c:v>5.6360902636575601</c:v>
                </c:pt>
                <c:pt idx="127">
                  <c:v>5.9293736912320396</c:v>
                </c:pt>
                <c:pt idx="128">
                  <c:v>6.4908932109278403</c:v>
                </c:pt>
                <c:pt idx="129">
                  <c:v>5.8402433593746101</c:v>
                </c:pt>
                <c:pt idx="130">
                  <c:v>5.4774389559592098</c:v>
                </c:pt>
                <c:pt idx="131">
                  <c:v>4.9859992959506796</c:v>
                </c:pt>
                <c:pt idx="132">
                  <c:v>5.2381416138148502</c:v>
                </c:pt>
                <c:pt idx="133">
                  <c:v>4.7569416751519</c:v>
                </c:pt>
                <c:pt idx="134">
                  <c:v>4.77854333175768</c:v>
                </c:pt>
                <c:pt idx="135">
                  <c:v>4.3744761098198603</c:v>
                </c:pt>
                <c:pt idx="136">
                  <c:v>4.0394968866325396</c:v>
                </c:pt>
                <c:pt idx="137">
                  <c:v>3.5275492139505502</c:v>
                </c:pt>
                <c:pt idx="138">
                  <c:v>3.1352617771620102</c:v>
                </c:pt>
                <c:pt idx="139">
                  <c:v>2.5568780690926598</c:v>
                </c:pt>
                <c:pt idx="140">
                  <c:v>2.4710980622380401</c:v>
                </c:pt>
                <c:pt idx="141">
                  <c:v>2.01218088625345</c:v>
                </c:pt>
                <c:pt idx="142">
                  <c:v>1.57389595039456</c:v>
                </c:pt>
                <c:pt idx="143">
                  <c:v>1.3118509852184199</c:v>
                </c:pt>
                <c:pt idx="144">
                  <c:v>0.86420275025455195</c:v>
                </c:pt>
                <c:pt idx="145">
                  <c:v>0.63381682177426202</c:v>
                </c:pt>
                <c:pt idx="146">
                  <c:v>0.39057471539857402</c:v>
                </c:pt>
                <c:pt idx="147">
                  <c:v>-8.8111564438506807E-3</c:v>
                </c:pt>
                <c:pt idx="148">
                  <c:v>-0.18837591319399</c:v>
                </c:pt>
                <c:pt idx="149">
                  <c:v>-0.68155389589779602</c:v>
                </c:pt>
                <c:pt idx="150">
                  <c:v>-0.80571962520032303</c:v>
                </c:pt>
                <c:pt idx="151">
                  <c:v>-0.81506491799476899</c:v>
                </c:pt>
                <c:pt idx="152">
                  <c:v>-0.972801397317275</c:v>
                </c:pt>
                <c:pt idx="153">
                  <c:v>-1.60822221033456</c:v>
                </c:pt>
                <c:pt idx="154">
                  <c:v>-1.50517138387673</c:v>
                </c:pt>
                <c:pt idx="155">
                  <c:v>-1.29769183310284</c:v>
                </c:pt>
                <c:pt idx="156">
                  <c:v>-0.80135210355718001</c:v>
                </c:pt>
                <c:pt idx="157">
                  <c:v>-0.93156002494315104</c:v>
                </c:pt>
                <c:pt idx="158">
                  <c:v>-0.69152095569959904</c:v>
                </c:pt>
                <c:pt idx="159">
                  <c:v>-0.84139687661955898</c:v>
                </c:pt>
                <c:pt idx="160">
                  <c:v>-0.78601201611053095</c:v>
                </c:pt>
                <c:pt idx="161">
                  <c:v>-1.01922569866876</c:v>
                </c:pt>
                <c:pt idx="162">
                  <c:v>-0.82544738220458302</c:v>
                </c:pt>
                <c:pt idx="163">
                  <c:v>-0.75996921656243399</c:v>
                </c:pt>
                <c:pt idx="164">
                  <c:v>-0.504643337447232</c:v>
                </c:pt>
                <c:pt idx="165">
                  <c:v>-1.3077099978601301</c:v>
                </c:pt>
                <c:pt idx="166">
                  <c:v>-0.97528527425933398</c:v>
                </c:pt>
                <c:pt idx="167">
                  <c:v>-0.53176383183363296</c:v>
                </c:pt>
                <c:pt idx="168">
                  <c:v>-0.215281465310036</c:v>
                </c:pt>
                <c:pt idx="169">
                  <c:v>0.12583752829997799</c:v>
                </c:pt>
                <c:pt idx="170">
                  <c:v>2.27869737079501</c:v>
                </c:pt>
                <c:pt idx="171">
                  <c:v>3.1583320764288501</c:v>
                </c:pt>
                <c:pt idx="172">
                  <c:v>3.8621611551731698</c:v>
                </c:pt>
                <c:pt idx="173">
                  <c:v>3.19429571074757</c:v>
                </c:pt>
                <c:pt idx="174">
                  <c:v>1.5387179629085499</c:v>
                </c:pt>
                <c:pt idx="175">
                  <c:v>1.0226678806980301</c:v>
                </c:pt>
                <c:pt idx="176">
                  <c:v>0.33377753953602102</c:v>
                </c:pt>
                <c:pt idx="177">
                  <c:v>-0.48529593023814599</c:v>
                </c:pt>
                <c:pt idx="178">
                  <c:v>-0.622635392643207</c:v>
                </c:pt>
                <c:pt idx="179">
                  <c:v>-0.85621583564108805</c:v>
                </c:pt>
                <c:pt idx="180">
                  <c:v>-1.5071869151034301</c:v>
                </c:pt>
                <c:pt idx="181">
                  <c:v>-2.45973835090938</c:v>
                </c:pt>
                <c:pt idx="182">
                  <c:v>-3.4449734935459002</c:v>
                </c:pt>
                <c:pt idx="183">
                  <c:v>-4.3840131946516099</c:v>
                </c:pt>
                <c:pt idx="184">
                  <c:v>-5.3265999714680996</c:v>
                </c:pt>
                <c:pt idx="185">
                  <c:v>-6.2145669245612796</c:v>
                </c:pt>
                <c:pt idx="186">
                  <c:v>-6.6425883919861199</c:v>
                </c:pt>
                <c:pt idx="187">
                  <c:v>-6.9916444226068997</c:v>
                </c:pt>
                <c:pt idx="188">
                  <c:v>-7.2269871380417996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15-4CBC-9BD3-B759D5FE6789}"/>
            </c:ext>
          </c:extLst>
        </c:ser>
        <c:ser>
          <c:idx val="2"/>
          <c:order val="2"/>
          <c:tx>
            <c:strRef>
              <c:f>'Output R'!$G$1</c:f>
              <c:strCache>
                <c:ptCount val="1"/>
                <c:pt idx="0">
                  <c:v>Entreprises (HCSF)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'Output R'!$A$2:$A$190</c:f>
              <c:numCache>
                <c:formatCode>mmm\-yy</c:formatCode>
                <c:ptCount val="18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</c:numCache>
            </c:numRef>
          </c:cat>
          <c:val>
            <c:numRef>
              <c:f>'Output R'!$G$2:$G$190</c:f>
              <c:numCache>
                <c:formatCode>General</c:formatCode>
                <c:ptCount val="189"/>
                <c:pt idx="0">
                  <c:v>2.8730728265534502</c:v>
                </c:pt>
                <c:pt idx="1">
                  <c:v>3.7666183213950402</c:v>
                </c:pt>
                <c:pt idx="2">
                  <c:v>2.6570227754847102</c:v>
                </c:pt>
                <c:pt idx="3">
                  <c:v>1.0504436249946101</c:v>
                </c:pt>
                <c:pt idx="4">
                  <c:v>1.2505727364735999</c:v>
                </c:pt>
                <c:pt idx="5">
                  <c:v>-3.2065228973312897E-2</c:v>
                </c:pt>
                <c:pt idx="6">
                  <c:v>-0.59079092702368896</c:v>
                </c:pt>
                <c:pt idx="7">
                  <c:v>-1.69238728013297</c:v>
                </c:pt>
                <c:pt idx="8">
                  <c:v>-0.74949586456994199</c:v>
                </c:pt>
                <c:pt idx="9">
                  <c:v>-2.2415763478380999</c:v>
                </c:pt>
                <c:pt idx="10">
                  <c:v>-1.37304569468647</c:v>
                </c:pt>
                <c:pt idx="11">
                  <c:v>-1.5895909182147101</c:v>
                </c:pt>
                <c:pt idx="12">
                  <c:v>-0.81397268089959096</c:v>
                </c:pt>
                <c:pt idx="13">
                  <c:v>-1.1032570231521699</c:v>
                </c:pt>
                <c:pt idx="14">
                  <c:v>-1.3263925593066901</c:v>
                </c:pt>
                <c:pt idx="15">
                  <c:v>-1.3972735080190399</c:v>
                </c:pt>
                <c:pt idx="16">
                  <c:v>-0.70143883307393795</c:v>
                </c:pt>
                <c:pt idx="17">
                  <c:v>-1.4363248690880199</c:v>
                </c:pt>
                <c:pt idx="18">
                  <c:v>-1.4439490763701299</c:v>
                </c:pt>
                <c:pt idx="19">
                  <c:v>-1.70565490479031</c:v>
                </c:pt>
                <c:pt idx="20">
                  <c:v>-0.21830357770161199</c:v>
                </c:pt>
                <c:pt idx="21">
                  <c:v>-0.56135237034443397</c:v>
                </c:pt>
                <c:pt idx="22">
                  <c:v>-0.19715111101616001</c:v>
                </c:pt>
                <c:pt idx="23">
                  <c:v>-0.65903149123395899</c:v>
                </c:pt>
                <c:pt idx="24">
                  <c:v>1.05568091938431</c:v>
                </c:pt>
                <c:pt idx="25">
                  <c:v>0.35429688731305797</c:v>
                </c:pt>
                <c:pt idx="26">
                  <c:v>0.77806371501944005</c:v>
                </c:pt>
                <c:pt idx="27">
                  <c:v>0.85144942907098597</c:v>
                </c:pt>
                <c:pt idx="28">
                  <c:v>1.4718069837700301</c:v>
                </c:pt>
                <c:pt idx="29">
                  <c:v>8.7638929479813596E-2</c:v>
                </c:pt>
                <c:pt idx="30">
                  <c:v>0.217576651268754</c:v>
                </c:pt>
                <c:pt idx="31">
                  <c:v>2.6960969532421001E-2</c:v>
                </c:pt>
                <c:pt idx="32">
                  <c:v>1.04353768710387</c:v>
                </c:pt>
                <c:pt idx="33">
                  <c:v>0.58158726258737903</c:v>
                </c:pt>
                <c:pt idx="34">
                  <c:v>0.293618492869893</c:v>
                </c:pt>
                <c:pt idx="35">
                  <c:v>-0.44803488927447199</c:v>
                </c:pt>
                <c:pt idx="36">
                  <c:v>-0.32886381019439298</c:v>
                </c:pt>
                <c:pt idx="37">
                  <c:v>0.68354453666985804</c:v>
                </c:pt>
                <c:pt idx="38">
                  <c:v>0.92835122062345898</c:v>
                </c:pt>
                <c:pt idx="39">
                  <c:v>0.63810899630942697</c:v>
                </c:pt>
                <c:pt idx="40">
                  <c:v>0.74272290955792397</c:v>
                </c:pt>
                <c:pt idx="41">
                  <c:v>0.92064098420391605</c:v>
                </c:pt>
                <c:pt idx="42">
                  <c:v>1.1344534185923201</c:v>
                </c:pt>
                <c:pt idx="43">
                  <c:v>1.4631231356165999</c:v>
                </c:pt>
                <c:pt idx="44">
                  <c:v>2.78967128038629</c:v>
                </c:pt>
                <c:pt idx="45">
                  <c:v>2.2700673730483301</c:v>
                </c:pt>
                <c:pt idx="46">
                  <c:v>3.13660563037087</c:v>
                </c:pt>
                <c:pt idx="47">
                  <c:v>3.0597418708744302</c:v>
                </c:pt>
                <c:pt idx="48">
                  <c:v>4.3090331440999101</c:v>
                </c:pt>
                <c:pt idx="49">
                  <c:v>4.2230292250336596</c:v>
                </c:pt>
                <c:pt idx="50">
                  <c:v>4.0410720139834098</c:v>
                </c:pt>
                <c:pt idx="51">
                  <c:v>3.6786834114123499</c:v>
                </c:pt>
                <c:pt idx="52">
                  <c:v>5.5620320741238203</c:v>
                </c:pt>
                <c:pt idx="53">
                  <c:v>5.4354554529366803</c:v>
                </c:pt>
                <c:pt idx="54">
                  <c:v>5.3784460176301296</c:v>
                </c:pt>
                <c:pt idx="55">
                  <c:v>5.0095314925077004</c:v>
                </c:pt>
                <c:pt idx="56">
                  <c:v>5.4550077315033603</c:v>
                </c:pt>
                <c:pt idx="57">
                  <c:v>5.6348862842853098</c:v>
                </c:pt>
                <c:pt idx="58">
                  <c:v>5.36445278006655</c:v>
                </c:pt>
                <c:pt idx="59">
                  <c:v>4.6515558892765503</c:v>
                </c:pt>
                <c:pt idx="60">
                  <c:v>5.7524855062867699</c:v>
                </c:pt>
                <c:pt idx="61">
                  <c:v>6.1563309628431</c:v>
                </c:pt>
                <c:pt idx="62">
                  <c:v>6.6167711157239504</c:v>
                </c:pt>
                <c:pt idx="63">
                  <c:v>6.2336770094406599</c:v>
                </c:pt>
                <c:pt idx="64">
                  <c:v>4.6458348260836804</c:v>
                </c:pt>
                <c:pt idx="65">
                  <c:v>3.6456180880754201</c:v>
                </c:pt>
                <c:pt idx="66">
                  <c:v>2.1663655214761</c:v>
                </c:pt>
                <c:pt idx="67">
                  <c:v>0.96091199341870304</c:v>
                </c:pt>
                <c:pt idx="68">
                  <c:v>1.19571809654947</c:v>
                </c:pt>
                <c:pt idx="69">
                  <c:v>0.180084692685784</c:v>
                </c:pt>
                <c:pt idx="70">
                  <c:v>0.48536533088834399</c:v>
                </c:pt>
                <c:pt idx="71">
                  <c:v>5.5804375147612703E-2</c:v>
                </c:pt>
                <c:pt idx="72">
                  <c:v>-0.26704497739414201</c:v>
                </c:pt>
                <c:pt idx="73">
                  <c:v>-0.78261061143751098</c:v>
                </c:pt>
                <c:pt idx="74">
                  <c:v>-0.92387387967854395</c:v>
                </c:pt>
                <c:pt idx="75">
                  <c:v>-1.6656953860720101</c:v>
                </c:pt>
                <c:pt idx="76">
                  <c:v>-1.40663557258182</c:v>
                </c:pt>
                <c:pt idx="77">
                  <c:v>-1.0885885627762799</c:v>
                </c:pt>
                <c:pt idx="78">
                  <c:v>-1.1997555591629301</c:v>
                </c:pt>
                <c:pt idx="79">
                  <c:v>-1.6463857175382699</c:v>
                </c:pt>
                <c:pt idx="80">
                  <c:v>-1.9569523000220601</c:v>
                </c:pt>
                <c:pt idx="81">
                  <c:v>-1.70616201751513</c:v>
                </c:pt>
                <c:pt idx="82">
                  <c:v>-2.0550194804936699</c:v>
                </c:pt>
                <c:pt idx="83">
                  <c:v>-2.4244662668639898</c:v>
                </c:pt>
                <c:pt idx="84">
                  <c:v>-2.7156516933983599</c:v>
                </c:pt>
                <c:pt idx="85">
                  <c:v>-2.8667228314934898</c:v>
                </c:pt>
                <c:pt idx="86">
                  <c:v>-1.56616535700255</c:v>
                </c:pt>
                <c:pt idx="87">
                  <c:v>-1.3118730207039599</c:v>
                </c:pt>
                <c:pt idx="88">
                  <c:v>0.20250785885253</c:v>
                </c:pt>
                <c:pt idx="89">
                  <c:v>-0.28074930291859801</c:v>
                </c:pt>
                <c:pt idx="90">
                  <c:v>0.766929861549417</c:v>
                </c:pt>
                <c:pt idx="91">
                  <c:v>1.92831082931356</c:v>
                </c:pt>
                <c:pt idx="92">
                  <c:v>2.08049078883406</c:v>
                </c:pt>
                <c:pt idx="93">
                  <c:v>2.76138050348874</c:v>
                </c:pt>
                <c:pt idx="94">
                  <c:v>3.6417560423640598</c:v>
                </c:pt>
                <c:pt idx="95">
                  <c:v>3.4528486542548902</c:v>
                </c:pt>
                <c:pt idx="96">
                  <c:v>3.2278236409610801</c:v>
                </c:pt>
                <c:pt idx="97">
                  <c:v>2.5462250259586998</c:v>
                </c:pt>
                <c:pt idx="98">
                  <c:v>1.8139866304855199</c:v>
                </c:pt>
                <c:pt idx="99">
                  <c:v>1.26572277350787</c:v>
                </c:pt>
                <c:pt idx="100">
                  <c:v>0.90706286037022199</c:v>
                </c:pt>
                <c:pt idx="101">
                  <c:v>0.80624883376478595</c:v>
                </c:pt>
                <c:pt idx="102">
                  <c:v>0.35737582217524</c:v>
                </c:pt>
                <c:pt idx="103">
                  <c:v>-0.72831359643759097</c:v>
                </c:pt>
                <c:pt idx="104">
                  <c:v>-2.72848773680419</c:v>
                </c:pt>
                <c:pt idx="105">
                  <c:v>-3.1130562139216802</c:v>
                </c:pt>
                <c:pt idx="106">
                  <c:v>-2.5721869896001301</c:v>
                </c:pt>
                <c:pt idx="107">
                  <c:v>-2.7844248800778399</c:v>
                </c:pt>
                <c:pt idx="108">
                  <c:v>-3.0944700271814001</c:v>
                </c:pt>
                <c:pt idx="109">
                  <c:v>-3.55834045325562</c:v>
                </c:pt>
                <c:pt idx="110">
                  <c:v>-2.3572310095200799</c:v>
                </c:pt>
                <c:pt idx="111">
                  <c:v>-2.6928826804535602</c:v>
                </c:pt>
                <c:pt idx="112">
                  <c:v>-2.63862633946033</c:v>
                </c:pt>
                <c:pt idx="113">
                  <c:v>-2.2795892956364998</c:v>
                </c:pt>
                <c:pt idx="114">
                  <c:v>-1.81060516413063</c:v>
                </c:pt>
                <c:pt idx="115">
                  <c:v>-2.1609504011302998</c:v>
                </c:pt>
                <c:pt idx="116">
                  <c:v>-2.0100676797486998</c:v>
                </c:pt>
                <c:pt idx="117">
                  <c:v>-1.82228558251554</c:v>
                </c:pt>
                <c:pt idx="118">
                  <c:v>-0.83921539286093805</c:v>
                </c:pt>
                <c:pt idx="119">
                  <c:v>-1.18973830392031</c:v>
                </c:pt>
                <c:pt idx="120">
                  <c:v>-1.9733577954341801</c:v>
                </c:pt>
                <c:pt idx="121">
                  <c:v>-1.6178389611221999</c:v>
                </c:pt>
                <c:pt idx="122">
                  <c:v>-0.50509426957565695</c:v>
                </c:pt>
                <c:pt idx="123">
                  <c:v>0.21748127810895501</c:v>
                </c:pt>
                <c:pt idx="124">
                  <c:v>0.95935643358461298</c:v>
                </c:pt>
                <c:pt idx="125">
                  <c:v>1.4202825758611799</c:v>
                </c:pt>
                <c:pt idx="126">
                  <c:v>2.8681800249006502</c:v>
                </c:pt>
                <c:pt idx="127">
                  <c:v>3.5329425117927</c:v>
                </c:pt>
                <c:pt idx="128">
                  <c:v>3.5595187757363198</c:v>
                </c:pt>
                <c:pt idx="129">
                  <c:v>3.40648147471147</c:v>
                </c:pt>
                <c:pt idx="130">
                  <c:v>2.3885705940554498</c:v>
                </c:pt>
                <c:pt idx="131">
                  <c:v>2.2330599630546901</c:v>
                </c:pt>
                <c:pt idx="132">
                  <c:v>2.4255257184868801</c:v>
                </c:pt>
                <c:pt idx="133">
                  <c:v>1.6734955217671601</c:v>
                </c:pt>
                <c:pt idx="134">
                  <c:v>2.8187277895099401</c:v>
                </c:pt>
                <c:pt idx="135">
                  <c:v>3.5432219550520201</c:v>
                </c:pt>
                <c:pt idx="136">
                  <c:v>3.3429418104618698</c:v>
                </c:pt>
                <c:pt idx="137">
                  <c:v>4.1800876796965296</c:v>
                </c:pt>
                <c:pt idx="138">
                  <c:v>5.1422690863792004</c:v>
                </c:pt>
                <c:pt idx="139">
                  <c:v>5.1199235502309097</c:v>
                </c:pt>
                <c:pt idx="140">
                  <c:v>4.3751487257149497</c:v>
                </c:pt>
                <c:pt idx="141">
                  <c:v>3.8907438690801301</c:v>
                </c:pt>
                <c:pt idx="142">
                  <c:v>2.4864716065632702</c:v>
                </c:pt>
                <c:pt idx="143">
                  <c:v>2.46236564119926</c:v>
                </c:pt>
                <c:pt idx="144">
                  <c:v>1.5828258138450699</c:v>
                </c:pt>
                <c:pt idx="145">
                  <c:v>1.4265646725551</c:v>
                </c:pt>
                <c:pt idx="146">
                  <c:v>2.19504230515517</c:v>
                </c:pt>
                <c:pt idx="147">
                  <c:v>2.5284883872161998</c:v>
                </c:pt>
                <c:pt idx="148">
                  <c:v>2.2373523823333601</c:v>
                </c:pt>
                <c:pt idx="149">
                  <c:v>1.5493918559405599</c:v>
                </c:pt>
                <c:pt idx="150">
                  <c:v>0.41869071613487202</c:v>
                </c:pt>
                <c:pt idx="151">
                  <c:v>0.32507592020853099</c:v>
                </c:pt>
                <c:pt idx="152">
                  <c:v>0.63893614607662197</c:v>
                </c:pt>
                <c:pt idx="153">
                  <c:v>-0.97885676882267703</c:v>
                </c:pt>
                <c:pt idx="154">
                  <c:v>-0.39159351795526598</c:v>
                </c:pt>
                <c:pt idx="155">
                  <c:v>-0.13583201184114099</c:v>
                </c:pt>
                <c:pt idx="156">
                  <c:v>-0.246726639932105</c:v>
                </c:pt>
                <c:pt idx="157">
                  <c:v>0.80305365189427402</c:v>
                </c:pt>
                <c:pt idx="158">
                  <c:v>0.29016021586518698</c:v>
                </c:pt>
                <c:pt idx="159">
                  <c:v>6.8793732769405605E-2</c:v>
                </c:pt>
                <c:pt idx="160">
                  <c:v>-0.29844751255767998</c:v>
                </c:pt>
                <c:pt idx="161">
                  <c:v>-0.84992519467350702</c:v>
                </c:pt>
                <c:pt idx="162">
                  <c:v>0.30241837427458401</c:v>
                </c:pt>
                <c:pt idx="163">
                  <c:v>0.62462957196540503</c:v>
                </c:pt>
                <c:pt idx="164">
                  <c:v>0.277010434662325</c:v>
                </c:pt>
                <c:pt idx="165">
                  <c:v>1.1207643443586801</c:v>
                </c:pt>
                <c:pt idx="166">
                  <c:v>1.8576448918936601</c:v>
                </c:pt>
                <c:pt idx="167">
                  <c:v>2.0826962717544202</c:v>
                </c:pt>
                <c:pt idx="168">
                  <c:v>0.86285089000273596</c:v>
                </c:pt>
                <c:pt idx="169">
                  <c:v>1.6394950866234801</c:v>
                </c:pt>
                <c:pt idx="170">
                  <c:v>9.5769407821954999</c:v>
                </c:pt>
                <c:pt idx="171">
                  <c:v>10.456107647074599</c:v>
                </c:pt>
                <c:pt idx="172">
                  <c:v>10.819218124171099</c:v>
                </c:pt>
                <c:pt idx="173">
                  <c:v>7.7881336927803604</c:v>
                </c:pt>
                <c:pt idx="174">
                  <c:v>3.58045592262514</c:v>
                </c:pt>
                <c:pt idx="175">
                  <c:v>1.62064106008514</c:v>
                </c:pt>
                <c:pt idx="176">
                  <c:v>0.57710890660260095</c:v>
                </c:pt>
                <c:pt idx="177">
                  <c:v>-1.8066684169243801</c:v>
                </c:pt>
                <c:pt idx="178">
                  <c:v>-3.8636765388148802</c:v>
                </c:pt>
                <c:pt idx="179">
                  <c:v>-3.6674016378603702</c:v>
                </c:pt>
                <c:pt idx="180">
                  <c:v>-3.7363723349909201</c:v>
                </c:pt>
                <c:pt idx="181">
                  <c:v>-4.8977191923091397</c:v>
                </c:pt>
                <c:pt idx="182">
                  <c:v>-6.2105244953926499</c:v>
                </c:pt>
                <c:pt idx="183">
                  <c:v>-7.0335239592955201</c:v>
                </c:pt>
                <c:pt idx="184">
                  <c:v>-6.3127313501470397</c:v>
                </c:pt>
                <c:pt idx="185">
                  <c:v>-8.5849325456559793</c:v>
                </c:pt>
                <c:pt idx="186">
                  <c:v>-8.0684208682616898</c:v>
                </c:pt>
                <c:pt idx="187">
                  <c:v>-7.5404603343187997</c:v>
                </c:pt>
                <c:pt idx="188">
                  <c:v>-7.45299540214471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15-4CBC-9BD3-B759D5FE6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23966032"/>
        <c:axId val="223966864"/>
      </c:barChart>
      <c:lineChart>
        <c:grouping val="standard"/>
        <c:varyColors val="0"/>
        <c:ser>
          <c:idx val="0"/>
          <c:order val="0"/>
          <c:tx>
            <c:strRef>
              <c:f>'Output R'!$D$1</c:f>
              <c:strCache>
                <c:ptCount val="1"/>
                <c:pt idx="0">
                  <c:v>HCSF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'Output R'!$A$2:$A$190</c:f>
              <c:numCache>
                <c:formatCode>mmm\-yy</c:formatCode>
                <c:ptCount val="18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</c:numCache>
            </c:numRef>
          </c:cat>
          <c:val>
            <c:numRef>
              <c:f>'Output R'!$D$2:$D$190</c:f>
              <c:numCache>
                <c:formatCode>General</c:formatCode>
                <c:ptCount val="189"/>
                <c:pt idx="0">
                  <c:v>2.1640911197557702</c:v>
                </c:pt>
                <c:pt idx="1">
                  <c:v>3.2074785931864902</c:v>
                </c:pt>
                <c:pt idx="2">
                  <c:v>1.9059119348981799</c:v>
                </c:pt>
                <c:pt idx="3">
                  <c:v>0.12246826407931</c:v>
                </c:pt>
                <c:pt idx="4">
                  <c:v>0.49156449254032603</c:v>
                </c:pt>
                <c:pt idx="5">
                  <c:v>-0.70145461098256701</c:v>
                </c:pt>
                <c:pt idx="6">
                  <c:v>-0.53961137590788899</c:v>
                </c:pt>
                <c:pt idx="7">
                  <c:v>-1.1718133949896901</c:v>
                </c:pt>
                <c:pt idx="8">
                  <c:v>-0.13453983109199799</c:v>
                </c:pt>
                <c:pt idx="9">
                  <c:v>-1.4135805083340101</c:v>
                </c:pt>
                <c:pt idx="10">
                  <c:v>-0.56770881495125802</c:v>
                </c:pt>
                <c:pt idx="11">
                  <c:v>-0.918303622904869</c:v>
                </c:pt>
                <c:pt idx="12">
                  <c:v>8.6113835984376899E-2</c:v>
                </c:pt>
                <c:pt idx="13">
                  <c:v>-0.21755695927922999</c:v>
                </c:pt>
                <c:pt idx="14">
                  <c:v>-0.71676292734525504</c:v>
                </c:pt>
                <c:pt idx="15">
                  <c:v>-1.0351070432499301</c:v>
                </c:pt>
                <c:pt idx="16">
                  <c:v>-0.66998553328774302</c:v>
                </c:pt>
                <c:pt idx="17">
                  <c:v>-1.6852033993086899</c:v>
                </c:pt>
                <c:pt idx="18">
                  <c:v>-1.76255368930003</c:v>
                </c:pt>
                <c:pt idx="19">
                  <c:v>-1.9669457109826201</c:v>
                </c:pt>
                <c:pt idx="20">
                  <c:v>-0.14448471754235301</c:v>
                </c:pt>
                <c:pt idx="21">
                  <c:v>-0.32177228418619103</c:v>
                </c:pt>
                <c:pt idx="22">
                  <c:v>4.7965665206308097E-3</c:v>
                </c:pt>
                <c:pt idx="23">
                  <c:v>-0.46097321487575599</c:v>
                </c:pt>
                <c:pt idx="24">
                  <c:v>0.74630878733569495</c:v>
                </c:pt>
                <c:pt idx="25">
                  <c:v>-1.31294590540116E-2</c:v>
                </c:pt>
                <c:pt idx="26">
                  <c:v>0.59355379138771702</c:v>
                </c:pt>
                <c:pt idx="27">
                  <c:v>0.63908926110393105</c:v>
                </c:pt>
                <c:pt idx="28">
                  <c:v>1.4940445112744201</c:v>
                </c:pt>
                <c:pt idx="29">
                  <c:v>0.49775103378811802</c:v>
                </c:pt>
                <c:pt idx="30">
                  <c:v>0.50653707491408395</c:v>
                </c:pt>
                <c:pt idx="31">
                  <c:v>0.21607252748306799</c:v>
                </c:pt>
                <c:pt idx="32">
                  <c:v>1.2803143899487499</c:v>
                </c:pt>
                <c:pt idx="33">
                  <c:v>0.22843498179148</c:v>
                </c:pt>
                <c:pt idx="34">
                  <c:v>6.7616235376442999E-2</c:v>
                </c:pt>
                <c:pt idx="35">
                  <c:v>-0.77506180591157103</c:v>
                </c:pt>
                <c:pt idx="36">
                  <c:v>-0.95130479208998897</c:v>
                </c:pt>
                <c:pt idx="37">
                  <c:v>0.33161210986034301</c:v>
                </c:pt>
                <c:pt idx="38">
                  <c:v>0.77818717312834795</c:v>
                </c:pt>
                <c:pt idx="39">
                  <c:v>0.80590701121816399</c:v>
                </c:pt>
                <c:pt idx="40">
                  <c:v>1.4162497252377499</c:v>
                </c:pt>
                <c:pt idx="41">
                  <c:v>1.4710387010202299</c:v>
                </c:pt>
                <c:pt idx="42">
                  <c:v>1.75090469399243</c:v>
                </c:pt>
                <c:pt idx="43">
                  <c:v>1.8179520238422699</c:v>
                </c:pt>
                <c:pt idx="44">
                  <c:v>3.2675684091583501</c:v>
                </c:pt>
                <c:pt idx="45">
                  <c:v>2.2697778000550799</c:v>
                </c:pt>
                <c:pt idx="46">
                  <c:v>3.3363061010164401</c:v>
                </c:pt>
                <c:pt idx="47">
                  <c:v>2.9464790693093601</c:v>
                </c:pt>
                <c:pt idx="48">
                  <c:v>3.9427430583722098</c:v>
                </c:pt>
                <c:pt idx="49">
                  <c:v>4.0483550682784299</c:v>
                </c:pt>
                <c:pt idx="50">
                  <c:v>4.04096554113754</c:v>
                </c:pt>
                <c:pt idx="51">
                  <c:v>3.7520143423212602</c:v>
                </c:pt>
                <c:pt idx="52">
                  <c:v>5.9553343747893797</c:v>
                </c:pt>
                <c:pt idx="53">
                  <c:v>5.6302951853492704</c:v>
                </c:pt>
                <c:pt idx="54">
                  <c:v>5.5500044279867602</c:v>
                </c:pt>
                <c:pt idx="55">
                  <c:v>5.1656299537761896</c:v>
                </c:pt>
                <c:pt idx="56">
                  <c:v>5.5588996197791198</c:v>
                </c:pt>
                <c:pt idx="57">
                  <c:v>5.2623645619316299</c:v>
                </c:pt>
                <c:pt idx="58">
                  <c:v>4.8812717598028099</c:v>
                </c:pt>
                <c:pt idx="59">
                  <c:v>3.88732165119016</c:v>
                </c:pt>
                <c:pt idx="60">
                  <c:v>5.0308532227986698</c:v>
                </c:pt>
                <c:pt idx="61">
                  <c:v>6.2366631937797496</c:v>
                </c:pt>
                <c:pt idx="62">
                  <c:v>6.5639834025100496</c:v>
                </c:pt>
                <c:pt idx="63">
                  <c:v>6.0946578863294203</c:v>
                </c:pt>
                <c:pt idx="64">
                  <c:v>4.9276364421489998</c:v>
                </c:pt>
                <c:pt idx="65">
                  <c:v>3.4733762227359901</c:v>
                </c:pt>
                <c:pt idx="66">
                  <c:v>1.7461233184598</c:v>
                </c:pt>
                <c:pt idx="67">
                  <c:v>2.5962938265816902E-3</c:v>
                </c:pt>
                <c:pt idx="68">
                  <c:v>-0.12783115360931799</c:v>
                </c:pt>
                <c:pt idx="69">
                  <c:v>-1.5725026373872</c:v>
                </c:pt>
                <c:pt idx="70">
                  <c:v>-1.4173768512570599</c:v>
                </c:pt>
                <c:pt idx="71">
                  <c:v>-2.20103799754061</c:v>
                </c:pt>
                <c:pt idx="72">
                  <c:v>-2.6415008670586602</c:v>
                </c:pt>
                <c:pt idx="73">
                  <c:v>-3.3375990089892098</c:v>
                </c:pt>
                <c:pt idx="74">
                  <c:v>-3.7126476278418199</c:v>
                </c:pt>
                <c:pt idx="75">
                  <c:v>-4.2365721377433196</c:v>
                </c:pt>
                <c:pt idx="76">
                  <c:v>-3.8521365059630699</c:v>
                </c:pt>
                <c:pt idx="77">
                  <c:v>-3.7626865801708398</c:v>
                </c:pt>
                <c:pt idx="78">
                  <c:v>-3.7507804288383602</c:v>
                </c:pt>
                <c:pt idx="79">
                  <c:v>-4.2613270735351696</c:v>
                </c:pt>
                <c:pt idx="80">
                  <c:v>-4.4200696386012197</c:v>
                </c:pt>
                <c:pt idx="81">
                  <c:v>-4.96805199420601</c:v>
                </c:pt>
                <c:pt idx="82">
                  <c:v>-5.1124179750388201</c:v>
                </c:pt>
                <c:pt idx="83">
                  <c:v>-5.3699582830718002</c:v>
                </c:pt>
                <c:pt idx="84">
                  <c:v>-5.73457191067443</c:v>
                </c:pt>
                <c:pt idx="85">
                  <c:v>-5.7264565811619104</c:v>
                </c:pt>
                <c:pt idx="86">
                  <c:v>-3.8112130978382099</c:v>
                </c:pt>
                <c:pt idx="87">
                  <c:v>-3.1644222009594598</c:v>
                </c:pt>
                <c:pt idx="88">
                  <c:v>-1.4297631945923801</c:v>
                </c:pt>
                <c:pt idx="89">
                  <c:v>-1.99842023759411</c:v>
                </c:pt>
                <c:pt idx="90">
                  <c:v>-0.93782863701240005</c:v>
                </c:pt>
                <c:pt idx="91">
                  <c:v>0.29106609792600302</c:v>
                </c:pt>
                <c:pt idx="92">
                  <c:v>0.33067564461849902</c:v>
                </c:pt>
                <c:pt idx="93">
                  <c:v>0.989129604621382</c:v>
                </c:pt>
                <c:pt idx="94">
                  <c:v>2.03550085092871</c:v>
                </c:pt>
                <c:pt idx="95">
                  <c:v>1.9011789895411699</c:v>
                </c:pt>
                <c:pt idx="96">
                  <c:v>1.7551839985075199</c:v>
                </c:pt>
                <c:pt idx="97">
                  <c:v>1.1512344991091501</c:v>
                </c:pt>
                <c:pt idx="98">
                  <c:v>0.61773998131795904</c:v>
                </c:pt>
                <c:pt idx="99">
                  <c:v>0.26807265847924999</c:v>
                </c:pt>
                <c:pt idx="100">
                  <c:v>2.2119144983209099E-3</c:v>
                </c:pt>
                <c:pt idx="101">
                  <c:v>-7.8928355467144704E-2</c:v>
                </c:pt>
                <c:pt idx="102">
                  <c:v>-0.286747810390589</c:v>
                </c:pt>
                <c:pt idx="103">
                  <c:v>-0.920533431895591</c:v>
                </c:pt>
                <c:pt idx="104">
                  <c:v>-2.63497157116409</c:v>
                </c:pt>
                <c:pt idx="105">
                  <c:v>-2.91486938868877</c:v>
                </c:pt>
                <c:pt idx="106">
                  <c:v>-1.70151366264921</c:v>
                </c:pt>
                <c:pt idx="107">
                  <c:v>-1.68756822524434</c:v>
                </c:pt>
                <c:pt idx="108">
                  <c:v>-1.9086280813463501</c:v>
                </c:pt>
                <c:pt idx="109">
                  <c:v>-2.1846374308840999</c:v>
                </c:pt>
                <c:pt idx="110">
                  <c:v>-0.32535927338649201</c:v>
                </c:pt>
                <c:pt idx="111">
                  <c:v>-0.29806636861261898</c:v>
                </c:pt>
                <c:pt idx="112">
                  <c:v>0.30923593822779899</c:v>
                </c:pt>
                <c:pt idx="113">
                  <c:v>0.83150534283071398</c:v>
                </c:pt>
                <c:pt idx="114">
                  <c:v>1.85578572662492</c:v>
                </c:pt>
                <c:pt idx="115">
                  <c:v>1.6369760885250599</c:v>
                </c:pt>
                <c:pt idx="116">
                  <c:v>1.93553214814698</c:v>
                </c:pt>
                <c:pt idx="117">
                  <c:v>2.1477190977553802</c:v>
                </c:pt>
                <c:pt idx="118">
                  <c:v>3.5118670433006098</c:v>
                </c:pt>
                <c:pt idx="119">
                  <c:v>3.3478966097593701</c:v>
                </c:pt>
                <c:pt idx="120">
                  <c:v>2.74981787708768</c:v>
                </c:pt>
                <c:pt idx="121">
                  <c:v>2.9449952564652602</c:v>
                </c:pt>
                <c:pt idx="122">
                  <c:v>4.1716536925019501</c:v>
                </c:pt>
                <c:pt idx="123">
                  <c:v>5.1064858128161896</c:v>
                </c:pt>
                <c:pt idx="124">
                  <c:v>5.9684179849376404</c:v>
                </c:pt>
                <c:pt idx="125">
                  <c:v>6.9112675287882803</c:v>
                </c:pt>
                <c:pt idx="126">
                  <c:v>8.5042702885581996</c:v>
                </c:pt>
                <c:pt idx="127">
                  <c:v>9.4623162030247308</c:v>
                </c:pt>
                <c:pt idx="128">
                  <c:v>10.0504119866642</c:v>
                </c:pt>
                <c:pt idx="129">
                  <c:v>9.2467248340860699</c:v>
                </c:pt>
                <c:pt idx="130">
                  <c:v>7.8660095500146499</c:v>
                </c:pt>
                <c:pt idx="131">
                  <c:v>7.2190592590053599</c:v>
                </c:pt>
                <c:pt idx="132">
                  <c:v>7.6636673323017197</c:v>
                </c:pt>
                <c:pt idx="133">
                  <c:v>6.4304371969190504</c:v>
                </c:pt>
                <c:pt idx="134">
                  <c:v>7.5972711212676103</c:v>
                </c:pt>
                <c:pt idx="135">
                  <c:v>7.9176980648718596</c:v>
                </c:pt>
                <c:pt idx="136">
                  <c:v>7.3824386970943996</c:v>
                </c:pt>
                <c:pt idx="137">
                  <c:v>7.7076368936470701</c:v>
                </c:pt>
                <c:pt idx="138">
                  <c:v>8.2775308635411893</c:v>
                </c:pt>
                <c:pt idx="139">
                  <c:v>7.6768016193235598</c:v>
                </c:pt>
                <c:pt idx="140">
                  <c:v>6.84624678795298</c:v>
                </c:pt>
                <c:pt idx="141">
                  <c:v>5.9029247553335704</c:v>
                </c:pt>
                <c:pt idx="142">
                  <c:v>4.0603675569578197</c:v>
                </c:pt>
                <c:pt idx="143">
                  <c:v>3.7742166264176702</c:v>
                </c:pt>
                <c:pt idx="144">
                  <c:v>2.4470285640996199</c:v>
                </c:pt>
                <c:pt idx="145">
                  <c:v>2.0603814943293601</c:v>
                </c:pt>
                <c:pt idx="146">
                  <c:v>2.5856170205537401</c:v>
                </c:pt>
                <c:pt idx="147">
                  <c:v>2.5196772307723401</c:v>
                </c:pt>
                <c:pt idx="148">
                  <c:v>2.0489764691393599</c:v>
                </c:pt>
                <c:pt idx="149">
                  <c:v>0.86783796004274205</c:v>
                </c:pt>
                <c:pt idx="150">
                  <c:v>-0.38702890906545601</c:v>
                </c:pt>
                <c:pt idx="151">
                  <c:v>-0.48998899778624999</c:v>
                </c:pt>
                <c:pt idx="152">
                  <c:v>-0.33386525124065802</c:v>
                </c:pt>
                <c:pt idx="153">
                  <c:v>-2.5870789791572499</c:v>
                </c:pt>
                <c:pt idx="154">
                  <c:v>-1.8967649018320101</c:v>
                </c:pt>
                <c:pt idx="155">
                  <c:v>-1.43352384494399</c:v>
                </c:pt>
                <c:pt idx="156">
                  <c:v>-1.0480787434893</c:v>
                </c:pt>
                <c:pt idx="157">
                  <c:v>-0.12850637304888701</c:v>
                </c:pt>
                <c:pt idx="158">
                  <c:v>-0.40136073983440901</c:v>
                </c:pt>
                <c:pt idx="159">
                  <c:v>-0.77260314385015005</c:v>
                </c:pt>
                <c:pt idx="160">
                  <c:v>-1.0844595286682299</c:v>
                </c:pt>
                <c:pt idx="161">
                  <c:v>-1.86915089334226</c:v>
                </c:pt>
                <c:pt idx="162">
                  <c:v>-0.52302900793001506</c:v>
                </c:pt>
                <c:pt idx="163">
                  <c:v>-0.13533964459702499</c:v>
                </c:pt>
                <c:pt idx="164">
                  <c:v>-0.22763290278492401</c:v>
                </c:pt>
                <c:pt idx="165">
                  <c:v>-0.18694565350145401</c:v>
                </c:pt>
                <c:pt idx="166">
                  <c:v>0.88235961763429904</c:v>
                </c:pt>
                <c:pt idx="167">
                  <c:v>1.55093243992076</c:v>
                </c:pt>
                <c:pt idx="168">
                  <c:v>0.64756942469269796</c:v>
                </c:pt>
                <c:pt idx="169">
                  <c:v>1.7653326149234501</c:v>
                </c:pt>
                <c:pt idx="170">
                  <c:v>11.855638152990499</c:v>
                </c:pt>
                <c:pt idx="171">
                  <c:v>13.6144397235035</c:v>
                </c:pt>
                <c:pt idx="172">
                  <c:v>14.681379279344201</c:v>
                </c:pt>
                <c:pt idx="173">
                  <c:v>10.982429403527901</c:v>
                </c:pt>
                <c:pt idx="174">
                  <c:v>5.1191738855336997</c:v>
                </c:pt>
                <c:pt idx="175">
                  <c:v>2.64330894078316</c:v>
                </c:pt>
                <c:pt idx="176">
                  <c:v>0.91088644613862502</c:v>
                </c:pt>
                <c:pt idx="177">
                  <c:v>-2.2919643471625202</c:v>
                </c:pt>
                <c:pt idx="178">
                  <c:v>-4.4863119314580802</c:v>
                </c:pt>
                <c:pt idx="179">
                  <c:v>-4.5236174735014503</c:v>
                </c:pt>
                <c:pt idx="180">
                  <c:v>-5.24355925009435</c:v>
                </c:pt>
                <c:pt idx="181">
                  <c:v>-7.3574575432184997</c:v>
                </c:pt>
                <c:pt idx="182">
                  <c:v>-9.6554979889385404</c:v>
                </c:pt>
                <c:pt idx="183">
                  <c:v>-11.4175371539471</c:v>
                </c:pt>
                <c:pt idx="184">
                  <c:v>-11.639331321615099</c:v>
                </c:pt>
                <c:pt idx="185">
                  <c:v>-14.799499470217301</c:v>
                </c:pt>
                <c:pt idx="186">
                  <c:v>-14.711009260247801</c:v>
                </c:pt>
                <c:pt idx="187">
                  <c:v>-14.532104756925699</c:v>
                </c:pt>
                <c:pt idx="188">
                  <c:v>-14.679982540186501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15-4CBC-9BD3-B759D5FE6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966032"/>
        <c:axId val="223966864"/>
      </c:lineChart>
      <c:dateAx>
        <c:axId val="223966032"/>
        <c:scaling>
          <c:orientation val="minMax"/>
          <c:min val="2849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3966864"/>
        <c:crosses val="autoZero"/>
        <c:auto val="1"/>
        <c:lblOffset val="100"/>
        <c:baseTimeUnit val="months"/>
        <c:majorUnit val="24"/>
        <c:majorTimeUnit val="months"/>
      </c:dateAx>
      <c:valAx>
        <c:axId val="22396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396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solidFill>
            <a:sysClr val="windowText" lastClr="000000"/>
          </a:solidFill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3366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Credit gaps en neutralisant les périodes de récession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3366"/>
              </a:solidFill>
              <a:latin typeface="Arial"/>
              <a:ea typeface="Arial"/>
              <a:cs typeface="Arial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'Output R CGAPS3'!$B$1</c:f>
              <c:strCache>
                <c:ptCount val="1"/>
                <c:pt idx="0">
                  <c:v>BRI</c:v>
                </c:pt>
              </c:strCache>
            </c:strRef>
          </c:tx>
          <c:spPr>
            <a:ln w="381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'Output R CGAPS3'!$A$2:$A$1900</c:f>
              <c:numCache>
                <c:formatCode>mmm\-yy</c:formatCode>
                <c:ptCount val="189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  <c:pt idx="188">
                  <c:v>45627</c:v>
                </c:pt>
                <c:pt idx="189">
                  <c:v>45717</c:v>
                </c:pt>
              </c:numCache>
            </c:numRef>
          </c:cat>
          <c:val>
            <c:numRef>
              <c:f>'Output R CGAPS3'!$B$2:$B$1900</c:f>
              <c:numCache>
                <c:formatCode>General</c:formatCode>
                <c:ptCount val="1899"/>
                <c:pt idx="0">
                  <c:v>4.8242420453952404</c:v>
                </c:pt>
                <c:pt idx="1">
                  <c:v>6.6688239058026202</c:v>
                </c:pt>
                <c:pt idx="2">
                  <c:v>4.3466765203266702</c:v>
                </c:pt>
                <c:pt idx="3">
                  <c:v>1.10321286586671</c:v>
                </c:pt>
                <c:pt idx="4">
                  <c:v>1.6500318652450501</c:v>
                </c:pt>
                <c:pt idx="5">
                  <c:v>-0.68965437603918001</c:v>
                </c:pt>
                <c:pt idx="6">
                  <c:v>-1.02121518661821</c:v>
                </c:pt>
                <c:pt idx="7">
                  <c:v>-2.6424502243396999</c:v>
                </c:pt>
                <c:pt idx="8">
                  <c:v>-0.73988180223803401</c:v>
                </c:pt>
                <c:pt idx="9">
                  <c:v>-3.3569895963791199</c:v>
                </c:pt>
                <c:pt idx="10">
                  <c:v>-1.7405045512441799</c:v>
                </c:pt>
                <c:pt idx="11">
                  <c:v>-2.28741996608623</c:v>
                </c:pt>
                <c:pt idx="12">
                  <c:v>-0.61149485621875499</c:v>
                </c:pt>
                <c:pt idx="13">
                  <c:v>-1.2042554019909899</c:v>
                </c:pt>
                <c:pt idx="14">
                  <c:v>-1.90785855734548</c:v>
                </c:pt>
                <c:pt idx="15">
                  <c:v>-2.3162674235997098</c:v>
                </c:pt>
                <c:pt idx="16">
                  <c:v>-1.3251267624146701</c:v>
                </c:pt>
                <c:pt idx="17">
                  <c:v>-3.0119577409282798</c:v>
                </c:pt>
                <c:pt idx="18">
                  <c:v>-3.1169013634309599</c:v>
                </c:pt>
                <c:pt idx="19">
                  <c:v>-3.57623945618018</c:v>
                </c:pt>
                <c:pt idx="20">
                  <c:v>-0.48232451657665298</c:v>
                </c:pt>
                <c:pt idx="21">
                  <c:v>-0.99292604381496596</c:v>
                </c:pt>
                <c:pt idx="22">
                  <c:v>-0.35039112646444398</c:v>
                </c:pt>
                <c:pt idx="23">
                  <c:v>-1.2361388388174599</c:v>
                </c:pt>
                <c:pt idx="24">
                  <c:v>1.545191257858</c:v>
                </c:pt>
                <c:pt idx="25">
                  <c:v>0.185743266923699</c:v>
                </c:pt>
                <c:pt idx="26">
                  <c:v>1.1980367882493601</c:v>
                </c:pt>
                <c:pt idx="27">
                  <c:v>1.33568889755317</c:v>
                </c:pt>
                <c:pt idx="28">
                  <c:v>2.7570455989907399</c:v>
                </c:pt>
                <c:pt idx="29">
                  <c:v>0.49579736441991601</c:v>
                </c:pt>
                <c:pt idx="30">
                  <c:v>0.60783880794746603</c:v>
                </c:pt>
                <c:pt idx="31">
                  <c:v>0.138914408618111</c:v>
                </c:pt>
                <c:pt idx="32">
                  <c:v>2.1619928158064901</c:v>
                </c:pt>
                <c:pt idx="33">
                  <c:v>0.755748866746762</c:v>
                </c:pt>
                <c:pt idx="34">
                  <c:v>0.39254681305428502</c:v>
                </c:pt>
                <c:pt idx="35">
                  <c:v>-1.0441816047218599</c:v>
                </c:pt>
                <c:pt idx="36">
                  <c:v>-1.06907024137359</c:v>
                </c:pt>
                <c:pt idx="37">
                  <c:v>1.1481494925034601</c:v>
                </c:pt>
                <c:pt idx="38">
                  <c:v>1.82900824334208</c:v>
                </c:pt>
                <c:pt idx="39">
                  <c:v>1.5785598121728199</c:v>
                </c:pt>
                <c:pt idx="40">
                  <c:v>2.2446444274908202</c:v>
                </c:pt>
                <c:pt idx="41">
                  <c:v>2.4601508398652299</c:v>
                </c:pt>
                <c:pt idx="42">
                  <c:v>2.93142080802208</c:v>
                </c:pt>
                <c:pt idx="43">
                  <c:v>3.30018191570398</c:v>
                </c:pt>
                <c:pt idx="44">
                  <c:v>5.9432393925225098</c:v>
                </c:pt>
                <c:pt idx="45">
                  <c:v>4.46327600870148</c:v>
                </c:pt>
                <c:pt idx="46">
                  <c:v>6.28963685514963</c:v>
                </c:pt>
                <c:pt idx="47">
                  <c:v>5.8125371049978396</c:v>
                </c:pt>
                <c:pt idx="48">
                  <c:v>7.9017503320762801</c:v>
                </c:pt>
                <c:pt idx="49">
                  <c:v>7.8669539394998598</c:v>
                </c:pt>
                <c:pt idx="50">
                  <c:v>7.6459782686162097</c:v>
                </c:pt>
                <c:pt idx="51">
                  <c:v>7.0131140397273102</c:v>
                </c:pt>
                <c:pt idx="52">
                  <c:v>10.9294690638184</c:v>
                </c:pt>
                <c:pt idx="53">
                  <c:v>10.522377659175</c:v>
                </c:pt>
                <c:pt idx="54">
                  <c:v>10.437682966674201</c:v>
                </c:pt>
                <c:pt idx="55">
                  <c:v>9.7438508563227906</c:v>
                </c:pt>
                <c:pt idx="56">
                  <c:v>10.547395879091599</c:v>
                </c:pt>
                <c:pt idx="57">
                  <c:v>10.426756547405899</c:v>
                </c:pt>
                <c:pt idx="58">
                  <c:v>9.7699226693077499</c:v>
                </c:pt>
                <c:pt idx="59">
                  <c:v>8.0852659938762397</c:v>
                </c:pt>
                <c:pt idx="60">
                  <c:v>10.234400538303699</c:v>
                </c:pt>
                <c:pt idx="61">
                  <c:v>11.8262983329438</c:v>
                </c:pt>
                <c:pt idx="62">
                  <c:v>12.6450995304437</c:v>
                </c:pt>
                <c:pt idx="63">
                  <c:v>11.920534460293601</c:v>
                </c:pt>
                <c:pt idx="64">
                  <c:v>9.3451541353026109</c:v>
                </c:pt>
                <c:pt idx="65">
                  <c:v>6.9838945748995398</c:v>
                </c:pt>
                <c:pt idx="66">
                  <c:v>3.9100079302800799</c:v>
                </c:pt>
                <c:pt idx="67">
                  <c:v>1.0618883019460501</c:v>
                </c:pt>
                <c:pt idx="68">
                  <c:v>1.1569338702590499</c:v>
                </c:pt>
                <c:pt idx="69">
                  <c:v>-1.13771956664416</c:v>
                </c:pt>
                <c:pt idx="70">
                  <c:v>-0.65614723627465299</c:v>
                </c:pt>
                <c:pt idx="71">
                  <c:v>-1.7851187384715499</c:v>
                </c:pt>
                <c:pt idx="72">
                  <c:v>-2.4941487222219498</c:v>
                </c:pt>
                <c:pt idx="73">
                  <c:v>-3.7138922376179901</c:v>
                </c:pt>
                <c:pt idx="74">
                  <c:v>-4.2478106786651502</c:v>
                </c:pt>
                <c:pt idx="75">
                  <c:v>-5.5098375648168396</c:v>
                </c:pt>
                <c:pt idx="76">
                  <c:v>-4.9153112216951804</c:v>
                </c:pt>
                <c:pt idx="77">
                  <c:v>-4.5012198656066804</c:v>
                </c:pt>
                <c:pt idx="78">
                  <c:v>-4.5651424118229498</c:v>
                </c:pt>
                <c:pt idx="79">
                  <c:v>-5.4201594088383498</c:v>
                </c:pt>
                <c:pt idx="80">
                  <c:v>-5.8678671938436402</c:v>
                </c:pt>
                <c:pt idx="81">
                  <c:v>-6.2220271197224202</c:v>
                </c:pt>
                <c:pt idx="82">
                  <c:v>-6.76829040350247</c:v>
                </c:pt>
                <c:pt idx="83">
                  <c:v>-7.47850157125752</c:v>
                </c:pt>
                <c:pt idx="84">
                  <c:v>-8.1731889410598004</c:v>
                </c:pt>
                <c:pt idx="85">
                  <c:v>-7.8163604219819298</c:v>
                </c:pt>
                <c:pt idx="86">
                  <c:v>-5.1037995719372002</c:v>
                </c:pt>
                <c:pt idx="87">
                  <c:v>-4.2380065049778599</c:v>
                </c:pt>
                <c:pt idx="88">
                  <c:v>-1.90544655811746</c:v>
                </c:pt>
                <c:pt idx="89">
                  <c:v>-2.2427332263654098</c:v>
                </c:pt>
                <c:pt idx="90">
                  <c:v>-1.1640966383506199</c:v>
                </c:pt>
                <c:pt idx="91">
                  <c:v>0.36264217182835501</c:v>
                </c:pt>
                <c:pt idx="92">
                  <c:v>0.67502413829377905</c:v>
                </c:pt>
                <c:pt idx="93">
                  <c:v>1.6994690914855199</c:v>
                </c:pt>
                <c:pt idx="94">
                  <c:v>3.0631459817802602</c:v>
                </c:pt>
                <c:pt idx="95">
                  <c:v>3.2349793336141901</c:v>
                </c:pt>
                <c:pt idx="96">
                  <c:v>3.4797594612278302</c:v>
                </c:pt>
                <c:pt idx="97">
                  <c:v>3.3675744245892099</c:v>
                </c:pt>
                <c:pt idx="98">
                  <c:v>2.5360708081471199</c:v>
                </c:pt>
                <c:pt idx="99">
                  <c:v>1.51681115416857</c:v>
                </c:pt>
                <c:pt idx="100">
                  <c:v>1.27732682439334</c:v>
                </c:pt>
                <c:pt idx="101">
                  <c:v>1.5201601029009</c:v>
                </c:pt>
                <c:pt idx="102">
                  <c:v>1.2824340250976101</c:v>
                </c:pt>
                <c:pt idx="103">
                  <c:v>0.227315796819373</c:v>
                </c:pt>
                <c:pt idx="104">
                  <c:v>-1.5380654306178401</c:v>
                </c:pt>
                <c:pt idx="105">
                  <c:v>-1.65106268314773</c:v>
                </c:pt>
                <c:pt idx="106">
                  <c:v>-0.54680867389702303</c:v>
                </c:pt>
                <c:pt idx="107">
                  <c:v>-0.30268237615474303</c:v>
                </c:pt>
                <c:pt idx="108">
                  <c:v>-0.46428807618346002</c:v>
                </c:pt>
                <c:pt idx="109">
                  <c:v>-0.89821844803457596</c:v>
                </c:pt>
                <c:pt idx="110">
                  <c:v>0.723531698488316</c:v>
                </c:pt>
                <c:pt idx="111">
                  <c:v>0.38462606087788098</c:v>
                </c:pt>
                <c:pt idx="112">
                  <c:v>1.15844888525852</c:v>
                </c:pt>
                <c:pt idx="113">
                  <c:v>1.29271046502124</c:v>
                </c:pt>
                <c:pt idx="114">
                  <c:v>2.3080990841834201</c:v>
                </c:pt>
                <c:pt idx="115">
                  <c:v>2.1992734159939702</c:v>
                </c:pt>
                <c:pt idx="116">
                  <c:v>2.7436500806835098</c:v>
                </c:pt>
                <c:pt idx="117">
                  <c:v>2.7455138501490599</c:v>
                </c:pt>
                <c:pt idx="118">
                  <c:v>4.2770677255584797</c:v>
                </c:pt>
                <c:pt idx="119">
                  <c:v>4.4580867515018703</c:v>
                </c:pt>
                <c:pt idx="120">
                  <c:v>3.7697013537011999</c:v>
                </c:pt>
                <c:pt idx="121">
                  <c:v>3.74960224978788</c:v>
                </c:pt>
                <c:pt idx="122">
                  <c:v>5.7558481298841304</c:v>
                </c:pt>
                <c:pt idx="123">
                  <c:v>7.1771325901918397</c:v>
                </c:pt>
                <c:pt idx="124">
                  <c:v>7.2304338390439904</c:v>
                </c:pt>
                <c:pt idx="125">
                  <c:v>7.2461950670370898</c:v>
                </c:pt>
                <c:pt idx="126">
                  <c:v>6.8931995740193104</c:v>
                </c:pt>
                <c:pt idx="127">
                  <c:v>6.1757739235840603</c:v>
                </c:pt>
                <c:pt idx="128">
                  <c:v>5.9456279739542799</c:v>
                </c:pt>
                <c:pt idx="129">
                  <c:v>5.5153679787698202</c:v>
                </c:pt>
                <c:pt idx="130">
                  <c:v>7.5631400626709899</c:v>
                </c:pt>
                <c:pt idx="131">
                  <c:v>6.1961754113243996</c:v>
                </c:pt>
                <c:pt idx="132">
                  <c:v>6.6897103669801004</c:v>
                </c:pt>
                <c:pt idx="133">
                  <c:v>6.0844944775738803</c:v>
                </c:pt>
                <c:pt idx="134">
                  <c:v>7.6368503524948297</c:v>
                </c:pt>
                <c:pt idx="135">
                  <c:v>8.7389589802816907</c:v>
                </c:pt>
                <c:pt idx="136">
                  <c:v>8.7276097077436106</c:v>
                </c:pt>
                <c:pt idx="137">
                  <c:v>9.4684613203177896</c:v>
                </c:pt>
                <c:pt idx="138">
                  <c:v>10.189903015642001</c:v>
                </c:pt>
                <c:pt idx="139">
                  <c:v>8.9873480308203</c:v>
                </c:pt>
                <c:pt idx="140">
                  <c:v>8.1915794216993802</c:v>
                </c:pt>
                <c:pt idx="141">
                  <c:v>6.8199328591033703</c:v>
                </c:pt>
                <c:pt idx="142">
                  <c:v>4.0976441024072097</c:v>
                </c:pt>
                <c:pt idx="143">
                  <c:v>3.3513786971293702</c:v>
                </c:pt>
                <c:pt idx="144">
                  <c:v>1.7568164023142501</c:v>
                </c:pt>
                <c:pt idx="145">
                  <c:v>2.59804759170731</c:v>
                </c:pt>
                <c:pt idx="146">
                  <c:v>3.8146281172422598</c:v>
                </c:pt>
                <c:pt idx="147">
                  <c:v>4.0882907967936504</c:v>
                </c:pt>
                <c:pt idx="148">
                  <c:v>4.1474444545628204</c:v>
                </c:pt>
                <c:pt idx="149">
                  <c:v>5.5048281159363297</c:v>
                </c:pt>
                <c:pt idx="150">
                  <c:v>4.7315744931383099</c:v>
                </c:pt>
                <c:pt idx="151">
                  <c:v>4.3030779316902903</c:v>
                </c:pt>
                <c:pt idx="152">
                  <c:v>5.0366184537437597</c:v>
                </c:pt>
                <c:pt idx="153">
                  <c:v>2.9581651200174002</c:v>
                </c:pt>
                <c:pt idx="154">
                  <c:v>4.2462926872685296</c:v>
                </c:pt>
                <c:pt idx="155">
                  <c:v>4.3464895155198802</c:v>
                </c:pt>
                <c:pt idx="156">
                  <c:v>4.9104531097543598</c:v>
                </c:pt>
                <c:pt idx="157">
                  <c:v>5.84990704473437</c:v>
                </c:pt>
                <c:pt idx="158">
                  <c:v>4.9834662996727097</c:v>
                </c:pt>
                <c:pt idx="159">
                  <c:v>3.60494750818666</c:v>
                </c:pt>
                <c:pt idx="160">
                  <c:v>2.7866362151552</c:v>
                </c:pt>
                <c:pt idx="161">
                  <c:v>2.8270647129236099</c:v>
                </c:pt>
                <c:pt idx="162">
                  <c:v>3.7236611522617</c:v>
                </c:pt>
                <c:pt idx="163">
                  <c:v>3.5472217445580898</c:v>
                </c:pt>
                <c:pt idx="164">
                  <c:v>3.0748510306944898</c:v>
                </c:pt>
                <c:pt idx="165">
                  <c:v>3.6216371738264401</c:v>
                </c:pt>
                <c:pt idx="166">
                  <c:v>4.2358971134384698</c:v>
                </c:pt>
                <c:pt idx="167">
                  <c:v>5.0666351578648303</c:v>
                </c:pt>
                <c:pt idx="168">
                  <c:v>4.1122716349976098</c:v>
                </c:pt>
                <c:pt idx="169">
                  <c:v>5.4333037755806703</c:v>
                </c:pt>
                <c:pt idx="170">
                  <c:v>11.407826344685301</c:v>
                </c:pt>
                <c:pt idx="171">
                  <c:v>12.6044779321302</c:v>
                </c:pt>
                <c:pt idx="172">
                  <c:v>13.7659823904112</c:v>
                </c:pt>
                <c:pt idx="173">
                  <c:v>12.6760239324084</c:v>
                </c:pt>
                <c:pt idx="174">
                  <c:v>13.560976752742301</c:v>
                </c:pt>
                <c:pt idx="175">
                  <c:v>9.7557650054893603</c:v>
                </c:pt>
                <c:pt idx="176">
                  <c:v>6.8739844547438196</c:v>
                </c:pt>
                <c:pt idx="177">
                  <c:v>3.93684372562111</c:v>
                </c:pt>
                <c:pt idx="178">
                  <c:v>2.0038014193209399</c:v>
                </c:pt>
                <c:pt idx="179">
                  <c:v>1.5809129394075201</c:v>
                </c:pt>
                <c:pt idx="180">
                  <c:v>-0.25166500376540302</c:v>
                </c:pt>
                <c:pt idx="181">
                  <c:v>-3.7506576042192399</c:v>
                </c:pt>
                <c:pt idx="182">
                  <c:v>-6.9480950471730001</c:v>
                </c:pt>
                <c:pt idx="183">
                  <c:v>-9.5123924833574094</c:v>
                </c:pt>
                <c:pt idx="184">
                  <c:v>-11.1190991587045</c:v>
                </c:pt>
                <c:pt idx="185">
                  <c:v>-14.416017073078001</c:v>
                </c:pt>
                <c:pt idx="186">
                  <c:v>-14.4091948099147</c:v>
                </c:pt>
                <c:pt idx="187">
                  <c:v>-15.142244292605101</c:v>
                </c:pt>
                <c:pt idx="188">
                  <c:v>-15.116611388777001</c:v>
                </c:pt>
                <c:pt idx="189">
                  <c:v>-16.4954143009336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4-403B-ABD1-0BC11E2057A8}"/>
            </c:ext>
          </c:extLst>
        </c:ser>
        <c:ser>
          <c:idx val="1"/>
          <c:order val="1"/>
          <c:tx>
            <c:strRef>
              <c:f>'Output R CGAPS3'!$C$1</c:f>
              <c:strCache>
                <c:ptCount val="1"/>
                <c:pt idx="0">
                  <c:v>Bancaire</c:v>
                </c:pt>
              </c:strCache>
            </c:strRef>
          </c:tx>
          <c:spPr>
            <a:ln w="38100" cap="rnd">
              <a:solidFill>
                <a:srgbClr val="FF66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'Output R CGAPS3'!$A$2:$A$1900</c:f>
              <c:numCache>
                <c:formatCode>mmm\-yy</c:formatCode>
                <c:ptCount val="189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  <c:pt idx="188">
                  <c:v>45627</c:v>
                </c:pt>
                <c:pt idx="189">
                  <c:v>45717</c:v>
                </c:pt>
              </c:numCache>
            </c:numRef>
          </c:cat>
          <c:val>
            <c:numRef>
              <c:f>'Output R CGAPS3'!$C$2:$C$1900</c:f>
              <c:numCache>
                <c:formatCode>General</c:formatCode>
                <c:ptCount val="1899"/>
                <c:pt idx="0">
                  <c:v>0.75332527352524203</c:v>
                </c:pt>
                <c:pt idx="1">
                  <c:v>1.9034443509597401</c:v>
                </c:pt>
                <c:pt idx="2">
                  <c:v>0.98811209974407699</c:v>
                </c:pt>
                <c:pt idx="3">
                  <c:v>-0.22873861865612999</c:v>
                </c:pt>
                <c:pt idx="4">
                  <c:v>6.7053866288787303E-2</c:v>
                </c:pt>
                <c:pt idx="5">
                  <c:v>-0.66614026135419102</c:v>
                </c:pt>
                <c:pt idx="6">
                  <c:v>-0.30458838470008498</c:v>
                </c:pt>
                <c:pt idx="7">
                  <c:v>-0.54560295678291804</c:v>
                </c:pt>
                <c:pt idx="8">
                  <c:v>0.163313875293678</c:v>
                </c:pt>
                <c:pt idx="9">
                  <c:v>-0.58280340001386799</c:v>
                </c:pt>
                <c:pt idx="10">
                  <c:v>-5.15984285831637E-2</c:v>
                </c:pt>
                <c:pt idx="11">
                  <c:v>-0.32507555204264399</c:v>
                </c:pt>
                <c:pt idx="12">
                  <c:v>0.38903224670216102</c:v>
                </c:pt>
                <c:pt idx="13">
                  <c:v>0.17442741599593001</c:v>
                </c:pt>
                <c:pt idx="14">
                  <c:v>-0.24572959740643599</c:v>
                </c:pt>
                <c:pt idx="15">
                  <c:v>-0.550493542250864</c:v>
                </c:pt>
                <c:pt idx="16">
                  <c:v>-0.431581446215621</c:v>
                </c:pt>
                <c:pt idx="17">
                  <c:v>-1.1888223714314801</c:v>
                </c:pt>
                <c:pt idx="18">
                  <c:v>-1.27339220064867</c:v>
                </c:pt>
                <c:pt idx="19">
                  <c:v>-1.3946939241998599</c:v>
                </c:pt>
                <c:pt idx="20">
                  <c:v>-0.136555864798201</c:v>
                </c:pt>
                <c:pt idx="21">
                  <c:v>-0.20524584775725299</c:v>
                </c:pt>
                <c:pt idx="22">
                  <c:v>-1.41346506409717E-2</c:v>
                </c:pt>
                <c:pt idx="23">
                  <c:v>-0.31813694223647099</c:v>
                </c:pt>
                <c:pt idx="24">
                  <c:v>0.29733710804622798</c:v>
                </c:pt>
                <c:pt idx="25">
                  <c:v>-0.19719475617122001</c:v>
                </c:pt>
                <c:pt idx="26">
                  <c:v>0.269443021119051</c:v>
                </c:pt>
                <c:pt idx="27">
                  <c:v>0.30173980044417598</c:v>
                </c:pt>
                <c:pt idx="28">
                  <c:v>0.93848308764042399</c:v>
                </c:pt>
                <c:pt idx="29">
                  <c:v>0.42286242587281397</c:v>
                </c:pt>
                <c:pt idx="30">
                  <c:v>0.37894450074785502</c:v>
                </c:pt>
                <c:pt idx="31">
                  <c:v>0.15311920225034301</c:v>
                </c:pt>
                <c:pt idx="32">
                  <c:v>0.87738073447362497</c:v>
                </c:pt>
                <c:pt idx="33">
                  <c:v>2.3856161604618301E-2</c:v>
                </c:pt>
                <c:pt idx="34">
                  <c:v>-6.3089468867708002E-3</c:v>
                </c:pt>
                <c:pt idx="35">
                  <c:v>-0.54676748693733801</c:v>
                </c:pt>
                <c:pt idx="36">
                  <c:v>-0.74160398595426702</c:v>
                </c:pt>
                <c:pt idx="37">
                  <c:v>0.19108756483737399</c:v>
                </c:pt>
                <c:pt idx="38">
                  <c:v>0.55684105431284503</c:v>
                </c:pt>
                <c:pt idx="39">
                  <c:v>0.67831035727212496</c:v>
                </c:pt>
                <c:pt idx="40">
                  <c:v>1.2297658744947999</c:v>
                </c:pt>
                <c:pt idx="41">
                  <c:v>1.2222146224847501</c:v>
                </c:pt>
                <c:pt idx="42">
                  <c:v>1.4253303188975699</c:v>
                </c:pt>
                <c:pt idx="43">
                  <c:v>1.37949391709338</c:v>
                </c:pt>
                <c:pt idx="44">
                  <c:v>2.3552936916697602</c:v>
                </c:pt>
                <c:pt idx="45">
                  <c:v>1.5374741639023</c:v>
                </c:pt>
                <c:pt idx="46">
                  <c:v>2.2838837514911998</c:v>
                </c:pt>
                <c:pt idx="47">
                  <c:v>1.9135485674510999</c:v>
                </c:pt>
                <c:pt idx="48">
                  <c:v>2.4491825541713701</c:v>
                </c:pt>
                <c:pt idx="49">
                  <c:v>2.5526534110032899</c:v>
                </c:pt>
                <c:pt idx="50">
                  <c:v>2.5840081559240602</c:v>
                </c:pt>
                <c:pt idx="51">
                  <c:v>2.4148644200630498</c:v>
                </c:pt>
                <c:pt idx="52">
                  <c:v>3.9548238921332302</c:v>
                </c:pt>
                <c:pt idx="53">
                  <c:v>3.69204821109096</c:v>
                </c:pt>
                <c:pt idx="54">
                  <c:v>3.6560665045196798</c:v>
                </c:pt>
                <c:pt idx="55">
                  <c:v>3.4148458094780998</c:v>
                </c:pt>
                <c:pt idx="56">
                  <c:v>3.6541887906905801</c:v>
                </c:pt>
                <c:pt idx="57">
                  <c:v>3.3024541408817099</c:v>
                </c:pt>
                <c:pt idx="58">
                  <c:v>3.0019500724143602</c:v>
                </c:pt>
                <c:pt idx="59">
                  <c:v>2.2386492923361501</c:v>
                </c:pt>
                <c:pt idx="60">
                  <c:v>2.99683504201096</c:v>
                </c:pt>
                <c:pt idx="61">
                  <c:v>4.0666740909523202</c:v>
                </c:pt>
                <c:pt idx="62">
                  <c:v>4.2688962220348303</c:v>
                </c:pt>
                <c:pt idx="63">
                  <c:v>3.98141631459427</c:v>
                </c:pt>
                <c:pt idx="64">
                  <c:v>3.3905331568686399</c:v>
                </c:pt>
                <c:pt idx="65">
                  <c:v>2.2915628865537099</c:v>
                </c:pt>
                <c:pt idx="66">
                  <c:v>1.0858716259530199</c:v>
                </c:pt>
                <c:pt idx="67">
                  <c:v>-0.235264400370648</c:v>
                </c:pt>
                <c:pt idx="68">
                  <c:v>-0.441359854274264</c:v>
                </c:pt>
                <c:pt idx="69">
                  <c:v>-1.4891524409867201</c:v>
                </c:pt>
                <c:pt idx="70">
                  <c:v>-1.41666847228594</c:v>
                </c:pt>
                <c:pt idx="71">
                  <c:v>-2.02495813353503</c:v>
                </c:pt>
                <c:pt idx="72">
                  <c:v>-2.3385393032841999</c:v>
                </c:pt>
                <c:pt idx="73">
                  <c:v>-2.8800273122865701</c:v>
                </c:pt>
                <c:pt idx="74">
                  <c:v>-3.2202513954505001</c:v>
                </c:pt>
                <c:pt idx="75">
                  <c:v>-3.5148839217935901</c:v>
                </c:pt>
                <c:pt idx="76">
                  <c:v>-3.2352608112765902</c:v>
                </c:pt>
                <c:pt idx="77">
                  <c:v>-3.23980595941969</c:v>
                </c:pt>
                <c:pt idx="78">
                  <c:v>-3.17609832842526</c:v>
                </c:pt>
                <c:pt idx="79">
                  <c:v>-3.49733753832917</c:v>
                </c:pt>
                <c:pt idx="80">
                  <c:v>-3.5498064135093799</c:v>
                </c:pt>
                <c:pt idx="81">
                  <c:v>-4.2030636043475198</c:v>
                </c:pt>
                <c:pt idx="82">
                  <c:v>-4.26739009974703</c:v>
                </c:pt>
                <c:pt idx="83">
                  <c:v>-4.4539595097032603</c:v>
                </c:pt>
                <c:pt idx="84">
                  <c:v>-4.7488794992976899</c:v>
                </c:pt>
                <c:pt idx="85">
                  <c:v>-4.55542712948467</c:v>
                </c:pt>
                <c:pt idx="86">
                  <c:v>-4.0534067014261197</c:v>
                </c:pt>
                <c:pt idx="87">
                  <c:v>-3.26073551379115</c:v>
                </c:pt>
                <c:pt idx="88">
                  <c:v>-2.6273476502577102</c:v>
                </c:pt>
                <c:pt idx="89">
                  <c:v>-2.4222373154544798</c:v>
                </c:pt>
                <c:pt idx="90">
                  <c:v>-2.0455324957330601</c:v>
                </c:pt>
                <c:pt idx="91">
                  <c:v>-1.9301652380173</c:v>
                </c:pt>
                <c:pt idx="92">
                  <c:v>-1.78266434022112</c:v>
                </c:pt>
                <c:pt idx="93">
                  <c:v>-1.5846368104098101</c:v>
                </c:pt>
                <c:pt idx="94">
                  <c:v>-1.1488279779626001</c:v>
                </c:pt>
                <c:pt idx="95">
                  <c:v>-1.36028476649029</c:v>
                </c:pt>
                <c:pt idx="96">
                  <c:v>-1.53861812825136</c:v>
                </c:pt>
                <c:pt idx="97">
                  <c:v>-2.0623015723065201</c:v>
                </c:pt>
                <c:pt idx="98">
                  <c:v>-1.84125154355542</c:v>
                </c:pt>
                <c:pt idx="99">
                  <c:v>-1.8713295822107301</c:v>
                </c:pt>
                <c:pt idx="100">
                  <c:v>-2.2217442668195302</c:v>
                </c:pt>
                <c:pt idx="101">
                  <c:v>-2.61109245074184</c:v>
                </c:pt>
                <c:pt idx="102">
                  <c:v>-2.5780715319102701</c:v>
                </c:pt>
                <c:pt idx="103">
                  <c:v>-2.7202083774665802</c:v>
                </c:pt>
                <c:pt idx="104">
                  <c:v>-2.85636911342226</c:v>
                </c:pt>
                <c:pt idx="105">
                  <c:v>-3.0139097116718099</c:v>
                </c:pt>
                <c:pt idx="106">
                  <c:v>-2.1077174544201198</c:v>
                </c:pt>
                <c:pt idx="107">
                  <c:v>-1.71474855841767</c:v>
                </c:pt>
                <c:pt idx="108">
                  <c:v>-1.52270459796036</c:v>
                </c:pt>
                <c:pt idx="109">
                  <c:v>-1.4176225961003901</c:v>
                </c:pt>
                <c:pt idx="110">
                  <c:v>-0.202113802787869</c:v>
                </c:pt>
                <c:pt idx="111">
                  <c:v>0.18520498398104099</c:v>
                </c:pt>
                <c:pt idx="112">
                  <c:v>1.2549084211727499</c:v>
                </c:pt>
                <c:pt idx="113">
                  <c:v>2.1257921116591101</c:v>
                </c:pt>
                <c:pt idx="114">
                  <c:v>3.32281356986738</c:v>
                </c:pt>
                <c:pt idx="115">
                  <c:v>3.18728390211121</c:v>
                </c:pt>
                <c:pt idx="116">
                  <c:v>3.6400365098110101</c:v>
                </c:pt>
                <c:pt idx="117">
                  <c:v>3.7867305513823202</c:v>
                </c:pt>
                <c:pt idx="118">
                  <c:v>4.7235993315654801</c:v>
                </c:pt>
                <c:pt idx="119">
                  <c:v>5.5447140590472301</c:v>
                </c:pt>
                <c:pt idx="120">
                  <c:v>6.4266309157771904</c:v>
                </c:pt>
                <c:pt idx="121">
                  <c:v>6.9134880746694103</c:v>
                </c:pt>
                <c:pt idx="122">
                  <c:v>7.6288316660630002</c:v>
                </c:pt>
                <c:pt idx="123">
                  <c:v>8.1862116306036707</c:v>
                </c:pt>
                <c:pt idx="124">
                  <c:v>8.9147137474579203</c:v>
                </c:pt>
                <c:pt idx="125">
                  <c:v>8.8305187660422693</c:v>
                </c:pt>
                <c:pt idx="126">
                  <c:v>7.9100023594708304</c:v>
                </c:pt>
                <c:pt idx="127">
                  <c:v>7.1027792398535299</c:v>
                </c:pt>
                <c:pt idx="128">
                  <c:v>7.3328965029308897</c:v>
                </c:pt>
                <c:pt idx="129">
                  <c:v>6.9289143361844898</c:v>
                </c:pt>
                <c:pt idx="130">
                  <c:v>8.2535957030247893</c:v>
                </c:pt>
                <c:pt idx="131">
                  <c:v>7.1659751665564997</c:v>
                </c:pt>
                <c:pt idx="132">
                  <c:v>7.20457251292415</c:v>
                </c:pt>
                <c:pt idx="133">
                  <c:v>6.42725395346128</c:v>
                </c:pt>
                <c:pt idx="134">
                  <c:v>6.7399589778808497</c:v>
                </c:pt>
                <c:pt idx="135">
                  <c:v>6.3755670117286396</c:v>
                </c:pt>
                <c:pt idx="136">
                  <c:v>5.7950074049342</c:v>
                </c:pt>
                <c:pt idx="137">
                  <c:v>4.9128087199025998</c:v>
                </c:pt>
                <c:pt idx="138">
                  <c:v>4.2006062142894498</c:v>
                </c:pt>
                <c:pt idx="139">
                  <c:v>3.2539059720404002</c:v>
                </c:pt>
                <c:pt idx="140">
                  <c:v>2.9887818368553201</c:v>
                </c:pt>
                <c:pt idx="141">
                  <c:v>2.2768890180918402</c:v>
                </c:pt>
                <c:pt idx="142">
                  <c:v>1.5540366041891001</c:v>
                </c:pt>
                <c:pt idx="143">
                  <c:v>0.82996163381886701</c:v>
                </c:pt>
                <c:pt idx="144">
                  <c:v>0.192511956722207</c:v>
                </c:pt>
                <c:pt idx="145">
                  <c:v>-0.10645040729124899</c:v>
                </c:pt>
                <c:pt idx="146">
                  <c:v>-0.27198378621306002</c:v>
                </c:pt>
                <c:pt idx="147">
                  <c:v>-0.78335262328802902</c:v>
                </c:pt>
                <c:pt idx="148">
                  <c:v>-0.86681172155527197</c:v>
                </c:pt>
                <c:pt idx="149">
                  <c:v>-1.11361207166547</c:v>
                </c:pt>
                <c:pt idx="150">
                  <c:v>-1.04211875286114</c:v>
                </c:pt>
                <c:pt idx="151">
                  <c:v>-1.0943469530702199</c:v>
                </c:pt>
                <c:pt idx="152">
                  <c:v>-1.1129085555065299</c:v>
                </c:pt>
                <c:pt idx="153">
                  <c:v>-1.46750441052654</c:v>
                </c:pt>
                <c:pt idx="154">
                  <c:v>-0.99450989172838999</c:v>
                </c:pt>
                <c:pt idx="155">
                  <c:v>-0.940054967725928</c:v>
                </c:pt>
                <c:pt idx="156">
                  <c:v>-0.26254052629666802</c:v>
                </c:pt>
                <c:pt idx="157">
                  <c:v>-8.4384078569092802E-2</c:v>
                </c:pt>
                <c:pt idx="158">
                  <c:v>0.168534964121865</c:v>
                </c:pt>
                <c:pt idx="159">
                  <c:v>-3.2789803239711E-2</c:v>
                </c:pt>
                <c:pt idx="160">
                  <c:v>0.135795208579406</c:v>
                </c:pt>
                <c:pt idx="161">
                  <c:v>-0.14358344500081599</c:v>
                </c:pt>
                <c:pt idx="162">
                  <c:v>0.234184490228936</c:v>
                </c:pt>
                <c:pt idx="163">
                  <c:v>0.33586817993718299</c:v>
                </c:pt>
                <c:pt idx="164">
                  <c:v>0.85339473615813499</c:v>
                </c:pt>
                <c:pt idx="165">
                  <c:v>-5.4118983081676902E-3</c:v>
                </c:pt>
                <c:pt idx="166">
                  <c:v>0.53077953695579705</c:v>
                </c:pt>
                <c:pt idx="167">
                  <c:v>0.91698858287337703</c:v>
                </c:pt>
                <c:pt idx="168">
                  <c:v>1.05768842487473</c:v>
                </c:pt>
                <c:pt idx="169">
                  <c:v>1.3609068434256999</c:v>
                </c:pt>
                <c:pt idx="170">
                  <c:v>4.2050121735232997</c:v>
                </c:pt>
                <c:pt idx="171">
                  <c:v>5.6699585214108303</c:v>
                </c:pt>
                <c:pt idx="172">
                  <c:v>6.2175124680009901</c:v>
                </c:pt>
                <c:pt idx="173">
                  <c:v>6.1943821727760602</c:v>
                </c:pt>
                <c:pt idx="174">
                  <c:v>7.1491637796387897</c:v>
                </c:pt>
                <c:pt idx="175">
                  <c:v>5.6162229247644504</c:v>
                </c:pt>
                <c:pt idx="176">
                  <c:v>4.4165511865548401</c:v>
                </c:pt>
                <c:pt idx="177">
                  <c:v>3.2237556266442402</c:v>
                </c:pt>
                <c:pt idx="178">
                  <c:v>2.8956327072936299</c:v>
                </c:pt>
                <c:pt idx="179">
                  <c:v>2.6269515263436301</c:v>
                </c:pt>
                <c:pt idx="180">
                  <c:v>1.8950718567595599</c:v>
                </c:pt>
                <c:pt idx="181">
                  <c:v>9.0976950146786903E-2</c:v>
                </c:pt>
                <c:pt idx="182">
                  <c:v>-1.9533469294775001</c:v>
                </c:pt>
                <c:pt idx="183">
                  <c:v>-3.74778531995078</c:v>
                </c:pt>
                <c:pt idx="184">
                  <c:v>-5.2538351575706503</c:v>
                </c:pt>
                <c:pt idx="185">
                  <c:v>-6.93364524687955</c:v>
                </c:pt>
                <c:pt idx="186">
                  <c:v>-7.5120363072480902</c:v>
                </c:pt>
                <c:pt idx="187">
                  <c:v>-8.2201919503884895</c:v>
                </c:pt>
                <c:pt idx="188">
                  <c:v>-8.5302970943771701</c:v>
                </c:pt>
                <c:pt idx="189">
                  <c:v>-9.1589367367793901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E4-403B-ABD1-0BC11E2057A8}"/>
            </c:ext>
          </c:extLst>
        </c:ser>
        <c:ser>
          <c:idx val="2"/>
          <c:order val="2"/>
          <c:tx>
            <c:strRef>
              <c:f>'Output R CGAPS3'!$D$1</c:f>
              <c:strCache>
                <c:ptCount val="1"/>
                <c:pt idx="0">
                  <c:v>HCSF</c:v>
                </c:pt>
              </c:strCache>
            </c:strRef>
          </c:tx>
          <c:spPr>
            <a:ln w="3810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'Output R CGAPS3'!$A$2:$A$1900</c:f>
              <c:numCache>
                <c:formatCode>mmm\-yy</c:formatCode>
                <c:ptCount val="189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  <c:pt idx="188">
                  <c:v>45627</c:v>
                </c:pt>
                <c:pt idx="189">
                  <c:v>45717</c:v>
                </c:pt>
              </c:numCache>
            </c:numRef>
          </c:cat>
          <c:val>
            <c:numRef>
              <c:f>'Output R CGAPS3'!$D$2:$D$1900</c:f>
              <c:numCache>
                <c:formatCode>General</c:formatCode>
                <c:ptCount val="1899"/>
                <c:pt idx="0">
                  <c:v>1.7447157936569799</c:v>
                </c:pt>
                <c:pt idx="1">
                  <c:v>3.4027101232302899</c:v>
                </c:pt>
                <c:pt idx="2">
                  <c:v>2.04477099161093</c:v>
                </c:pt>
                <c:pt idx="3">
                  <c:v>0.19031494215427799</c:v>
                </c:pt>
                <c:pt idx="4">
                  <c:v>0.56508444387012002</c:v>
                </c:pt>
                <c:pt idx="5">
                  <c:v>-0.67353818357770401</c:v>
                </c:pt>
                <c:pt idx="6">
                  <c:v>-0.53005081077599303</c:v>
                </c:pt>
                <c:pt idx="7">
                  <c:v>-1.20530514875877</c:v>
                </c:pt>
                <c:pt idx="8">
                  <c:v>-0.120846147932474</c:v>
                </c:pt>
                <c:pt idx="9">
                  <c:v>-1.4556074153601199</c:v>
                </c:pt>
                <c:pt idx="10">
                  <c:v>-0.58295571358900999</c:v>
                </c:pt>
                <c:pt idx="11">
                  <c:v>-0.942460962695152</c:v>
                </c:pt>
                <c:pt idx="12">
                  <c:v>7.4250176905889295E-2</c:v>
                </c:pt>
                <c:pt idx="13">
                  <c:v>-0.25932858098964301</c:v>
                </c:pt>
                <c:pt idx="14">
                  <c:v>-0.76866235230191504</c:v>
                </c:pt>
                <c:pt idx="15">
                  <c:v>-1.1060346720619001</c:v>
                </c:pt>
                <c:pt idx="16">
                  <c:v>-0.712705309096338</c:v>
                </c:pt>
                <c:pt idx="17">
                  <c:v>-1.76241035665812</c:v>
                </c:pt>
                <c:pt idx="18">
                  <c:v>-1.85339011200453</c:v>
                </c:pt>
                <c:pt idx="19">
                  <c:v>-2.0810435652109498</c:v>
                </c:pt>
                <c:pt idx="20">
                  <c:v>-0.245340296084191</c:v>
                </c:pt>
                <c:pt idx="21">
                  <c:v>-0.45306282515721702</c:v>
                </c:pt>
                <c:pt idx="22">
                  <c:v>-0.119926396944614</c:v>
                </c:pt>
                <c:pt idx="23">
                  <c:v>-0.60695524234960896</c:v>
                </c:pt>
                <c:pt idx="24">
                  <c:v>0.68993228206490498</c:v>
                </c:pt>
                <c:pt idx="25">
                  <c:v>-7.6716237236922696E-2</c:v>
                </c:pt>
                <c:pt idx="26">
                  <c:v>0.56159369566236605</c:v>
                </c:pt>
                <c:pt idx="27">
                  <c:v>0.62703697220676902</c:v>
                </c:pt>
                <c:pt idx="28">
                  <c:v>1.51063237745538</c:v>
                </c:pt>
                <c:pt idx="29">
                  <c:v>0.44580894161366202</c:v>
                </c:pt>
                <c:pt idx="30">
                  <c:v>0.45095836581411097</c:v>
                </c:pt>
                <c:pt idx="31">
                  <c:v>0.14865014356363301</c:v>
                </c:pt>
                <c:pt idx="32">
                  <c:v>1.2815405505013799</c:v>
                </c:pt>
                <c:pt idx="33">
                  <c:v>0.25412148867159301</c:v>
                </c:pt>
                <c:pt idx="34">
                  <c:v>0.119177550478358</c:v>
                </c:pt>
                <c:pt idx="35">
                  <c:v>-0.70326204374147205</c:v>
                </c:pt>
                <c:pt idx="36">
                  <c:v>-0.84463018621251895</c:v>
                </c:pt>
                <c:pt idx="37">
                  <c:v>0.49219478485616103</c:v>
                </c:pt>
                <c:pt idx="38">
                  <c:v>0.95708550518327795</c:v>
                </c:pt>
                <c:pt idx="39">
                  <c:v>0.96154345102773997</c:v>
                </c:pt>
                <c:pt idx="40">
                  <c:v>1.5490631434756399</c:v>
                </c:pt>
                <c:pt idx="41">
                  <c:v>1.6116894539463</c:v>
                </c:pt>
                <c:pt idx="42">
                  <c:v>1.8991708376432099</c:v>
                </c:pt>
                <c:pt idx="43">
                  <c:v>1.9837735431729799</c:v>
                </c:pt>
                <c:pt idx="44">
                  <c:v>3.4841196582367502</c:v>
                </c:pt>
                <c:pt idx="45">
                  <c:v>2.45797892367443</c:v>
                </c:pt>
                <c:pt idx="46">
                  <c:v>3.5441587099420202</c:v>
                </c:pt>
                <c:pt idx="47">
                  <c:v>3.1402336601167402</c:v>
                </c:pt>
                <c:pt idx="48">
                  <c:v>4.1646488976845202</c:v>
                </c:pt>
                <c:pt idx="49">
                  <c:v>4.2246186331307998</c:v>
                </c:pt>
                <c:pt idx="50">
                  <c:v>4.1765861327409697</c:v>
                </c:pt>
                <c:pt idx="51">
                  <c:v>3.8615484014288199</c:v>
                </c:pt>
                <c:pt idx="52">
                  <c:v>6.1491604941386999</c:v>
                </c:pt>
                <c:pt idx="53">
                  <c:v>5.8409807435348302</c:v>
                </c:pt>
                <c:pt idx="54">
                  <c:v>5.7896731407513604</c:v>
                </c:pt>
                <c:pt idx="55">
                  <c:v>5.4060535464608304</c:v>
                </c:pt>
                <c:pt idx="56">
                  <c:v>5.8229036495753004</c:v>
                </c:pt>
                <c:pt idx="57">
                  <c:v>5.5438753386018798</c:v>
                </c:pt>
                <c:pt idx="58">
                  <c:v>5.1312641271313604</c:v>
                </c:pt>
                <c:pt idx="59">
                  <c:v>4.0780898244752501</c:v>
                </c:pt>
                <c:pt idx="60">
                  <c:v>5.2738906465601003</c:v>
                </c:pt>
                <c:pt idx="61">
                  <c:v>6.50797785234455</c:v>
                </c:pt>
                <c:pt idx="62">
                  <c:v>6.9041857676735097</c:v>
                </c:pt>
                <c:pt idx="63">
                  <c:v>6.4791917721154997</c:v>
                </c:pt>
                <c:pt idx="64">
                  <c:v>5.2639535879313</c:v>
                </c:pt>
                <c:pt idx="65">
                  <c:v>3.7678466141171598</c:v>
                </c:pt>
                <c:pt idx="66">
                  <c:v>1.9743907561871901</c:v>
                </c:pt>
                <c:pt idx="67">
                  <c:v>0.17284089861138899</c:v>
                </c:pt>
                <c:pt idx="68">
                  <c:v>6.1489299219244002E-2</c:v>
                </c:pt>
                <c:pt idx="69">
                  <c:v>-1.37858595332525</c:v>
                </c:pt>
                <c:pt idx="70">
                  <c:v>-1.1773961446330099</c:v>
                </c:pt>
                <c:pt idx="71">
                  <c:v>-1.9495007661369499</c:v>
                </c:pt>
                <c:pt idx="72">
                  <c:v>-2.3874965527479701</c:v>
                </c:pt>
                <c:pt idx="73">
                  <c:v>-3.1423747553093602</c:v>
                </c:pt>
                <c:pt idx="74">
                  <c:v>-3.54353822802541</c:v>
                </c:pt>
                <c:pt idx="75">
                  <c:v>-4.1425287252828502</c:v>
                </c:pt>
                <c:pt idx="76">
                  <c:v>-3.7638319454414999</c:v>
                </c:pt>
                <c:pt idx="77">
                  <c:v>-3.6366672529320101</c:v>
                </c:pt>
                <c:pt idx="78">
                  <c:v>-3.6131141477206201</c:v>
                </c:pt>
                <c:pt idx="79">
                  <c:v>-4.10228851515072</c:v>
                </c:pt>
                <c:pt idx="80">
                  <c:v>-4.2791059679312102</c:v>
                </c:pt>
                <c:pt idx="81">
                  <c:v>-4.8382623034707297</c:v>
                </c:pt>
                <c:pt idx="82">
                  <c:v>-5.0542139365746896</c:v>
                </c:pt>
                <c:pt idx="83">
                  <c:v>-5.4055295446803502</c:v>
                </c:pt>
                <c:pt idx="84">
                  <c:v>-5.8262228421756799</c:v>
                </c:pt>
                <c:pt idx="85">
                  <c:v>-7.8558506360536704</c:v>
                </c:pt>
                <c:pt idx="86">
                  <c:v>-5.8295962328875701</c:v>
                </c:pt>
                <c:pt idx="87">
                  <c:v>-5.0753275707063601</c:v>
                </c:pt>
                <c:pt idx="88">
                  <c:v>-3.2366367072325599</c:v>
                </c:pt>
                <c:pt idx="89">
                  <c:v>-3.70462519704405</c:v>
                </c:pt>
                <c:pt idx="90">
                  <c:v>-2.5466499021638098</c:v>
                </c:pt>
                <c:pt idx="91">
                  <c:v>-1.2235816014751799</c:v>
                </c:pt>
                <c:pt idx="92">
                  <c:v>-1.0929371933154599</c:v>
                </c:pt>
                <c:pt idx="93">
                  <c:v>-0.346518583219597</c:v>
                </c:pt>
                <c:pt idx="94">
                  <c:v>0.78481300613565097</c:v>
                </c:pt>
                <c:pt idx="95">
                  <c:v>0.73251080914105005</c:v>
                </c:pt>
                <c:pt idx="96">
                  <c:v>0.66565644049984096</c:v>
                </c:pt>
                <c:pt idx="97">
                  <c:v>0.13802842378598201</c:v>
                </c:pt>
                <c:pt idx="98">
                  <c:v>-0.32190535102483903</c:v>
                </c:pt>
                <c:pt idx="99">
                  <c:v>-0.60071556463730602</c:v>
                </c:pt>
                <c:pt idx="100">
                  <c:v>-0.79836683544772602</c:v>
                </c:pt>
                <c:pt idx="101">
                  <c:v>-0.81389021412700602</c:v>
                </c:pt>
                <c:pt idx="102">
                  <c:v>-0.95863110404590501</c:v>
                </c:pt>
                <c:pt idx="103">
                  <c:v>-1.5318229033309401</c:v>
                </c:pt>
                <c:pt idx="104">
                  <c:v>-3.1880989425705302</c:v>
                </c:pt>
                <c:pt idx="105">
                  <c:v>-3.41221383142733</c:v>
                </c:pt>
                <c:pt idx="106">
                  <c:v>-2.1454021887714201</c:v>
                </c:pt>
                <c:pt idx="107">
                  <c:v>-2.0802760145363299</c:v>
                </c:pt>
                <c:pt idx="108">
                  <c:v>-2.25237875656609</c:v>
                </c:pt>
                <c:pt idx="109">
                  <c:v>-2.4816032928000902</c:v>
                </c:pt>
                <c:pt idx="110">
                  <c:v>-0.57766150620064305</c:v>
                </c:pt>
                <c:pt idx="111">
                  <c:v>-0.507775225362048</c:v>
                </c:pt>
                <c:pt idx="112">
                  <c:v>0.14010096164479099</c:v>
                </c:pt>
                <c:pt idx="113">
                  <c:v>0.700975337268535</c:v>
                </c:pt>
                <c:pt idx="114">
                  <c:v>1.76194219607656</c:v>
                </c:pt>
                <c:pt idx="115">
                  <c:v>1.5779507672376401</c:v>
                </c:pt>
                <c:pt idx="116">
                  <c:v>1.90950680320692</c:v>
                </c:pt>
                <c:pt idx="117">
                  <c:v>2.1529253126210599</c:v>
                </c:pt>
                <c:pt idx="118">
                  <c:v>3.5465859784537801</c:v>
                </c:pt>
                <c:pt idx="119">
                  <c:v>3.41045873729513</c:v>
                </c:pt>
                <c:pt idx="120">
                  <c:v>2.8386026866660101</c:v>
                </c:pt>
                <c:pt idx="121">
                  <c:v>3.0584309306064101</c:v>
                </c:pt>
                <c:pt idx="122">
                  <c:v>4.30821674972234</c:v>
                </c:pt>
                <c:pt idx="123">
                  <c:v>5.2647007175732297</c:v>
                </c:pt>
                <c:pt idx="124">
                  <c:v>6.1468567237808296</c:v>
                </c:pt>
                <c:pt idx="125">
                  <c:v>6.22305579436411</c:v>
                </c:pt>
                <c:pt idx="126">
                  <c:v>6.98399431632029</c:v>
                </c:pt>
                <c:pt idx="127">
                  <c:v>7.22369128281243</c:v>
                </c:pt>
                <c:pt idx="128">
                  <c:v>7.7025596306234201</c:v>
                </c:pt>
                <c:pt idx="129">
                  <c:v>7.6067516796549004</c:v>
                </c:pt>
                <c:pt idx="130">
                  <c:v>8.7027668752299991</c:v>
                </c:pt>
                <c:pt idx="131">
                  <c:v>8.0503263061598105</c:v>
                </c:pt>
                <c:pt idx="132">
                  <c:v>8.4884655235860205</c:v>
                </c:pt>
                <c:pt idx="133">
                  <c:v>7.2478512433761804</c:v>
                </c:pt>
                <c:pt idx="134">
                  <c:v>8.4064470114907301</c:v>
                </c:pt>
                <c:pt idx="135">
                  <c:v>8.7178410654999094</c:v>
                </c:pt>
                <c:pt idx="136">
                  <c:v>8.1728113674766103</c:v>
                </c:pt>
                <c:pt idx="137">
                  <c:v>8.4875571169786799</c:v>
                </c:pt>
                <c:pt idx="138">
                  <c:v>9.0463698966890007</c:v>
                </c:pt>
                <c:pt idx="139">
                  <c:v>8.4339821634634795</c:v>
                </c:pt>
                <c:pt idx="140">
                  <c:v>7.5912410820356797</c:v>
                </c:pt>
                <c:pt idx="141">
                  <c:v>6.6352526942802497</c:v>
                </c:pt>
                <c:pt idx="142">
                  <c:v>4.7795948363680099</c:v>
                </c:pt>
                <c:pt idx="143">
                  <c:v>4.4799529154473898</c:v>
                </c:pt>
                <c:pt idx="144">
                  <c:v>3.1389257080411102</c:v>
                </c:pt>
                <c:pt idx="145">
                  <c:v>2.7381317482966701</c:v>
                </c:pt>
                <c:pt idx="146">
                  <c:v>3.2489513155503</c:v>
                </c:pt>
                <c:pt idx="147">
                  <c:v>3.1683634732907699</c:v>
                </c:pt>
                <c:pt idx="148">
                  <c:v>2.6828178753191199</c:v>
                </c:pt>
                <c:pt idx="149">
                  <c:v>1.48667142528992</c:v>
                </c:pt>
                <c:pt idx="150">
                  <c:v>0.21666559579007599</c:v>
                </c:pt>
                <c:pt idx="151">
                  <c:v>9.8466055142261505E-2</c:v>
                </c:pt>
                <c:pt idx="152">
                  <c:v>0.23927886642120499</c:v>
                </c:pt>
                <c:pt idx="153">
                  <c:v>-2.0292897536929502</c:v>
                </c:pt>
                <c:pt idx="154">
                  <c:v>-1.3543484425758501</c:v>
                </c:pt>
                <c:pt idx="155">
                  <c:v>-0.90647334791310796</c:v>
                </c:pt>
                <c:pt idx="156">
                  <c:v>-0.53636409289948395</c:v>
                </c:pt>
                <c:pt idx="157">
                  <c:v>0.36792453131685399</c:v>
                </c:pt>
                <c:pt idx="158">
                  <c:v>7.9859214421735505E-2</c:v>
                </c:pt>
                <c:pt idx="159">
                  <c:v>-0.30650189745814999</c:v>
                </c:pt>
                <c:pt idx="160">
                  <c:v>-0.63336651289494195</c:v>
                </c:pt>
                <c:pt idx="161">
                  <c:v>-1.4329385686351199</c:v>
                </c:pt>
                <c:pt idx="162">
                  <c:v>-0.10155390694055499</c:v>
                </c:pt>
                <c:pt idx="163">
                  <c:v>0.271556531178407</c:v>
                </c:pt>
                <c:pt idx="164">
                  <c:v>0.16485641830390699</c:v>
                </c:pt>
                <c:pt idx="165">
                  <c:v>0.19132163342282801</c:v>
                </c:pt>
                <c:pt idx="166">
                  <c:v>1.24660145553503</c:v>
                </c:pt>
                <c:pt idx="167">
                  <c:v>1.9013562293489801</c:v>
                </c:pt>
                <c:pt idx="168">
                  <c:v>0.98439246804637903</c:v>
                </c:pt>
                <c:pt idx="169">
                  <c:v>1.17479464732243</c:v>
                </c:pt>
                <c:pt idx="170">
                  <c:v>6.7808325970494803</c:v>
                </c:pt>
                <c:pt idx="171">
                  <c:v>7.8480045989028904</c:v>
                </c:pt>
                <c:pt idx="172">
                  <c:v>8.6085790837448606</c:v>
                </c:pt>
                <c:pt idx="173">
                  <c:v>6.5710856452015003</c:v>
                </c:pt>
                <c:pt idx="174">
                  <c:v>6.7546917135150304</c:v>
                </c:pt>
                <c:pt idx="175">
                  <c:v>4.2256029722975201</c:v>
                </c:pt>
                <c:pt idx="176">
                  <c:v>2.4404362627090301</c:v>
                </c:pt>
                <c:pt idx="177">
                  <c:v>-0.814624348464562</c:v>
                </c:pt>
                <c:pt idx="178">
                  <c:v>-3.0605963627018</c:v>
                </c:pt>
                <c:pt idx="179">
                  <c:v>-3.1488936487663399</c:v>
                </c:pt>
                <c:pt idx="180">
                  <c:v>-3.9191507481344101</c:v>
                </c:pt>
                <c:pt idx="181">
                  <c:v>-6.0826476416476103</c:v>
                </c:pt>
                <c:pt idx="182">
                  <c:v>-8.4295329717660401</c:v>
                </c:pt>
                <c:pt idx="183">
                  <c:v>-10.2396294943853</c:v>
                </c:pt>
                <c:pt idx="184">
                  <c:v>-10.508662742165001</c:v>
                </c:pt>
                <c:pt idx="185">
                  <c:v>-13.7152238821146</c:v>
                </c:pt>
                <c:pt idx="186">
                  <c:v>-13.672255584419799</c:v>
                </c:pt>
                <c:pt idx="187">
                  <c:v>-13.537979628669101</c:v>
                </c:pt>
                <c:pt idx="188">
                  <c:v>-13.729572899831499</c:v>
                </c:pt>
                <c:pt idx="189">
                  <c:v>-14.229772819472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E4-403B-ABD1-0BC11E2057A8}"/>
            </c:ext>
          </c:extLst>
        </c:ser>
        <c:ser>
          <c:idx val="3"/>
          <c:order val="3"/>
          <c:tx>
            <c:strRef>
              <c:f>'Output R CGAPS3'!$E$1</c:f>
              <c:strCache>
                <c:ptCount val="1"/>
                <c:pt idx="0">
                  <c:v>HCSF net</c:v>
                </c:pt>
              </c:strCache>
            </c:strRef>
          </c:tx>
          <c:spPr>
            <a:ln w="38100" cap="rnd">
              <a:solidFill>
                <a:srgbClr val="FFCC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'Output R CGAPS3'!$A$2:$A$1900</c:f>
              <c:numCache>
                <c:formatCode>mmm\-yy</c:formatCode>
                <c:ptCount val="189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  <c:pt idx="188">
                  <c:v>45627</c:v>
                </c:pt>
                <c:pt idx="189">
                  <c:v>45717</c:v>
                </c:pt>
              </c:numCache>
            </c:numRef>
          </c:cat>
          <c:val>
            <c:numRef>
              <c:f>'Output R CGAPS3'!$E$2:$E$1900</c:f>
              <c:numCache>
                <c:formatCode>General</c:formatCode>
                <c:ptCount val="1899"/>
                <c:pt idx="0">
                  <c:v>1.03446143744368</c:v>
                </c:pt>
                <c:pt idx="1">
                  <c:v>2.3286025699978401</c:v>
                </c:pt>
                <c:pt idx="2">
                  <c:v>1.28775691316267</c:v>
                </c:pt>
                <c:pt idx="3">
                  <c:v>-0.10990440734355</c:v>
                </c:pt>
                <c:pt idx="4">
                  <c:v>0.20828419203037499</c:v>
                </c:pt>
                <c:pt idx="5">
                  <c:v>-0.66823814652924995</c:v>
                </c:pt>
                <c:pt idx="6">
                  <c:v>-0.36852448282448802</c:v>
                </c:pt>
                <c:pt idx="7">
                  <c:v>-0.73267973411185805</c:v>
                </c:pt>
                <c:pt idx="8">
                  <c:v>8.2732452285738195E-2</c:v>
                </c:pt>
                <c:pt idx="9">
                  <c:v>-0.83031108517360797</c:v>
                </c:pt>
                <c:pt idx="10">
                  <c:v>-0.20227946268956601</c:v>
                </c:pt>
                <c:pt idx="11">
                  <c:v>-0.50015223724945701</c:v>
                </c:pt>
                <c:pt idx="12">
                  <c:v>0.29976709661669299</c:v>
                </c:pt>
                <c:pt idx="13">
                  <c:v>5.1423922828606798E-2</c:v>
                </c:pt>
                <c:pt idx="14">
                  <c:v>-0.39402162331676799</c:v>
                </c:pt>
                <c:pt idx="15">
                  <c:v>-0.70803257350291404</c:v>
                </c:pt>
                <c:pt idx="16">
                  <c:v>-0.51130188209966898</c:v>
                </c:pt>
                <c:pt idx="17">
                  <c:v>-1.35147908698585</c:v>
                </c:pt>
                <c:pt idx="18">
                  <c:v>-1.4378666277973899</c:v>
                </c:pt>
                <c:pt idx="19">
                  <c:v>-1.5893273216980199</c:v>
                </c:pt>
                <c:pt idx="20">
                  <c:v>-0.16740469488559501</c:v>
                </c:pt>
                <c:pt idx="21">
                  <c:v>-0.275521196336175</c:v>
                </c:pt>
                <c:pt idx="22">
                  <c:v>-4.4134822244475298E-2</c:v>
                </c:pt>
                <c:pt idx="23">
                  <c:v>-0.400039348316032</c:v>
                </c:pt>
                <c:pt idx="24">
                  <c:v>0.40866831301060702</c:v>
                </c:pt>
                <c:pt idx="25">
                  <c:v>-0.163029744543639</c:v>
                </c:pt>
                <c:pt idx="26">
                  <c:v>0.35229041400756</c:v>
                </c:pt>
                <c:pt idx="27">
                  <c:v>0.39398679811641102</c:v>
                </c:pt>
                <c:pt idx="28">
                  <c:v>1.1007318213744299</c:v>
                </c:pt>
                <c:pt idx="29">
                  <c:v>0.42936954418762002</c:v>
                </c:pt>
                <c:pt idx="30">
                  <c:v>0.39936602119065101</c:v>
                </c:pt>
                <c:pt idx="31">
                  <c:v>0.15185187722554599</c:v>
                </c:pt>
                <c:pt idx="32">
                  <c:v>0.99199141309193095</c:v>
                </c:pt>
                <c:pt idx="33">
                  <c:v>8.9154254959842999E-2</c:v>
                </c:pt>
                <c:pt idx="34">
                  <c:v>2.9276215343873899E-2</c:v>
                </c:pt>
                <c:pt idx="35">
                  <c:v>-0.59114584085602595</c:v>
                </c:pt>
                <c:pt idx="36">
                  <c:v>-0.77081991059297605</c:v>
                </c:pt>
                <c:pt idx="37">
                  <c:v>0.276474833572811</c:v>
                </c:pt>
                <c:pt idx="38">
                  <c:v>0.67034142299947097</c:v>
                </c:pt>
                <c:pt idx="39">
                  <c:v>0.75862892382715397</c:v>
                </c:pt>
                <c:pt idx="40">
                  <c:v>1.3203114340176101</c:v>
                </c:pt>
                <c:pt idx="41">
                  <c:v>1.33266096813405</c:v>
                </c:pt>
                <c:pt idx="42">
                  <c:v>1.5597008853334899</c:v>
                </c:pt>
                <c:pt idx="43">
                  <c:v>1.5508540951063201</c:v>
                </c:pt>
                <c:pt idx="44">
                  <c:v>2.6754034723544402</c:v>
                </c:pt>
                <c:pt idx="45">
                  <c:v>1.7985087126255199</c:v>
                </c:pt>
                <c:pt idx="46">
                  <c:v>2.6412695244097599</c:v>
                </c:pt>
                <c:pt idx="47">
                  <c:v>2.2614090061833498</c:v>
                </c:pt>
                <c:pt idx="48">
                  <c:v>2.93565041658597</c:v>
                </c:pt>
                <c:pt idx="49">
                  <c:v>3.02678532895992</c:v>
                </c:pt>
                <c:pt idx="50">
                  <c:v>3.0356276278188399</c:v>
                </c:pt>
                <c:pt idx="51">
                  <c:v>2.8251116199954001</c:v>
                </c:pt>
                <c:pt idx="52">
                  <c:v>4.5770886426089499</c:v>
                </c:pt>
                <c:pt idx="53">
                  <c:v>4.3014373835945099</c:v>
                </c:pt>
                <c:pt idx="54">
                  <c:v>4.2611095958552001</c:v>
                </c:pt>
                <c:pt idx="55">
                  <c:v>3.9795077599129201</c:v>
                </c:pt>
                <c:pt idx="56">
                  <c:v>4.2691877882388898</c:v>
                </c:pt>
                <c:pt idx="57">
                  <c:v>3.9380710289360299</c:v>
                </c:pt>
                <c:pt idx="58">
                  <c:v>3.6057758837014902</c:v>
                </c:pt>
                <c:pt idx="59">
                  <c:v>2.7602734600688499</c:v>
                </c:pt>
                <c:pt idx="60">
                  <c:v>3.6425570503342102</c:v>
                </c:pt>
                <c:pt idx="61">
                  <c:v>4.7589732006376204</c:v>
                </c:pt>
                <c:pt idx="62">
                  <c:v>5.0162053586775404</c:v>
                </c:pt>
                <c:pt idx="63">
                  <c:v>4.6897295334497597</c:v>
                </c:pt>
                <c:pt idx="64">
                  <c:v>3.9217932634566601</c:v>
                </c:pt>
                <c:pt idx="65">
                  <c:v>2.71020391205735</c:v>
                </c:pt>
                <c:pt idx="66">
                  <c:v>1.3378357659864299</c:v>
                </c:pt>
                <c:pt idx="67">
                  <c:v>-0.119534871087455</c:v>
                </c:pt>
                <c:pt idx="68">
                  <c:v>-0.29876308824498299</c:v>
                </c:pt>
                <c:pt idx="69">
                  <c:v>-1.4577982595941099</c:v>
                </c:pt>
                <c:pt idx="70">
                  <c:v>-1.3488161951436299</c:v>
                </c:pt>
                <c:pt idx="71">
                  <c:v>-2.0035601128974001</c:v>
                </c:pt>
                <c:pt idx="72">
                  <c:v>-2.3524224835554501</c:v>
                </c:pt>
                <c:pt idx="73">
                  <c:v>-2.9544231757202999</c:v>
                </c:pt>
                <c:pt idx="74">
                  <c:v>-3.3119283059210001</c:v>
                </c:pt>
                <c:pt idx="75">
                  <c:v>-3.6928699412007999</c:v>
                </c:pt>
                <c:pt idx="76">
                  <c:v>-3.3851517553592201</c:v>
                </c:pt>
                <c:pt idx="77">
                  <c:v>-3.3523469403954902</c:v>
                </c:pt>
                <c:pt idx="78">
                  <c:v>-3.3000262342438602</c:v>
                </c:pt>
                <c:pt idx="79">
                  <c:v>-3.6688880963874801</c:v>
                </c:pt>
                <c:pt idx="80">
                  <c:v>-3.7566194452199602</c:v>
                </c:pt>
                <c:pt idx="81">
                  <c:v>-4.3831917394982902</c:v>
                </c:pt>
                <c:pt idx="82">
                  <c:v>-4.4905157305387302</c:v>
                </c:pt>
                <c:pt idx="83">
                  <c:v>-4.7238034752251901</c:v>
                </c:pt>
                <c:pt idx="84">
                  <c:v>-5.0543899600993196</c:v>
                </c:pt>
                <c:pt idx="85">
                  <c:v>-7.0925563323799201</c:v>
                </c:pt>
                <c:pt idx="86">
                  <c:v>-5.8620409595068299</c:v>
                </c:pt>
                <c:pt idx="87">
                  <c:v>-4.8266877710165899</c:v>
                </c:pt>
                <c:pt idx="88">
                  <c:v>-2.5221429617087199</c:v>
                </c:pt>
                <c:pt idx="89">
                  <c:v>-3.92032810720498</c:v>
                </c:pt>
                <c:pt idx="90">
                  <c:v>-2.4987459540209001</c:v>
                </c:pt>
                <c:pt idx="91">
                  <c:v>-1.3964416218543201</c:v>
                </c:pt>
                <c:pt idx="92">
                  <c:v>-1.5158740108511699</c:v>
                </c:pt>
                <c:pt idx="93">
                  <c:v>-1.16020593587792</c:v>
                </c:pt>
                <c:pt idx="94">
                  <c:v>-0.57791363018422903</c:v>
                </c:pt>
                <c:pt idx="95">
                  <c:v>-0.84760634991317696</c:v>
                </c:pt>
                <c:pt idx="96">
                  <c:v>-1.2837819413657301</c:v>
                </c:pt>
                <c:pt idx="97">
                  <c:v>-1.6990172702252799</c:v>
                </c:pt>
                <c:pt idx="98">
                  <c:v>-1.7230609151371199</c:v>
                </c:pt>
                <c:pt idx="99">
                  <c:v>-2.3459195636957602</c:v>
                </c:pt>
                <c:pt idx="100">
                  <c:v>-2.27942184763292</c:v>
                </c:pt>
                <c:pt idx="101">
                  <c:v>-2.9286884146697898</c:v>
                </c:pt>
                <c:pt idx="102">
                  <c:v>-3.5596670228393799</c:v>
                </c:pt>
                <c:pt idx="103">
                  <c:v>-4.2571908498423401</c:v>
                </c:pt>
                <c:pt idx="104">
                  <c:v>-5.9334430303995704</c:v>
                </c:pt>
                <c:pt idx="105">
                  <c:v>-6.5397161494224196</c:v>
                </c:pt>
                <c:pt idx="106">
                  <c:v>-5.0764411424935103</c:v>
                </c:pt>
                <c:pt idx="107">
                  <c:v>-4.8053863689929903</c:v>
                </c:pt>
                <c:pt idx="108">
                  <c:v>-5.0610532756025304</c:v>
                </c:pt>
                <c:pt idx="109">
                  <c:v>-5.4095899972756598</c:v>
                </c:pt>
                <c:pt idx="110">
                  <c:v>-3.4883752716274699</c:v>
                </c:pt>
                <c:pt idx="111">
                  <c:v>-3.6310333272343698</c:v>
                </c:pt>
                <c:pt idx="112">
                  <c:v>-2.98324979970478</c:v>
                </c:pt>
                <c:pt idx="113">
                  <c:v>-2.2298301999477301</c:v>
                </c:pt>
                <c:pt idx="114">
                  <c:v>-1.46318849976965</c:v>
                </c:pt>
                <c:pt idx="115">
                  <c:v>-1.57144831252255</c:v>
                </c:pt>
                <c:pt idx="116">
                  <c:v>-0.66011046399407503</c:v>
                </c:pt>
                <c:pt idx="117">
                  <c:v>-0.34601670637662402</c:v>
                </c:pt>
                <c:pt idx="118">
                  <c:v>0.99219012627057601</c:v>
                </c:pt>
                <c:pt idx="119">
                  <c:v>1.8294321280324</c:v>
                </c:pt>
                <c:pt idx="120">
                  <c:v>1.8720104034748299</c:v>
                </c:pt>
                <c:pt idx="121">
                  <c:v>1.99995563207675</c:v>
                </c:pt>
                <c:pt idx="122">
                  <c:v>3.1776671330887201</c:v>
                </c:pt>
                <c:pt idx="123">
                  <c:v>3.9652612675227301</c:v>
                </c:pt>
                <c:pt idx="124">
                  <c:v>4.2872607158234297</c:v>
                </c:pt>
                <c:pt idx="125">
                  <c:v>4.6824791763777203</c:v>
                </c:pt>
                <c:pt idx="126">
                  <c:v>4.7722234582862901</c:v>
                </c:pt>
                <c:pt idx="127">
                  <c:v>5.1013319812713096</c:v>
                </c:pt>
                <c:pt idx="128">
                  <c:v>4.73168082134573</c:v>
                </c:pt>
                <c:pt idx="129">
                  <c:v>6.0082379880896202</c:v>
                </c:pt>
                <c:pt idx="130">
                  <c:v>7.3952455121392902</c:v>
                </c:pt>
                <c:pt idx="131">
                  <c:v>6.2662482068766598</c:v>
                </c:pt>
                <c:pt idx="132">
                  <c:v>5.7180153262117202</c:v>
                </c:pt>
                <c:pt idx="133">
                  <c:v>4.9046491502595897</c:v>
                </c:pt>
                <c:pt idx="134">
                  <c:v>6.3040681715167599</c:v>
                </c:pt>
                <c:pt idx="135">
                  <c:v>7.2654208489977696</c:v>
                </c:pt>
                <c:pt idx="136">
                  <c:v>6.9837085363181002</c:v>
                </c:pt>
                <c:pt idx="137">
                  <c:v>7.9293782159389297</c:v>
                </c:pt>
                <c:pt idx="138">
                  <c:v>8.7767425846405107</c:v>
                </c:pt>
                <c:pt idx="139">
                  <c:v>8.3728105977114904</c:v>
                </c:pt>
                <c:pt idx="140">
                  <c:v>6.8734438068179999</c:v>
                </c:pt>
                <c:pt idx="141">
                  <c:v>6.54139354167022</c:v>
                </c:pt>
                <c:pt idx="142">
                  <c:v>5.2911559084901096</c:v>
                </c:pt>
                <c:pt idx="143">
                  <c:v>5.0411903292308402</c:v>
                </c:pt>
                <c:pt idx="144">
                  <c:v>2.75636037563351</c:v>
                </c:pt>
                <c:pt idx="145">
                  <c:v>3.5984630672567199</c:v>
                </c:pt>
                <c:pt idx="146">
                  <c:v>3.9459068533680299</c:v>
                </c:pt>
                <c:pt idx="147">
                  <c:v>4.5491732554923701</c:v>
                </c:pt>
                <c:pt idx="148">
                  <c:v>3.15395437872498</c:v>
                </c:pt>
                <c:pt idx="149">
                  <c:v>2.1359760603534301</c:v>
                </c:pt>
                <c:pt idx="150">
                  <c:v>1.13622556304334</c:v>
                </c:pt>
                <c:pt idx="151">
                  <c:v>0.74923509901926499</c:v>
                </c:pt>
                <c:pt idx="152">
                  <c:v>-0.134298722861276</c:v>
                </c:pt>
                <c:pt idx="153">
                  <c:v>-1.2738430242171199</c:v>
                </c:pt>
                <c:pt idx="154">
                  <c:v>-0.70815470447025397</c:v>
                </c:pt>
                <c:pt idx="155">
                  <c:v>-0.66240609894513203</c:v>
                </c:pt>
                <c:pt idx="156">
                  <c:v>-1.1462285341988001</c:v>
                </c:pt>
                <c:pt idx="157">
                  <c:v>-0.90736694269516704</c:v>
                </c:pt>
                <c:pt idx="158">
                  <c:v>0.13190461262369599</c:v>
                </c:pt>
                <c:pt idx="159">
                  <c:v>-0.71148874457051003</c:v>
                </c:pt>
                <c:pt idx="160">
                  <c:v>-0.87839060490763299</c:v>
                </c:pt>
                <c:pt idx="161">
                  <c:v>-1.4327617749005599</c:v>
                </c:pt>
                <c:pt idx="162">
                  <c:v>0.238521398830565</c:v>
                </c:pt>
                <c:pt idx="163">
                  <c:v>0.934970361858809</c:v>
                </c:pt>
                <c:pt idx="164">
                  <c:v>0.36294789105691699</c:v>
                </c:pt>
                <c:pt idx="165">
                  <c:v>0.48967059438465499</c:v>
                </c:pt>
                <c:pt idx="166">
                  <c:v>2.03012526177766</c:v>
                </c:pt>
                <c:pt idx="167">
                  <c:v>2.2699038411134902</c:v>
                </c:pt>
                <c:pt idx="168">
                  <c:v>1.1308537224233901</c:v>
                </c:pt>
                <c:pt idx="169">
                  <c:v>0.64685659090120595</c:v>
                </c:pt>
                <c:pt idx="170">
                  <c:v>0.79900957920419202</c:v>
                </c:pt>
                <c:pt idx="171">
                  <c:v>1.2821937121111899</c:v>
                </c:pt>
                <c:pt idx="172">
                  <c:v>1.4967443008494801</c:v>
                </c:pt>
                <c:pt idx="173">
                  <c:v>0.39800690807764999</c:v>
                </c:pt>
                <c:pt idx="174">
                  <c:v>1.5846752271432201</c:v>
                </c:pt>
                <c:pt idx="175">
                  <c:v>-0.13129440122220501</c:v>
                </c:pt>
                <c:pt idx="176">
                  <c:v>-1.6726319189734</c:v>
                </c:pt>
                <c:pt idx="177">
                  <c:v>-3.6824461802940198</c:v>
                </c:pt>
                <c:pt idx="178">
                  <c:v>-5.0392956361283003</c:v>
                </c:pt>
                <c:pt idx="179">
                  <c:v>-4.5285624917396303</c:v>
                </c:pt>
                <c:pt idx="180">
                  <c:v>-5.1313173812161397</c:v>
                </c:pt>
                <c:pt idx="181">
                  <c:v>-6.3058584068185199</c:v>
                </c:pt>
                <c:pt idx="182">
                  <c:v>-6.7631036225512302</c:v>
                </c:pt>
                <c:pt idx="183">
                  <c:v>-8.0514657207215095</c:v>
                </c:pt>
                <c:pt idx="184">
                  <c:v>-8.3839087183322096</c:v>
                </c:pt>
                <c:pt idx="185">
                  <c:v>-11.0736033891163</c:v>
                </c:pt>
                <c:pt idx="186">
                  <c:v>-10.344849604505599</c:v>
                </c:pt>
                <c:pt idx="187">
                  <c:v>-9.1801799930082897</c:v>
                </c:pt>
                <c:pt idx="188">
                  <c:v>-9.9953232835562993</c:v>
                </c:pt>
                <c:pt idx="189">
                  <c:v>-10.2648711148118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E4-403B-ABD1-0BC11E2057A8}"/>
            </c:ext>
          </c:extLst>
        </c:ser>
        <c:ser>
          <c:idx val="4"/>
          <c:order val="4"/>
          <c:tx>
            <c:strRef>
              <c:f>'Output R CGAPS3'!$H$1</c:f>
              <c:strCache>
                <c:ptCount val="1"/>
                <c:pt idx="0">
                  <c:v>Seuil ESRB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'Output R CGAPS3'!$A$2:$A$1900</c:f>
              <c:numCache>
                <c:formatCode>mmm\-yy</c:formatCode>
                <c:ptCount val="189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  <c:pt idx="188">
                  <c:v>45627</c:v>
                </c:pt>
                <c:pt idx="189">
                  <c:v>45717</c:v>
                </c:pt>
              </c:numCache>
            </c:numRef>
          </c:cat>
          <c:val>
            <c:numRef>
              <c:f>'Output R CGAPS3'!$H$2:$H$1900</c:f>
              <c:numCache>
                <c:formatCode>General</c:formatCode>
                <c:ptCount val="189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E4-403B-ABD1-0BC11E205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499024"/>
        <c:axId val="348494864"/>
      </c:lineChart>
      <c:dateAx>
        <c:axId val="348499024"/>
        <c:scaling>
          <c:orientation val="minMax"/>
          <c:max val="45717"/>
          <c:min val="36526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yyyy" sourceLinked="0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48494864"/>
        <c:crosses val="autoZero"/>
        <c:auto val="0"/>
        <c:lblOffset val="0"/>
        <c:baseTimeUnit val="days"/>
        <c:majorUnit val="2"/>
        <c:majorTimeUnit val="years"/>
        <c:minorUnit val="1"/>
        <c:minorTimeUnit val="years"/>
      </c:dateAx>
      <c:valAx>
        <c:axId val="348494864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;&quot;-&quot;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48499024"/>
        <c:crosses val="autoZero"/>
        <c:crossBetween val="midCat"/>
        <c:majorUnit val="2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Contributions</a:t>
            </a:r>
            <a:r>
              <a:rPr lang="fr-FR" baseline="0"/>
              <a:t> au gap HCSF (corrigé des baisses de PIB)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v>Ménages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'Output R CGAPS3'!$A$2:$A$190</c:f>
              <c:numCache>
                <c:formatCode>mmm\-yy</c:formatCode>
                <c:ptCount val="18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  <c:pt idx="188">
                  <c:v>45627</c:v>
                </c:pt>
              </c:numCache>
            </c:numRef>
          </c:cat>
          <c:val>
            <c:numRef>
              <c:f>'Output R CGAPS3'!$F$2:$F$190</c:f>
              <c:numCache>
                <c:formatCode>General</c:formatCode>
                <c:ptCount val="189"/>
                <c:pt idx="0">
                  <c:v>-0.86268901042781398</c:v>
                </c:pt>
                <c:pt idx="1">
                  <c:v>-0.54043104852358503</c:v>
                </c:pt>
                <c:pt idx="2">
                  <c:v>-0.73429277285422301</c:v>
                </c:pt>
                <c:pt idx="3">
                  <c:v>-0.91181610049540995</c:v>
                </c:pt>
                <c:pt idx="4">
                  <c:v>-0.74475995568494902</c:v>
                </c:pt>
                <c:pt idx="5">
                  <c:v>-0.65408129191475495</c:v>
                </c:pt>
                <c:pt idx="6">
                  <c:v>6.2926225975168601E-2</c:v>
                </c:pt>
                <c:pt idx="7">
                  <c:v>0.52974338125387099</c:v>
                </c:pt>
                <c:pt idx="8">
                  <c:v>0.626508395653675</c:v>
                </c:pt>
                <c:pt idx="9">
                  <c:v>0.83990917111660301</c:v>
                </c:pt>
                <c:pt idx="10">
                  <c:v>0.81453953119657097</c:v>
                </c:pt>
                <c:pt idx="11">
                  <c:v>0.68129239485479598</c:v>
                </c:pt>
                <c:pt idx="12">
                  <c:v>0.902142177444058</c:v>
                </c:pt>
                <c:pt idx="13">
                  <c:v>0.88147057673315699</c:v>
                </c:pt>
                <c:pt idx="14">
                  <c:v>0.60667597264641904</c:v>
                </c:pt>
                <c:pt idx="15">
                  <c:v>0.35506524903017</c:v>
                </c:pt>
                <c:pt idx="16">
                  <c:v>2.6663986588034701E-2</c:v>
                </c:pt>
                <c:pt idx="17">
                  <c:v>-0.25384633685440899</c:v>
                </c:pt>
                <c:pt idx="18">
                  <c:v>-0.32796767783865499</c:v>
                </c:pt>
                <c:pt idx="19">
                  <c:v>-0.27591096114257202</c:v>
                </c:pt>
                <c:pt idx="20">
                  <c:v>4.0767996243521898E-2</c:v>
                </c:pt>
                <c:pt idx="21">
                  <c:v>0.19870775796331</c:v>
                </c:pt>
                <c:pt idx="22">
                  <c:v>0.15831098977965799</c:v>
                </c:pt>
                <c:pt idx="23">
                  <c:v>0.152650793748562</c:v>
                </c:pt>
                <c:pt idx="24">
                  <c:v>-0.34261192933294499</c:v>
                </c:pt>
                <c:pt idx="25">
                  <c:v>-0.39358054315797297</c:v>
                </c:pt>
                <c:pt idx="26">
                  <c:v>-0.20677664564330001</c:v>
                </c:pt>
                <c:pt idx="27">
                  <c:v>-0.228510252812303</c:v>
                </c:pt>
                <c:pt idx="28">
                  <c:v>5.8521958586370201E-3</c:v>
                </c:pt>
                <c:pt idx="29">
                  <c:v>0.38545850032465101</c:v>
                </c:pt>
                <c:pt idx="30">
                  <c:v>0.26155843317251298</c:v>
                </c:pt>
                <c:pt idx="31">
                  <c:v>0.160403983097921</c:v>
                </c:pt>
                <c:pt idx="32">
                  <c:v>0.21858077377413901</c:v>
                </c:pt>
                <c:pt idx="33">
                  <c:v>-0.35148740894907798</c:v>
                </c:pt>
                <c:pt idx="34">
                  <c:v>-0.210857979853422</c:v>
                </c:pt>
                <c:pt idx="35">
                  <c:v>-0.29167382402564901</c:v>
                </c:pt>
                <c:pt idx="36">
                  <c:v>-0.57366631875062601</c:v>
                </c:pt>
                <c:pt idx="37">
                  <c:v>-0.299731702313842</c:v>
                </c:pt>
                <c:pt idx="38">
                  <c:v>-9.5576672652690806E-2</c:v>
                </c:pt>
                <c:pt idx="39">
                  <c:v>0.21662677658139801</c:v>
                </c:pt>
                <c:pt idx="40">
                  <c:v>0.70929595167201098</c:v>
                </c:pt>
                <c:pt idx="41">
                  <c:v>0.58735189372030305</c:v>
                </c:pt>
                <c:pt idx="42">
                  <c:v>0.65294745759392403</c:v>
                </c:pt>
                <c:pt idx="43">
                  <c:v>0.39448903010229402</c:v>
                </c:pt>
                <c:pt idx="44">
                  <c:v>0.51525301241570298</c:v>
                </c:pt>
                <c:pt idx="45">
                  <c:v>3.70070825338241E-2</c:v>
                </c:pt>
                <c:pt idx="46">
                  <c:v>0.22957488610678001</c:v>
                </c:pt>
                <c:pt idx="47">
                  <c:v>-8.60071993282603E-2</c:v>
                </c:pt>
                <c:pt idx="48">
                  <c:v>-0.34711018664419402</c:v>
                </c:pt>
                <c:pt idx="49">
                  <c:v>-0.17273040734460299</c:v>
                </c:pt>
                <c:pt idx="50">
                  <c:v>-1.19706300169122E-2</c:v>
                </c:pt>
                <c:pt idx="51">
                  <c:v>5.66998716040822E-2</c:v>
                </c:pt>
                <c:pt idx="52">
                  <c:v>0.377949572041541</c:v>
                </c:pt>
                <c:pt idx="53">
                  <c:v>0.18918471062203299</c:v>
                </c:pt>
                <c:pt idx="54">
                  <c:v>0.17818495282911601</c:v>
                </c:pt>
                <c:pt idx="55">
                  <c:v>0.169081320168669</c:v>
                </c:pt>
                <c:pt idx="56">
                  <c:v>0.11907914559042</c:v>
                </c:pt>
                <c:pt idx="57">
                  <c:v>-0.35117033738067599</c:v>
                </c:pt>
                <c:pt idx="58">
                  <c:v>-0.46893436471649103</c:v>
                </c:pt>
                <c:pt idx="59">
                  <c:v>-0.75972734538242503</c:v>
                </c:pt>
                <c:pt idx="60">
                  <c:v>-0.71487523520389995</c:v>
                </c:pt>
                <c:pt idx="61">
                  <c:v>8.7231409421069703E-2</c:v>
                </c:pt>
                <c:pt idx="62">
                  <c:v>-2.6752628367603899E-2</c:v>
                </c:pt>
                <c:pt idx="63">
                  <c:v>-9.0077950778404303E-2</c:v>
                </c:pt>
                <c:pt idx="64">
                  <c:v>0.336767647749104</c:v>
                </c:pt>
                <c:pt idx="65">
                  <c:v>-0.114850673455512</c:v>
                </c:pt>
                <c:pt idx="66">
                  <c:v>-0.36245733913824602</c:v>
                </c:pt>
                <c:pt idx="67">
                  <c:v>-0.90049568826319903</c:v>
                </c:pt>
                <c:pt idx="68">
                  <c:v>-1.2610281870025299</c:v>
                </c:pt>
                <c:pt idx="69">
                  <c:v>-1.66938113972749</c:v>
                </c:pt>
                <c:pt idx="70">
                  <c:v>-1.80669388748786</c:v>
                </c:pt>
                <c:pt idx="71">
                  <c:v>-2.14795727571807</c:v>
                </c:pt>
                <c:pt idx="72">
                  <c:v>-2.2587366293327</c:v>
                </c:pt>
                <c:pt idx="73">
                  <c:v>-2.4523883479487001</c:v>
                </c:pt>
                <c:pt idx="74">
                  <c:v>-2.6932782918689901</c:v>
                </c:pt>
                <c:pt idx="75">
                  <c:v>-2.4917926705751698</c:v>
                </c:pt>
                <c:pt idx="76">
                  <c:v>-2.3736644115224701</c:v>
                </c:pt>
                <c:pt idx="77">
                  <c:v>-2.5929029418490899</c:v>
                </c:pt>
                <c:pt idx="78">
                  <c:v>-2.4637415003601699</c:v>
                </c:pt>
                <c:pt idx="79">
                  <c:v>-2.5112383173025901</c:v>
                </c:pt>
                <c:pt idx="80">
                  <c:v>-2.36101302352442</c:v>
                </c:pt>
                <c:pt idx="81">
                  <c:v>-3.1676591395205</c:v>
                </c:pt>
                <c:pt idx="82">
                  <c:v>-2.9848293596066502</c:v>
                </c:pt>
                <c:pt idx="83">
                  <c:v>-2.9028545339360901</c:v>
                </c:pt>
                <c:pt idx="84">
                  <c:v>-2.9927579755804401</c:v>
                </c:pt>
                <c:pt idx="85">
                  <c:v>-2.7078336895031199</c:v>
                </c:pt>
                <c:pt idx="86">
                  <c:v>-2.1039380782320798</c:v>
                </c:pt>
                <c:pt idx="87">
                  <c:v>-1.72181057465818</c:v>
                </c:pt>
                <c:pt idx="88">
                  <c:v>-1.51149660723163</c:v>
                </c:pt>
                <c:pt idx="89">
                  <c:v>-1.6064656044793699</c:v>
                </c:pt>
                <c:pt idx="90">
                  <c:v>-1.6027385625480399</c:v>
                </c:pt>
                <c:pt idx="91">
                  <c:v>-1.54403730766282</c:v>
                </c:pt>
                <c:pt idx="92">
                  <c:v>-1.6650577558741999</c:v>
                </c:pt>
                <c:pt idx="93">
                  <c:v>-1.6955910814811701</c:v>
                </c:pt>
                <c:pt idx="94">
                  <c:v>-1.5373501390737601</c:v>
                </c:pt>
                <c:pt idx="95">
                  <c:v>-1.49018591084241</c:v>
                </c:pt>
                <c:pt idx="96">
                  <c:v>-1.41825277230417</c:v>
                </c:pt>
                <c:pt idx="97">
                  <c:v>-1.3473849180831901</c:v>
                </c:pt>
                <c:pt idx="98">
                  <c:v>-1.1551152378720799</c:v>
                </c:pt>
                <c:pt idx="99">
                  <c:v>-0.96269418429515496</c:v>
                </c:pt>
                <c:pt idx="100">
                  <c:v>-0.87577993439158996</c:v>
                </c:pt>
                <c:pt idx="101">
                  <c:v>-0.86170851753994404</c:v>
                </c:pt>
                <c:pt idx="102">
                  <c:v>-0.62598254473680404</c:v>
                </c:pt>
                <c:pt idx="103">
                  <c:v>-0.17913925422669399</c:v>
                </c:pt>
                <c:pt idx="104">
                  <c:v>0.101795772197562</c:v>
                </c:pt>
                <c:pt idx="105">
                  <c:v>0.20191756716717801</c:v>
                </c:pt>
                <c:pt idx="106">
                  <c:v>0.870100007619379</c:v>
                </c:pt>
                <c:pt idx="107">
                  <c:v>1.09221687921388</c:v>
                </c:pt>
                <c:pt idx="108">
                  <c:v>1.1773662232600901</c:v>
                </c:pt>
                <c:pt idx="109">
                  <c:v>1.3616148648448101</c:v>
                </c:pt>
                <c:pt idx="110">
                  <c:v>2.0163877532657102</c:v>
                </c:pt>
                <c:pt idx="111">
                  <c:v>2.3761463033304802</c:v>
                </c:pt>
                <c:pt idx="112">
                  <c:v>2.92620932416391</c:v>
                </c:pt>
                <c:pt idx="113">
                  <c:v>3.08665519140671</c:v>
                </c:pt>
                <c:pt idx="114">
                  <c:v>3.6393548620989802</c:v>
                </c:pt>
                <c:pt idx="115">
                  <c:v>3.7684773416458399</c:v>
                </c:pt>
                <c:pt idx="116">
                  <c:v>3.91391466359324</c:v>
                </c:pt>
                <c:pt idx="117">
                  <c:v>3.9362543351113599</c:v>
                </c:pt>
                <c:pt idx="118">
                  <c:v>4.3154315708604303</c:v>
                </c:pt>
                <c:pt idx="119">
                  <c:v>4.5002421087170301</c:v>
                </c:pt>
                <c:pt idx="120">
                  <c:v>4.6841935243837201</c:v>
                </c:pt>
                <c:pt idx="121">
                  <c:v>4.5224094368873597</c:v>
                </c:pt>
                <c:pt idx="122">
                  <c:v>4.6350214736321496</c:v>
                </c:pt>
                <c:pt idx="123">
                  <c:v>4.8461115795971601</c:v>
                </c:pt>
                <c:pt idx="124">
                  <c:v>4.9651317909624604</c:v>
                </c:pt>
                <c:pt idx="125">
                  <c:v>5.04068998070814</c:v>
                </c:pt>
                <c:pt idx="126">
                  <c:v>4.8026314360350097</c:v>
                </c:pt>
                <c:pt idx="127">
                  <c:v>4.7611042557821799</c:v>
                </c:pt>
                <c:pt idx="128">
                  <c:v>5.25372149954043</c:v>
                </c:pt>
                <c:pt idx="129">
                  <c:v>4.9232082051998596</c:v>
                </c:pt>
                <c:pt idx="130">
                  <c:v>5.6873366396638101</c:v>
                </c:pt>
                <c:pt idx="131">
                  <c:v>5.18785822620913</c:v>
                </c:pt>
                <c:pt idx="132">
                  <c:v>5.4320911416883302</c:v>
                </c:pt>
                <c:pt idx="133">
                  <c:v>4.9431161877201903</c:v>
                </c:pt>
                <c:pt idx="134">
                  <c:v>4.95708178419763</c:v>
                </c:pt>
                <c:pt idx="135">
                  <c:v>4.5455215737219001</c:v>
                </c:pt>
                <c:pt idx="136">
                  <c:v>4.2031961146203196</c:v>
                </c:pt>
                <c:pt idx="137">
                  <c:v>3.6840522206229198</c:v>
                </c:pt>
                <c:pt idx="138">
                  <c:v>3.2847214363336601</c:v>
                </c:pt>
                <c:pt idx="139">
                  <c:v>2.6994497272682998</c:v>
                </c:pt>
                <c:pt idx="140">
                  <c:v>2.6069391682168401</c:v>
                </c:pt>
                <c:pt idx="141">
                  <c:v>2.1414506367246098</c:v>
                </c:pt>
                <c:pt idx="142">
                  <c:v>1.6967549513518101</c:v>
                </c:pt>
                <c:pt idx="143">
                  <c:v>1.42846092899074</c:v>
                </c:pt>
                <c:pt idx="144">
                  <c:v>0.97472610792288505</c:v>
                </c:pt>
                <c:pt idx="145">
                  <c:v>0.73841655071883305</c:v>
                </c:pt>
                <c:pt idx="146">
                  <c:v>0.48941398169907702</c:v>
                </c:pt>
                <c:pt idx="147">
                  <c:v>8.4430758947149104E-2</c:v>
                </c:pt>
                <c:pt idx="148">
                  <c:v>-0.100568540127548</c:v>
                </c:pt>
                <c:pt idx="149">
                  <c:v>-0.59901879461521501</c:v>
                </c:pt>
                <c:pt idx="150">
                  <c:v>-0.72829528453306702</c:v>
                </c:pt>
                <c:pt idx="151">
                  <c:v>-0.742590794261621</c:v>
                </c:pt>
                <c:pt idx="152">
                  <c:v>-0.90511810958956496</c:v>
                </c:pt>
                <c:pt idx="153">
                  <c:v>-1.5451717232212601</c:v>
                </c:pt>
                <c:pt idx="154">
                  <c:v>-1.4465971782045399</c:v>
                </c:pt>
                <c:pt idx="155">
                  <c:v>-1.24343906487002</c:v>
                </c:pt>
                <c:pt idx="156">
                  <c:v>-0.75126775154227299</c:v>
                </c:pt>
                <c:pt idx="157">
                  <c:v>-0.88549302735037805</c:v>
                </c:pt>
                <c:pt idx="158">
                  <c:v>-0.64932233622269397</c:v>
                </c:pt>
                <c:pt idx="159">
                  <c:v>-0.80291986030415796</c:v>
                </c:pt>
                <c:pt idx="160">
                  <c:v>-0.751112135392909</c:v>
                </c:pt>
                <c:pt idx="161">
                  <c:v>-0.98776088996536704</c:v>
                </c:pt>
                <c:pt idx="162">
                  <c:v>-0.79727807342273305</c:v>
                </c:pt>
                <c:pt idx="163">
                  <c:v>-0.73495840589765704</c:v>
                </c:pt>
                <c:pt idx="164">
                  <c:v>-0.48265666382741002</c:v>
                </c:pt>
                <c:pt idx="165">
                  <c:v>-1.2886158033905299</c:v>
                </c:pt>
                <c:pt idx="166">
                  <c:v>-0.95895465901622401</c:v>
                </c:pt>
                <c:pt idx="167">
                  <c:v>-0.51807070134738298</c:v>
                </c:pt>
                <c:pt idx="168">
                  <c:v>-0.20410257107134799</c:v>
                </c:pt>
                <c:pt idx="169">
                  <c:v>-0.28456554385115801</c:v>
                </c:pt>
                <c:pt idx="170">
                  <c:v>-8.9485243718200796E-2</c:v>
                </c:pt>
                <c:pt idx="171">
                  <c:v>0.48847987339578502</c:v>
                </c:pt>
                <c:pt idx="172">
                  <c:v>1.05426287526701</c:v>
                </c:pt>
                <c:pt idx="173">
                  <c:v>1.0893120349852901</c:v>
                </c:pt>
                <c:pt idx="174">
                  <c:v>2.1473543400564101</c:v>
                </c:pt>
                <c:pt idx="175">
                  <c:v>1.6112273510274799</c:v>
                </c:pt>
                <c:pt idx="176">
                  <c:v>0.90245377881781697</c:v>
                </c:pt>
                <c:pt idx="177">
                  <c:v>6.37107127970611E-2</c:v>
                </c:pt>
                <c:pt idx="178">
                  <c:v>-9.3066173940705002E-2</c:v>
                </c:pt>
                <c:pt idx="179">
                  <c:v>-0.34583470450820297</c:v>
                </c:pt>
                <c:pt idx="180">
                  <c:v>-1.01572869317472</c:v>
                </c:pt>
                <c:pt idx="181">
                  <c:v>-1.98692329312477</c:v>
                </c:pt>
                <c:pt idx="182">
                  <c:v>-2.9905085154338802</c:v>
                </c:pt>
                <c:pt idx="183">
                  <c:v>-3.94759305273588</c:v>
                </c:pt>
                <c:pt idx="184">
                  <c:v>-4.9079083975759801</c:v>
                </c:pt>
                <c:pt idx="185">
                  <c:v>-5.8132777148391801</c:v>
                </c:pt>
                <c:pt idx="186">
                  <c:v>-6.2583664514517903</c:v>
                </c:pt>
                <c:pt idx="187">
                  <c:v>-6.6241467660894902</c:v>
                </c:pt>
                <c:pt idx="188">
                  <c:v>-6.8758638483798702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0-4B41-925A-A863867E8DC3}"/>
            </c:ext>
          </c:extLst>
        </c:ser>
        <c:ser>
          <c:idx val="2"/>
          <c:order val="2"/>
          <c:tx>
            <c:v>Entreprises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'Output R CGAPS3'!$A$2:$A$190</c:f>
              <c:numCache>
                <c:formatCode>mmm\-yy</c:formatCode>
                <c:ptCount val="18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  <c:pt idx="188">
                  <c:v>45627</c:v>
                </c:pt>
              </c:numCache>
            </c:numRef>
          </c:cat>
          <c:val>
            <c:numRef>
              <c:f>'Output R CGAPS3'!$G$2:$G$190</c:f>
              <c:numCache>
                <c:formatCode>General</c:formatCode>
                <c:ptCount val="189"/>
                <c:pt idx="0">
                  <c:v>2.6074048040848199</c:v>
                </c:pt>
                <c:pt idx="1">
                  <c:v>3.9431411717540001</c:v>
                </c:pt>
                <c:pt idx="2">
                  <c:v>2.7790637644652199</c:v>
                </c:pt>
                <c:pt idx="3">
                  <c:v>1.1021310426497199</c:v>
                </c:pt>
                <c:pt idx="4">
                  <c:v>1.3098443995550799</c:v>
                </c:pt>
                <c:pt idx="5">
                  <c:v>-1.94568916629645E-2</c:v>
                </c:pt>
                <c:pt idx="6">
                  <c:v>-0.59297703675119695</c:v>
                </c:pt>
                <c:pt idx="7">
                  <c:v>-1.7350485300126901</c:v>
                </c:pt>
                <c:pt idx="8">
                  <c:v>-0.74735454358626296</c:v>
                </c:pt>
                <c:pt idx="9">
                  <c:v>-2.2955165864768099</c:v>
                </c:pt>
                <c:pt idx="10">
                  <c:v>-1.3974952447856599</c:v>
                </c:pt>
                <c:pt idx="11">
                  <c:v>-1.6237533575499901</c:v>
                </c:pt>
                <c:pt idx="12">
                  <c:v>-0.82789200053822198</c:v>
                </c:pt>
                <c:pt idx="13">
                  <c:v>-1.14079915772283</c:v>
                </c:pt>
                <c:pt idx="14">
                  <c:v>-1.3753383249483599</c:v>
                </c:pt>
                <c:pt idx="15">
                  <c:v>-1.4610999210921201</c:v>
                </c:pt>
                <c:pt idx="16">
                  <c:v>-0.73936929568441001</c:v>
                </c:pt>
                <c:pt idx="17">
                  <c:v>-1.50856401980373</c:v>
                </c:pt>
                <c:pt idx="18">
                  <c:v>-1.5254224341659199</c:v>
                </c:pt>
                <c:pt idx="19">
                  <c:v>-1.80513260406835</c:v>
                </c:pt>
                <c:pt idx="20">
                  <c:v>-0.28610829232767998</c:v>
                </c:pt>
                <c:pt idx="21">
                  <c:v>-0.65177058312048397</c:v>
                </c:pt>
                <c:pt idx="22">
                  <c:v>-0.27823738672425002</c:v>
                </c:pt>
                <c:pt idx="23">
                  <c:v>-0.75960603609814203</c:v>
                </c:pt>
                <c:pt idx="24">
                  <c:v>1.03254421139786</c:v>
                </c:pt>
                <c:pt idx="25">
                  <c:v>0.31686430592104903</c:v>
                </c:pt>
                <c:pt idx="26">
                  <c:v>0.76837034130567206</c:v>
                </c:pt>
                <c:pt idx="27">
                  <c:v>0.85554722501906</c:v>
                </c:pt>
                <c:pt idx="28">
                  <c:v>1.5047801815967501</c:v>
                </c:pt>
                <c:pt idx="29">
                  <c:v>6.0350441289009897E-2</c:v>
                </c:pt>
                <c:pt idx="30">
                  <c:v>0.18939993264160701</c:v>
                </c:pt>
                <c:pt idx="31">
                  <c:v>-1.17538395342712E-2</c:v>
                </c:pt>
                <c:pt idx="32">
                  <c:v>1.0629597767272501</c:v>
                </c:pt>
                <c:pt idx="33">
                  <c:v>0.60560889762068504</c:v>
                </c:pt>
                <c:pt idx="34">
                  <c:v>0.330035530331791</c:v>
                </c:pt>
                <c:pt idx="35">
                  <c:v>-0.411588219715808</c:v>
                </c:pt>
                <c:pt idx="36">
                  <c:v>-0.270963867461882</c:v>
                </c:pt>
                <c:pt idx="37">
                  <c:v>0.79192648717001601</c:v>
                </c:pt>
                <c:pt idx="38">
                  <c:v>1.0526621778359699</c:v>
                </c:pt>
                <c:pt idx="39">
                  <c:v>0.74491667444635001</c:v>
                </c:pt>
                <c:pt idx="40">
                  <c:v>0.83976719180364501</c:v>
                </c:pt>
                <c:pt idx="41">
                  <c:v>1.0243375602260001</c:v>
                </c:pt>
                <c:pt idx="42">
                  <c:v>1.2462233800492999</c:v>
                </c:pt>
                <c:pt idx="43">
                  <c:v>1.5892845130707001</c:v>
                </c:pt>
                <c:pt idx="44">
                  <c:v>2.96886664582106</c:v>
                </c:pt>
                <c:pt idx="45">
                  <c:v>2.42097184114062</c:v>
                </c:pt>
                <c:pt idx="46">
                  <c:v>3.3145838238352501</c:v>
                </c:pt>
                <c:pt idx="47">
                  <c:v>3.22624085944501</c:v>
                </c:pt>
                <c:pt idx="48">
                  <c:v>4.5117590843287303</c:v>
                </c:pt>
                <c:pt idx="49">
                  <c:v>4.3973490404754099</c:v>
                </c:pt>
                <c:pt idx="50">
                  <c:v>4.1885567627578899</c:v>
                </c:pt>
                <c:pt idx="51">
                  <c:v>3.8048485298247501</c:v>
                </c:pt>
                <c:pt idx="52">
                  <c:v>5.7712109220971701</c:v>
                </c:pt>
                <c:pt idx="53">
                  <c:v>5.6517960329127996</c:v>
                </c:pt>
                <c:pt idx="54">
                  <c:v>5.6114881879222498</c:v>
                </c:pt>
                <c:pt idx="55">
                  <c:v>5.2369722262921599</c:v>
                </c:pt>
                <c:pt idx="56">
                  <c:v>5.7038245039848796</c:v>
                </c:pt>
                <c:pt idx="57">
                  <c:v>5.89504567598257</c:v>
                </c:pt>
                <c:pt idx="58">
                  <c:v>5.60019849184786</c:v>
                </c:pt>
                <c:pt idx="59">
                  <c:v>4.8378171698576899</c:v>
                </c:pt>
                <c:pt idx="60">
                  <c:v>5.9887658817640101</c:v>
                </c:pt>
                <c:pt idx="61">
                  <c:v>6.4207464429234902</c:v>
                </c:pt>
                <c:pt idx="62">
                  <c:v>6.9309383960411202</c:v>
                </c:pt>
                <c:pt idx="63">
                  <c:v>6.5692697228939103</c:v>
                </c:pt>
                <c:pt idx="64">
                  <c:v>4.9271859401822198</c:v>
                </c:pt>
                <c:pt idx="65">
                  <c:v>3.8826972875726802</c:v>
                </c:pt>
                <c:pt idx="66">
                  <c:v>2.33684809532545</c:v>
                </c:pt>
                <c:pt idx="67">
                  <c:v>1.0733365868746001</c:v>
                </c:pt>
                <c:pt idx="68">
                  <c:v>1.3225174862217901</c:v>
                </c:pt>
                <c:pt idx="69">
                  <c:v>0.29079518640226099</c:v>
                </c:pt>
                <c:pt idx="70">
                  <c:v>0.62929774285486495</c:v>
                </c:pt>
                <c:pt idx="71">
                  <c:v>0.19845650958113401</c:v>
                </c:pt>
                <c:pt idx="72">
                  <c:v>-0.12875992341525599</c:v>
                </c:pt>
                <c:pt idx="73">
                  <c:v>-0.68998640736064099</c:v>
                </c:pt>
                <c:pt idx="74">
                  <c:v>-0.85025993615641504</c:v>
                </c:pt>
                <c:pt idx="75">
                  <c:v>-1.6507360547076599</c:v>
                </c:pt>
                <c:pt idx="76">
                  <c:v>-1.39016753391901</c:v>
                </c:pt>
                <c:pt idx="77">
                  <c:v>-1.0437643110829</c:v>
                </c:pt>
                <c:pt idx="78">
                  <c:v>-1.14937264736043</c:v>
                </c:pt>
                <c:pt idx="79">
                  <c:v>-1.59105019784812</c:v>
                </c:pt>
                <c:pt idx="80">
                  <c:v>-1.91809294440678</c:v>
                </c:pt>
                <c:pt idx="81">
                  <c:v>-1.6706031639502299</c:v>
                </c:pt>
                <c:pt idx="82">
                  <c:v>-2.0693845769680199</c:v>
                </c:pt>
                <c:pt idx="83">
                  <c:v>-2.5026750107442499</c:v>
                </c:pt>
                <c:pt idx="84">
                  <c:v>-2.83346486659523</c:v>
                </c:pt>
                <c:pt idx="85">
                  <c:v>-5.1480169465505501</c:v>
                </c:pt>
                <c:pt idx="86">
                  <c:v>-3.7256581546554899</c:v>
                </c:pt>
                <c:pt idx="87">
                  <c:v>-3.3535169960481799</c:v>
                </c:pt>
                <c:pt idx="88">
                  <c:v>-1.7251401000009201</c:v>
                </c:pt>
                <c:pt idx="89">
                  <c:v>-2.0981595925646701</c:v>
                </c:pt>
                <c:pt idx="90">
                  <c:v>-0.94391133961576601</c:v>
                </c:pt>
                <c:pt idx="91">
                  <c:v>0.32045570618765001</c:v>
                </c:pt>
                <c:pt idx="92">
                  <c:v>0.572120562558739</c:v>
                </c:pt>
                <c:pt idx="93">
                  <c:v>1.34907249826158</c:v>
                </c:pt>
                <c:pt idx="94">
                  <c:v>2.32216314520941</c:v>
                </c:pt>
                <c:pt idx="95">
                  <c:v>2.2226967199834702</c:v>
                </c:pt>
                <c:pt idx="96">
                  <c:v>2.0839092128040102</c:v>
                </c:pt>
                <c:pt idx="97">
                  <c:v>1.4854133418691799</c:v>
                </c:pt>
                <c:pt idx="98">
                  <c:v>0.83320988684724595</c:v>
                </c:pt>
                <c:pt idx="99">
                  <c:v>0.361978619657843</c:v>
                </c:pt>
                <c:pt idx="100">
                  <c:v>7.7413098943865194E-2</c:v>
                </c:pt>
                <c:pt idx="101">
                  <c:v>4.7818303412938801E-2</c:v>
                </c:pt>
                <c:pt idx="102">
                  <c:v>-0.33264855930909998</c:v>
                </c:pt>
                <c:pt idx="103">
                  <c:v>-1.35268364910425</c:v>
                </c:pt>
                <c:pt idx="104">
                  <c:v>-3.2898947147681001</c:v>
                </c:pt>
                <c:pt idx="105">
                  <c:v>-3.6141313985945001</c:v>
                </c:pt>
                <c:pt idx="106">
                  <c:v>-3.0155021963908002</c:v>
                </c:pt>
                <c:pt idx="107">
                  <c:v>-3.1724928937502201</c:v>
                </c:pt>
                <c:pt idx="108">
                  <c:v>-3.4297449798261801</c:v>
                </c:pt>
                <c:pt idx="109">
                  <c:v>-3.8432181576448898</c:v>
                </c:pt>
                <c:pt idx="110">
                  <c:v>-2.5940492594663498</c:v>
                </c:pt>
                <c:pt idx="111">
                  <c:v>-2.8839215286925302</c:v>
                </c:pt>
                <c:pt idx="112">
                  <c:v>-2.7861083625191099</c:v>
                </c:pt>
                <c:pt idx="113">
                  <c:v>-2.3856798541381798</c:v>
                </c:pt>
                <c:pt idx="114">
                  <c:v>-1.87741266602242</c:v>
                </c:pt>
                <c:pt idx="115">
                  <c:v>-2.1905265744081901</c:v>
                </c:pt>
                <c:pt idx="116">
                  <c:v>-2.0044078603863098</c:v>
                </c:pt>
                <c:pt idx="117">
                  <c:v>-1.7833290224903</c:v>
                </c:pt>
                <c:pt idx="118">
                  <c:v>-0.76884559240665096</c:v>
                </c:pt>
                <c:pt idx="119">
                  <c:v>-1.0897833714218901</c:v>
                </c:pt>
                <c:pt idx="120">
                  <c:v>-1.8455908377176999</c:v>
                </c:pt>
                <c:pt idx="121">
                  <c:v>-1.4639785062809501</c:v>
                </c:pt>
                <c:pt idx="122">
                  <c:v>-0.32680472390982002</c:v>
                </c:pt>
                <c:pt idx="123">
                  <c:v>0.41858913797608099</c:v>
                </c:pt>
                <c:pt idx="124">
                  <c:v>1.1817249328183701</c:v>
                </c:pt>
                <c:pt idx="125">
                  <c:v>1.18236581365597</c:v>
                </c:pt>
                <c:pt idx="126">
                  <c:v>2.18136288028527</c:v>
                </c:pt>
                <c:pt idx="127">
                  <c:v>2.4625870270302399</c:v>
                </c:pt>
                <c:pt idx="128">
                  <c:v>2.4488381310829999</c:v>
                </c:pt>
                <c:pt idx="129">
                  <c:v>2.6835434744550399</c:v>
                </c:pt>
                <c:pt idx="130">
                  <c:v>3.0154302355661802</c:v>
                </c:pt>
                <c:pt idx="131">
                  <c:v>2.8624680799506801</c:v>
                </c:pt>
                <c:pt idx="132">
                  <c:v>3.0563743818976898</c:v>
                </c:pt>
                <c:pt idx="133">
                  <c:v>2.30473505565599</c:v>
                </c:pt>
                <c:pt idx="134">
                  <c:v>3.4493652272931099</c:v>
                </c:pt>
                <c:pt idx="135">
                  <c:v>4.17231949177802</c:v>
                </c:pt>
                <c:pt idx="136">
                  <c:v>3.9696152528563</c:v>
                </c:pt>
                <c:pt idx="137">
                  <c:v>4.8035048963557596</c:v>
                </c:pt>
                <c:pt idx="138">
                  <c:v>5.7616484603553504</c:v>
                </c:pt>
                <c:pt idx="139">
                  <c:v>5.7345324361951802</c:v>
                </c:pt>
                <c:pt idx="140">
                  <c:v>4.9843019138188502</c:v>
                </c:pt>
                <c:pt idx="141">
                  <c:v>4.4938020575556399</c:v>
                </c:pt>
                <c:pt idx="142">
                  <c:v>3.08283988501621</c:v>
                </c:pt>
                <c:pt idx="143">
                  <c:v>3.0514919864566501</c:v>
                </c:pt>
                <c:pt idx="144">
                  <c:v>2.16419960011822</c:v>
                </c:pt>
                <c:pt idx="145">
                  <c:v>1.99971519757783</c:v>
                </c:pt>
                <c:pt idx="146">
                  <c:v>2.7595373338512199</c:v>
                </c:pt>
                <c:pt idx="147">
                  <c:v>3.0839327143436299</c:v>
                </c:pt>
                <c:pt idx="148">
                  <c:v>2.7833864154466701</c:v>
                </c:pt>
                <c:pt idx="149">
                  <c:v>2.0856902199051399</c:v>
                </c:pt>
                <c:pt idx="150">
                  <c:v>0.94496088032313896</c:v>
                </c:pt>
                <c:pt idx="151">
                  <c:v>0.84105684940388503</c:v>
                </c:pt>
                <c:pt idx="152">
                  <c:v>1.14439697601076</c:v>
                </c:pt>
                <c:pt idx="153">
                  <c:v>-0.484118030471684</c:v>
                </c:pt>
                <c:pt idx="154">
                  <c:v>9.2248735628687004E-2</c:v>
                </c:pt>
                <c:pt idx="155">
                  <c:v>0.33696571695691502</c:v>
                </c:pt>
                <c:pt idx="156">
                  <c:v>0.21490365864279101</c:v>
                </c:pt>
                <c:pt idx="157">
                  <c:v>1.25341755866723</c:v>
                </c:pt>
                <c:pt idx="158">
                  <c:v>0.72918155064441703</c:v>
                </c:pt>
                <c:pt idx="159">
                  <c:v>0.49641796284599599</c:v>
                </c:pt>
                <c:pt idx="160">
                  <c:v>0.117745622497976</c:v>
                </c:pt>
                <c:pt idx="161">
                  <c:v>-0.44517767866976699</c:v>
                </c:pt>
                <c:pt idx="162">
                  <c:v>0.69572416648218705</c:v>
                </c:pt>
                <c:pt idx="163">
                  <c:v>1.00651493707605</c:v>
                </c:pt>
                <c:pt idx="164">
                  <c:v>0.64751308213132697</c:v>
                </c:pt>
                <c:pt idx="165">
                  <c:v>1.47993743681336</c:v>
                </c:pt>
                <c:pt idx="166">
                  <c:v>2.2055561145512801</c:v>
                </c:pt>
                <c:pt idx="167">
                  <c:v>2.41942693069638</c:v>
                </c:pt>
                <c:pt idx="168">
                  <c:v>1.18849503911772</c:v>
                </c:pt>
                <c:pt idx="169">
                  <c:v>1.4593601911736001</c:v>
                </c:pt>
                <c:pt idx="170">
                  <c:v>6.8703178407676901</c:v>
                </c:pt>
                <c:pt idx="171">
                  <c:v>7.3595247255071001</c:v>
                </c:pt>
                <c:pt idx="172">
                  <c:v>7.5543162084778501</c:v>
                </c:pt>
                <c:pt idx="173">
                  <c:v>5.4817736102162096</c:v>
                </c:pt>
                <c:pt idx="174">
                  <c:v>4.6073373734585896</c:v>
                </c:pt>
                <c:pt idx="175">
                  <c:v>2.61437562127003</c:v>
                </c:pt>
                <c:pt idx="176">
                  <c:v>1.53798248389119</c:v>
                </c:pt>
                <c:pt idx="177">
                  <c:v>-0.87833506126165595</c:v>
                </c:pt>
                <c:pt idx="178">
                  <c:v>-2.9675301887611298</c:v>
                </c:pt>
                <c:pt idx="179">
                  <c:v>-2.8030589442581801</c:v>
                </c:pt>
                <c:pt idx="180">
                  <c:v>-2.9034220549597198</c:v>
                </c:pt>
                <c:pt idx="181">
                  <c:v>-4.0957243485229098</c:v>
                </c:pt>
                <c:pt idx="182">
                  <c:v>-5.4390244563322199</c:v>
                </c:pt>
                <c:pt idx="183">
                  <c:v>-6.2920364416494801</c:v>
                </c:pt>
                <c:pt idx="184">
                  <c:v>-5.6007543445890802</c:v>
                </c:pt>
                <c:pt idx="185">
                  <c:v>-7.90194616727549</c:v>
                </c:pt>
                <c:pt idx="186">
                  <c:v>-7.4138891329680998</c:v>
                </c:pt>
                <c:pt idx="187">
                  <c:v>-6.9138328625796301</c:v>
                </c:pt>
                <c:pt idx="188">
                  <c:v>-6.8537090514517001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E0-4B41-925A-A863867E8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32096272"/>
        <c:axId val="332087952"/>
      </c:barChart>
      <c:lineChart>
        <c:grouping val="standard"/>
        <c:varyColors val="0"/>
        <c:ser>
          <c:idx val="0"/>
          <c:order val="0"/>
          <c:tx>
            <c:strRef>
              <c:f>'Output R CGAPS3'!$D$1</c:f>
              <c:strCache>
                <c:ptCount val="1"/>
                <c:pt idx="0">
                  <c:v>HCSF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'Output R CGAPS3'!$A$2:$A$190</c:f>
              <c:numCache>
                <c:formatCode>mmm\-yy</c:formatCode>
                <c:ptCount val="18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  <c:pt idx="188">
                  <c:v>45627</c:v>
                </c:pt>
              </c:numCache>
            </c:numRef>
          </c:cat>
          <c:val>
            <c:numRef>
              <c:f>'Output R CGAPS3'!$D$2:$D$190</c:f>
              <c:numCache>
                <c:formatCode>General</c:formatCode>
                <c:ptCount val="189"/>
                <c:pt idx="0">
                  <c:v>1.7447157936569799</c:v>
                </c:pt>
                <c:pt idx="1">
                  <c:v>3.4027101232302899</c:v>
                </c:pt>
                <c:pt idx="2">
                  <c:v>2.04477099161093</c:v>
                </c:pt>
                <c:pt idx="3">
                  <c:v>0.19031494215427799</c:v>
                </c:pt>
                <c:pt idx="4">
                  <c:v>0.56508444387012002</c:v>
                </c:pt>
                <c:pt idx="5">
                  <c:v>-0.67353818357770401</c:v>
                </c:pt>
                <c:pt idx="6">
                  <c:v>-0.53005081077599303</c:v>
                </c:pt>
                <c:pt idx="7">
                  <c:v>-1.20530514875877</c:v>
                </c:pt>
                <c:pt idx="8">
                  <c:v>-0.120846147932474</c:v>
                </c:pt>
                <c:pt idx="9">
                  <c:v>-1.4556074153601199</c:v>
                </c:pt>
                <c:pt idx="10">
                  <c:v>-0.58295571358900999</c:v>
                </c:pt>
                <c:pt idx="11">
                  <c:v>-0.942460962695152</c:v>
                </c:pt>
                <c:pt idx="12">
                  <c:v>7.4250176905889295E-2</c:v>
                </c:pt>
                <c:pt idx="13">
                  <c:v>-0.25932858098964301</c:v>
                </c:pt>
                <c:pt idx="14">
                  <c:v>-0.76866235230191504</c:v>
                </c:pt>
                <c:pt idx="15">
                  <c:v>-1.1060346720619001</c:v>
                </c:pt>
                <c:pt idx="16">
                  <c:v>-0.712705309096338</c:v>
                </c:pt>
                <c:pt idx="17">
                  <c:v>-1.76241035665812</c:v>
                </c:pt>
                <c:pt idx="18">
                  <c:v>-1.85339011200453</c:v>
                </c:pt>
                <c:pt idx="19">
                  <c:v>-2.0810435652109498</c:v>
                </c:pt>
                <c:pt idx="20">
                  <c:v>-0.245340296084191</c:v>
                </c:pt>
                <c:pt idx="21">
                  <c:v>-0.45306282515721702</c:v>
                </c:pt>
                <c:pt idx="22">
                  <c:v>-0.119926396944614</c:v>
                </c:pt>
                <c:pt idx="23">
                  <c:v>-0.60695524234960896</c:v>
                </c:pt>
                <c:pt idx="24">
                  <c:v>0.68993228206490498</c:v>
                </c:pt>
                <c:pt idx="25">
                  <c:v>-7.6716237236922696E-2</c:v>
                </c:pt>
                <c:pt idx="26">
                  <c:v>0.56159369566236605</c:v>
                </c:pt>
                <c:pt idx="27">
                  <c:v>0.62703697220676902</c:v>
                </c:pt>
                <c:pt idx="28">
                  <c:v>1.51063237745538</c:v>
                </c:pt>
                <c:pt idx="29">
                  <c:v>0.44580894161366202</c:v>
                </c:pt>
                <c:pt idx="30">
                  <c:v>0.45095836581411097</c:v>
                </c:pt>
                <c:pt idx="31">
                  <c:v>0.14865014356363301</c:v>
                </c:pt>
                <c:pt idx="32">
                  <c:v>1.2815405505013799</c:v>
                </c:pt>
                <c:pt idx="33">
                  <c:v>0.25412148867159301</c:v>
                </c:pt>
                <c:pt idx="34">
                  <c:v>0.119177550478358</c:v>
                </c:pt>
                <c:pt idx="35">
                  <c:v>-0.70326204374147205</c:v>
                </c:pt>
                <c:pt idx="36">
                  <c:v>-0.84463018621251895</c:v>
                </c:pt>
                <c:pt idx="37">
                  <c:v>0.49219478485616103</c:v>
                </c:pt>
                <c:pt idx="38">
                  <c:v>0.95708550518327795</c:v>
                </c:pt>
                <c:pt idx="39">
                  <c:v>0.96154345102773997</c:v>
                </c:pt>
                <c:pt idx="40">
                  <c:v>1.5490631434756399</c:v>
                </c:pt>
                <c:pt idx="41">
                  <c:v>1.6116894539463</c:v>
                </c:pt>
                <c:pt idx="42">
                  <c:v>1.8991708376432099</c:v>
                </c:pt>
                <c:pt idx="43">
                  <c:v>1.9837735431729799</c:v>
                </c:pt>
                <c:pt idx="44">
                  <c:v>3.4841196582367502</c:v>
                </c:pt>
                <c:pt idx="45">
                  <c:v>2.45797892367443</c:v>
                </c:pt>
                <c:pt idx="46">
                  <c:v>3.5441587099420202</c:v>
                </c:pt>
                <c:pt idx="47">
                  <c:v>3.1402336601167402</c:v>
                </c:pt>
                <c:pt idx="48">
                  <c:v>4.1646488976845202</c:v>
                </c:pt>
                <c:pt idx="49">
                  <c:v>4.2246186331307998</c:v>
                </c:pt>
                <c:pt idx="50">
                  <c:v>4.1765861327409697</c:v>
                </c:pt>
                <c:pt idx="51">
                  <c:v>3.8615484014288199</c:v>
                </c:pt>
                <c:pt idx="52">
                  <c:v>6.1491604941386999</c:v>
                </c:pt>
                <c:pt idx="53">
                  <c:v>5.8409807435348302</c:v>
                </c:pt>
                <c:pt idx="54">
                  <c:v>5.7896731407513604</c:v>
                </c:pt>
                <c:pt idx="55">
                  <c:v>5.4060535464608304</c:v>
                </c:pt>
                <c:pt idx="56">
                  <c:v>5.8229036495753004</c:v>
                </c:pt>
                <c:pt idx="57">
                  <c:v>5.5438753386018798</c:v>
                </c:pt>
                <c:pt idx="58">
                  <c:v>5.1312641271313604</c:v>
                </c:pt>
                <c:pt idx="59">
                  <c:v>4.0780898244752501</c:v>
                </c:pt>
                <c:pt idx="60">
                  <c:v>5.2738906465601003</c:v>
                </c:pt>
                <c:pt idx="61">
                  <c:v>6.50797785234455</c:v>
                </c:pt>
                <c:pt idx="62">
                  <c:v>6.9041857676735097</c:v>
                </c:pt>
                <c:pt idx="63">
                  <c:v>6.4791917721154997</c:v>
                </c:pt>
                <c:pt idx="64">
                  <c:v>5.2639535879313</c:v>
                </c:pt>
                <c:pt idx="65">
                  <c:v>3.7678466141171598</c:v>
                </c:pt>
                <c:pt idx="66">
                  <c:v>1.9743907561871901</c:v>
                </c:pt>
                <c:pt idx="67">
                  <c:v>0.17284089861138899</c:v>
                </c:pt>
                <c:pt idx="68">
                  <c:v>6.1489299219244002E-2</c:v>
                </c:pt>
                <c:pt idx="69">
                  <c:v>-1.37858595332525</c:v>
                </c:pt>
                <c:pt idx="70">
                  <c:v>-1.1773961446330099</c:v>
                </c:pt>
                <c:pt idx="71">
                  <c:v>-1.9495007661369499</c:v>
                </c:pt>
                <c:pt idx="72">
                  <c:v>-2.3874965527479701</c:v>
                </c:pt>
                <c:pt idx="73">
                  <c:v>-3.1423747553093602</c:v>
                </c:pt>
                <c:pt idx="74">
                  <c:v>-3.54353822802541</c:v>
                </c:pt>
                <c:pt idx="75">
                  <c:v>-4.1425287252828502</c:v>
                </c:pt>
                <c:pt idx="76">
                  <c:v>-3.7638319454414999</c:v>
                </c:pt>
                <c:pt idx="77">
                  <c:v>-3.6366672529320101</c:v>
                </c:pt>
                <c:pt idx="78">
                  <c:v>-3.6131141477206201</c:v>
                </c:pt>
                <c:pt idx="79">
                  <c:v>-4.10228851515072</c:v>
                </c:pt>
                <c:pt idx="80">
                  <c:v>-4.2791059679312102</c:v>
                </c:pt>
                <c:pt idx="81">
                  <c:v>-4.8382623034707297</c:v>
                </c:pt>
                <c:pt idx="82">
                  <c:v>-5.0542139365746896</c:v>
                </c:pt>
                <c:pt idx="83">
                  <c:v>-5.4055295446803502</c:v>
                </c:pt>
                <c:pt idx="84">
                  <c:v>-5.8262228421756799</c:v>
                </c:pt>
                <c:pt idx="85">
                  <c:v>-7.8558506360536704</c:v>
                </c:pt>
                <c:pt idx="86">
                  <c:v>-5.8295962328875701</c:v>
                </c:pt>
                <c:pt idx="87">
                  <c:v>-5.0753275707063601</c:v>
                </c:pt>
                <c:pt idx="88">
                  <c:v>-3.2366367072325599</c:v>
                </c:pt>
                <c:pt idx="89">
                  <c:v>-3.70462519704405</c:v>
                </c:pt>
                <c:pt idx="90">
                  <c:v>-2.5466499021638098</c:v>
                </c:pt>
                <c:pt idx="91">
                  <c:v>-1.2235816014751799</c:v>
                </c:pt>
                <c:pt idx="92">
                  <c:v>-1.0929371933154599</c:v>
                </c:pt>
                <c:pt idx="93">
                  <c:v>-0.346518583219597</c:v>
                </c:pt>
                <c:pt idx="94">
                  <c:v>0.78481300613565097</c:v>
                </c:pt>
                <c:pt idx="95">
                  <c:v>0.73251080914105005</c:v>
                </c:pt>
                <c:pt idx="96">
                  <c:v>0.66565644049984096</c:v>
                </c:pt>
                <c:pt idx="97">
                  <c:v>0.13802842378598201</c:v>
                </c:pt>
                <c:pt idx="98">
                  <c:v>-0.32190535102483903</c:v>
                </c:pt>
                <c:pt idx="99">
                  <c:v>-0.60071556463730602</c:v>
                </c:pt>
                <c:pt idx="100">
                  <c:v>-0.79836683544772602</c:v>
                </c:pt>
                <c:pt idx="101">
                  <c:v>-0.81389021412700602</c:v>
                </c:pt>
                <c:pt idx="102">
                  <c:v>-0.95863110404590501</c:v>
                </c:pt>
                <c:pt idx="103">
                  <c:v>-1.5318229033309401</c:v>
                </c:pt>
                <c:pt idx="104">
                  <c:v>-3.1880989425705302</c:v>
                </c:pt>
                <c:pt idx="105">
                  <c:v>-3.41221383142733</c:v>
                </c:pt>
                <c:pt idx="106">
                  <c:v>-2.1454021887714201</c:v>
                </c:pt>
                <c:pt idx="107">
                  <c:v>-2.0802760145363299</c:v>
                </c:pt>
                <c:pt idx="108">
                  <c:v>-2.25237875656609</c:v>
                </c:pt>
                <c:pt idx="109">
                  <c:v>-2.4816032928000902</c:v>
                </c:pt>
                <c:pt idx="110">
                  <c:v>-0.57766150620064305</c:v>
                </c:pt>
                <c:pt idx="111">
                  <c:v>-0.507775225362048</c:v>
                </c:pt>
                <c:pt idx="112">
                  <c:v>0.14010096164479099</c:v>
                </c:pt>
                <c:pt idx="113">
                  <c:v>0.700975337268535</c:v>
                </c:pt>
                <c:pt idx="114">
                  <c:v>1.76194219607656</c:v>
                </c:pt>
                <c:pt idx="115">
                  <c:v>1.5779507672376401</c:v>
                </c:pt>
                <c:pt idx="116">
                  <c:v>1.90950680320692</c:v>
                </c:pt>
                <c:pt idx="117">
                  <c:v>2.1529253126210599</c:v>
                </c:pt>
                <c:pt idx="118">
                  <c:v>3.5465859784537801</c:v>
                </c:pt>
                <c:pt idx="119">
                  <c:v>3.41045873729513</c:v>
                </c:pt>
                <c:pt idx="120">
                  <c:v>2.8386026866660101</c:v>
                </c:pt>
                <c:pt idx="121">
                  <c:v>3.0584309306064101</c:v>
                </c:pt>
                <c:pt idx="122">
                  <c:v>4.30821674972234</c:v>
                </c:pt>
                <c:pt idx="123">
                  <c:v>5.2647007175732297</c:v>
                </c:pt>
                <c:pt idx="124">
                  <c:v>6.1468567237808296</c:v>
                </c:pt>
                <c:pt idx="125">
                  <c:v>6.22305579436411</c:v>
                </c:pt>
                <c:pt idx="126">
                  <c:v>6.98399431632029</c:v>
                </c:pt>
                <c:pt idx="127">
                  <c:v>7.22369128281243</c:v>
                </c:pt>
                <c:pt idx="128">
                  <c:v>7.7025596306234201</c:v>
                </c:pt>
                <c:pt idx="129">
                  <c:v>7.6067516796549004</c:v>
                </c:pt>
                <c:pt idx="130">
                  <c:v>8.7027668752299991</c:v>
                </c:pt>
                <c:pt idx="131">
                  <c:v>8.0503263061598105</c:v>
                </c:pt>
                <c:pt idx="132">
                  <c:v>8.4884655235860205</c:v>
                </c:pt>
                <c:pt idx="133">
                  <c:v>7.2478512433761804</c:v>
                </c:pt>
                <c:pt idx="134">
                  <c:v>8.4064470114907301</c:v>
                </c:pt>
                <c:pt idx="135">
                  <c:v>8.7178410654999094</c:v>
                </c:pt>
                <c:pt idx="136">
                  <c:v>8.1728113674766103</c:v>
                </c:pt>
                <c:pt idx="137">
                  <c:v>8.4875571169786799</c:v>
                </c:pt>
                <c:pt idx="138">
                  <c:v>9.0463698966890007</c:v>
                </c:pt>
                <c:pt idx="139">
                  <c:v>8.4339821634634795</c:v>
                </c:pt>
                <c:pt idx="140">
                  <c:v>7.5912410820356797</c:v>
                </c:pt>
                <c:pt idx="141">
                  <c:v>6.6352526942802497</c:v>
                </c:pt>
                <c:pt idx="142">
                  <c:v>4.7795948363680099</c:v>
                </c:pt>
                <c:pt idx="143">
                  <c:v>4.4799529154473898</c:v>
                </c:pt>
                <c:pt idx="144">
                  <c:v>3.1389257080411102</c:v>
                </c:pt>
                <c:pt idx="145">
                  <c:v>2.7381317482966701</c:v>
                </c:pt>
                <c:pt idx="146">
                  <c:v>3.2489513155503</c:v>
                </c:pt>
                <c:pt idx="147">
                  <c:v>3.1683634732907699</c:v>
                </c:pt>
                <c:pt idx="148">
                  <c:v>2.6828178753191199</c:v>
                </c:pt>
                <c:pt idx="149">
                  <c:v>1.48667142528992</c:v>
                </c:pt>
                <c:pt idx="150">
                  <c:v>0.21666559579007599</c:v>
                </c:pt>
                <c:pt idx="151">
                  <c:v>9.8466055142261505E-2</c:v>
                </c:pt>
                <c:pt idx="152">
                  <c:v>0.23927886642120499</c:v>
                </c:pt>
                <c:pt idx="153">
                  <c:v>-2.0292897536929502</c:v>
                </c:pt>
                <c:pt idx="154">
                  <c:v>-1.3543484425758501</c:v>
                </c:pt>
                <c:pt idx="155">
                  <c:v>-0.90647334791310796</c:v>
                </c:pt>
                <c:pt idx="156">
                  <c:v>-0.53636409289948395</c:v>
                </c:pt>
                <c:pt idx="157">
                  <c:v>0.36792453131685399</c:v>
                </c:pt>
                <c:pt idx="158">
                  <c:v>7.9859214421735505E-2</c:v>
                </c:pt>
                <c:pt idx="159">
                  <c:v>-0.30650189745814999</c:v>
                </c:pt>
                <c:pt idx="160">
                  <c:v>-0.63336651289494195</c:v>
                </c:pt>
                <c:pt idx="161">
                  <c:v>-1.4329385686351199</c:v>
                </c:pt>
                <c:pt idx="162">
                  <c:v>-0.10155390694055499</c:v>
                </c:pt>
                <c:pt idx="163">
                  <c:v>0.271556531178407</c:v>
                </c:pt>
                <c:pt idx="164">
                  <c:v>0.16485641830390699</c:v>
                </c:pt>
                <c:pt idx="165">
                  <c:v>0.19132163342282801</c:v>
                </c:pt>
                <c:pt idx="166">
                  <c:v>1.24660145553503</c:v>
                </c:pt>
                <c:pt idx="167">
                  <c:v>1.9013562293489801</c:v>
                </c:pt>
                <c:pt idx="168">
                  <c:v>0.98439246804637903</c:v>
                </c:pt>
                <c:pt idx="169">
                  <c:v>1.17479464732243</c:v>
                </c:pt>
                <c:pt idx="170">
                  <c:v>6.7808325970494803</c:v>
                </c:pt>
                <c:pt idx="171">
                  <c:v>7.8480045989028904</c:v>
                </c:pt>
                <c:pt idx="172">
                  <c:v>8.6085790837448606</c:v>
                </c:pt>
                <c:pt idx="173">
                  <c:v>6.5710856452015003</c:v>
                </c:pt>
                <c:pt idx="174">
                  <c:v>6.7546917135150304</c:v>
                </c:pt>
                <c:pt idx="175">
                  <c:v>4.2256029722975201</c:v>
                </c:pt>
                <c:pt idx="176">
                  <c:v>2.4404362627090301</c:v>
                </c:pt>
                <c:pt idx="177">
                  <c:v>-0.814624348464562</c:v>
                </c:pt>
                <c:pt idx="178">
                  <c:v>-3.0605963627018</c:v>
                </c:pt>
                <c:pt idx="179">
                  <c:v>-3.1488936487663399</c:v>
                </c:pt>
                <c:pt idx="180">
                  <c:v>-3.9191507481344101</c:v>
                </c:pt>
                <c:pt idx="181">
                  <c:v>-6.0826476416476103</c:v>
                </c:pt>
                <c:pt idx="182">
                  <c:v>-8.4295329717660401</c:v>
                </c:pt>
                <c:pt idx="183">
                  <c:v>-10.2396294943853</c:v>
                </c:pt>
                <c:pt idx="184">
                  <c:v>-10.508662742165001</c:v>
                </c:pt>
                <c:pt idx="185">
                  <c:v>-13.7152238821146</c:v>
                </c:pt>
                <c:pt idx="186">
                  <c:v>-13.672255584419799</c:v>
                </c:pt>
                <c:pt idx="187">
                  <c:v>-13.537979628669101</c:v>
                </c:pt>
                <c:pt idx="188">
                  <c:v>-13.729572899831499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E0-4B41-925A-A863867E8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096272"/>
        <c:axId val="332087952"/>
      </c:lineChart>
      <c:dateAx>
        <c:axId val="332096272"/>
        <c:scaling>
          <c:orientation val="minMax"/>
          <c:min val="2849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2087952"/>
        <c:crosses val="autoZero"/>
        <c:auto val="1"/>
        <c:lblOffset val="100"/>
        <c:baseTimeUnit val="months"/>
        <c:majorUnit val="24"/>
        <c:majorTimeUnit val="months"/>
      </c:dateAx>
      <c:valAx>
        <c:axId val="33208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209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solidFill>
            <a:sysClr val="windowText" lastClr="000000"/>
          </a:solidFill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3366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CCyB induit (PIB</a:t>
            </a:r>
            <a:r>
              <a:rPr lang="fr-FR" baseline="0"/>
              <a:t> redressé)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3366"/>
              </a:solidFill>
              <a:latin typeface="Arial"/>
              <a:ea typeface="Arial"/>
              <a:cs typeface="Arial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2984099192580245E-2"/>
          <c:y val="0.10063211818934058"/>
          <c:w val="0.9219841787089913"/>
          <c:h val="0.66967270750954822"/>
        </c:manualLayout>
      </c:layout>
      <c:lineChart>
        <c:grouping val="standard"/>
        <c:varyColors val="0"/>
        <c:ser>
          <c:idx val="0"/>
          <c:order val="0"/>
          <c:tx>
            <c:strRef>
              <c:f>'Output R CGAPS3'!$I$1</c:f>
              <c:strCache>
                <c:ptCount val="1"/>
                <c:pt idx="0">
                  <c:v>CCyB bâlois</c:v>
                </c:pt>
              </c:strCache>
            </c:strRef>
          </c:tx>
          <c:spPr>
            <a:ln w="381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'Output R CGAPS3'!$A$2:$A$1900</c:f>
              <c:numCache>
                <c:formatCode>mmm\-yy</c:formatCode>
                <c:ptCount val="189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  <c:pt idx="188">
                  <c:v>45627</c:v>
                </c:pt>
                <c:pt idx="189">
                  <c:v>45717</c:v>
                </c:pt>
              </c:numCache>
            </c:numRef>
          </c:cat>
          <c:val>
            <c:numRef>
              <c:f>'Output R CGAPS3'!$I$2:$I$1900</c:f>
              <c:numCache>
                <c:formatCode>General</c:formatCode>
                <c:ptCount val="1899"/>
                <c:pt idx="0">
                  <c:v>0.88257563918601301</c:v>
                </c:pt>
                <c:pt idx="1">
                  <c:v>1.45900747056332</c:v>
                </c:pt>
                <c:pt idx="2">
                  <c:v>0.73333641260208504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0.23657674968460701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5.0622754939529099E-2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7.6451383590882396E-2</c:v>
                </c:pt>
                <c:pt idx="41">
                  <c:v>0.143797137457885</c:v>
                </c:pt>
                <c:pt idx="42">
                  <c:v>0.29106900250689999</c:v>
                </c:pt>
                <c:pt idx="43">
                  <c:v>0.406306848657494</c:v>
                </c:pt>
                <c:pt idx="44">
                  <c:v>1.2322623101632899</c:v>
                </c:pt>
                <c:pt idx="45">
                  <c:v>0.769773752719212</c:v>
                </c:pt>
                <c:pt idx="46">
                  <c:v>1.3405115172342601</c:v>
                </c:pt>
                <c:pt idx="47">
                  <c:v>1.19141784531182</c:v>
                </c:pt>
                <c:pt idx="48">
                  <c:v>1.8442969787738399</c:v>
                </c:pt>
                <c:pt idx="49">
                  <c:v>1.8334231060937101</c:v>
                </c:pt>
                <c:pt idx="50">
                  <c:v>1.7643682089425601</c:v>
                </c:pt>
                <c:pt idx="51">
                  <c:v>1.5665981374147799</c:v>
                </c:pt>
                <c:pt idx="52">
                  <c:v>2.5</c:v>
                </c:pt>
                <c:pt idx="53">
                  <c:v>2.5</c:v>
                </c:pt>
                <c:pt idx="54">
                  <c:v>2.5</c:v>
                </c:pt>
                <c:pt idx="55">
                  <c:v>2.4199533926008701</c:v>
                </c:pt>
                <c:pt idx="56">
                  <c:v>2.5</c:v>
                </c:pt>
                <c:pt idx="57">
                  <c:v>2.5</c:v>
                </c:pt>
                <c:pt idx="58">
                  <c:v>2.4281008341586698</c:v>
                </c:pt>
                <c:pt idx="59">
                  <c:v>1.9016456230863199</c:v>
                </c:pt>
                <c:pt idx="60">
                  <c:v>2.5</c:v>
                </c:pt>
                <c:pt idx="61">
                  <c:v>2.5</c:v>
                </c:pt>
                <c:pt idx="62">
                  <c:v>2.5</c:v>
                </c:pt>
                <c:pt idx="63">
                  <c:v>2.5</c:v>
                </c:pt>
                <c:pt idx="64">
                  <c:v>2.2953606672820701</c:v>
                </c:pt>
                <c:pt idx="65">
                  <c:v>1.5574670546561</c:v>
                </c:pt>
                <c:pt idx="66">
                  <c:v>0.59687747821252402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0.33223311930633298</c:v>
                </c:pt>
                <c:pt idx="95">
                  <c:v>0.38593104175443299</c:v>
                </c:pt>
                <c:pt idx="96">
                  <c:v>0.46242483163369802</c:v>
                </c:pt>
                <c:pt idx="97">
                  <c:v>0.42736700768413</c:v>
                </c:pt>
                <c:pt idx="98">
                  <c:v>0.16752212754597601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9.6280963807318196E-2</c:v>
                </c:pt>
                <c:pt idx="115">
                  <c:v>6.2272942498114998E-2</c:v>
                </c:pt>
                <c:pt idx="116">
                  <c:v>0.23239065021359601</c:v>
                </c:pt>
                <c:pt idx="117">
                  <c:v>0.232973078171581</c:v>
                </c:pt>
                <c:pt idx="118">
                  <c:v>0.71158366423702601</c:v>
                </c:pt>
                <c:pt idx="119">
                  <c:v>0.76815210984433502</c:v>
                </c:pt>
                <c:pt idx="120">
                  <c:v>0.55303167303162504</c:v>
                </c:pt>
                <c:pt idx="121">
                  <c:v>0.54675070305871398</c:v>
                </c:pt>
                <c:pt idx="122">
                  <c:v>1.17370254058879</c:v>
                </c:pt>
                <c:pt idx="123">
                  <c:v>1.6178539344349501</c:v>
                </c:pt>
                <c:pt idx="124">
                  <c:v>1.6345105747012501</c:v>
                </c:pt>
                <c:pt idx="125">
                  <c:v>1.6394359584490901</c:v>
                </c:pt>
                <c:pt idx="126">
                  <c:v>1.52912486688103</c:v>
                </c:pt>
                <c:pt idx="127">
                  <c:v>1.30492935112002</c:v>
                </c:pt>
                <c:pt idx="128">
                  <c:v>1.2330087418607101</c:v>
                </c:pt>
                <c:pt idx="129">
                  <c:v>1.0985524933655699</c:v>
                </c:pt>
                <c:pt idx="130">
                  <c:v>1.7384812695846901</c:v>
                </c:pt>
                <c:pt idx="131">
                  <c:v>1.3113048160388801</c:v>
                </c:pt>
                <c:pt idx="132">
                  <c:v>1.4655344896812801</c:v>
                </c:pt>
                <c:pt idx="133">
                  <c:v>1.27640452424184</c:v>
                </c:pt>
                <c:pt idx="134">
                  <c:v>1.76151573515463</c:v>
                </c:pt>
                <c:pt idx="135">
                  <c:v>2.1059246813380299</c:v>
                </c:pt>
                <c:pt idx="136">
                  <c:v>2.1023780336698801</c:v>
                </c:pt>
                <c:pt idx="137">
                  <c:v>2.3338941625993099</c:v>
                </c:pt>
                <c:pt idx="138">
                  <c:v>2.5</c:v>
                </c:pt>
                <c:pt idx="139">
                  <c:v>2.1835462596313402</c:v>
                </c:pt>
                <c:pt idx="140">
                  <c:v>1.9348685692810601</c:v>
                </c:pt>
                <c:pt idx="141">
                  <c:v>1.5062290184698</c:v>
                </c:pt>
                <c:pt idx="142">
                  <c:v>0.65551378200225197</c:v>
                </c:pt>
                <c:pt idx="143">
                  <c:v>0.42230584285292799</c:v>
                </c:pt>
                <c:pt idx="144">
                  <c:v>0</c:v>
                </c:pt>
                <c:pt idx="145">
                  <c:v>0.186889872408535</c:v>
                </c:pt>
                <c:pt idx="146">
                  <c:v>0.56707128663820605</c:v>
                </c:pt>
                <c:pt idx="147">
                  <c:v>0.65259087399801696</c:v>
                </c:pt>
                <c:pt idx="148">
                  <c:v>0.67107639205087999</c:v>
                </c:pt>
                <c:pt idx="149">
                  <c:v>1.0952587862301</c:v>
                </c:pt>
                <c:pt idx="150">
                  <c:v>0.85361702910572301</c:v>
                </c:pt>
                <c:pt idx="151">
                  <c:v>0.71971185365321499</c:v>
                </c:pt>
                <c:pt idx="152">
                  <c:v>0.94894326679492402</c:v>
                </c:pt>
                <c:pt idx="153">
                  <c:v>0.29942660000543603</c:v>
                </c:pt>
                <c:pt idx="154">
                  <c:v>0.701966464771417</c:v>
                </c:pt>
                <c:pt idx="155">
                  <c:v>0.73327797359996205</c:v>
                </c:pt>
                <c:pt idx="156">
                  <c:v>0.90951659679823904</c:v>
                </c:pt>
                <c:pt idx="157">
                  <c:v>1.2030959514794899</c:v>
                </c:pt>
                <c:pt idx="158">
                  <c:v>0.93233321864772101</c:v>
                </c:pt>
                <c:pt idx="159">
                  <c:v>0.50154609630833202</c:v>
                </c:pt>
                <c:pt idx="160">
                  <c:v>0.245823817236002</c:v>
                </c:pt>
                <c:pt idx="161">
                  <c:v>0.258457722788629</c:v>
                </c:pt>
                <c:pt idx="162">
                  <c:v>0.53864411008178303</c:v>
                </c:pt>
                <c:pt idx="163">
                  <c:v>0.48350679517440298</c:v>
                </c:pt>
                <c:pt idx="164">
                  <c:v>0.33589094709202799</c:v>
                </c:pt>
                <c:pt idx="165">
                  <c:v>0.50676161682076404</c:v>
                </c:pt>
                <c:pt idx="166">
                  <c:v>0.69871784794952196</c:v>
                </c:pt>
                <c:pt idx="167">
                  <c:v>0.95832348683276103</c:v>
                </c:pt>
                <c:pt idx="168">
                  <c:v>0.66008488593675396</c:v>
                </c:pt>
                <c:pt idx="169">
                  <c:v>1.07290742986896</c:v>
                </c:pt>
                <c:pt idx="170">
                  <c:v>2.5</c:v>
                </c:pt>
                <c:pt idx="171">
                  <c:v>2.5</c:v>
                </c:pt>
                <c:pt idx="172">
                  <c:v>2.5</c:v>
                </c:pt>
                <c:pt idx="173">
                  <c:v>2.5</c:v>
                </c:pt>
                <c:pt idx="174">
                  <c:v>2.5</c:v>
                </c:pt>
                <c:pt idx="175">
                  <c:v>2.4236765642154299</c:v>
                </c:pt>
                <c:pt idx="176">
                  <c:v>1.5231201421074401</c:v>
                </c:pt>
                <c:pt idx="177">
                  <c:v>0.60526366425659595</c:v>
                </c:pt>
                <c:pt idx="178">
                  <c:v>1.18794353779461E-3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9C-46B9-AFF8-C1B87234B4E7}"/>
            </c:ext>
          </c:extLst>
        </c:ser>
        <c:ser>
          <c:idx val="1"/>
          <c:order val="1"/>
          <c:tx>
            <c:strRef>
              <c:f>'Output R CGAPS3'!$J$1</c:f>
              <c:strCache>
                <c:ptCount val="1"/>
                <c:pt idx="0">
                  <c:v>CCyB bancaire</c:v>
                </c:pt>
              </c:strCache>
            </c:strRef>
          </c:tx>
          <c:spPr>
            <a:ln w="38100" cap="rnd">
              <a:solidFill>
                <a:srgbClr val="FF66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'Output R CGAPS3'!$A$2:$A$1900</c:f>
              <c:numCache>
                <c:formatCode>mmm\-yy</c:formatCode>
                <c:ptCount val="189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  <c:pt idx="188">
                  <c:v>45627</c:v>
                </c:pt>
                <c:pt idx="189">
                  <c:v>45717</c:v>
                </c:pt>
              </c:numCache>
            </c:numRef>
          </c:cat>
          <c:val>
            <c:numRef>
              <c:f>'Output R CGAPS3'!$J$2:$J$1900</c:f>
              <c:numCache>
                <c:formatCode>General</c:formatCode>
                <c:ptCount val="18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0.111029278646799</c:v>
                </c:pt>
                <c:pt idx="45">
                  <c:v>0</c:v>
                </c:pt>
                <c:pt idx="46">
                  <c:v>8.8713672341000901E-2</c:v>
                </c:pt>
                <c:pt idx="47">
                  <c:v>0</c:v>
                </c:pt>
                <c:pt idx="48">
                  <c:v>0.14036954817855299</c:v>
                </c:pt>
                <c:pt idx="49">
                  <c:v>0.17270419093852901</c:v>
                </c:pt>
                <c:pt idx="50">
                  <c:v>0.182502548726269</c:v>
                </c:pt>
                <c:pt idx="51">
                  <c:v>0.12964513126970401</c:v>
                </c:pt>
                <c:pt idx="52">
                  <c:v>0.61088246629163501</c:v>
                </c:pt>
                <c:pt idx="53">
                  <c:v>0.52876506596592598</c:v>
                </c:pt>
                <c:pt idx="54">
                  <c:v>0.51752078266240098</c:v>
                </c:pt>
                <c:pt idx="55">
                  <c:v>0.44213931546190499</c:v>
                </c:pt>
                <c:pt idx="56">
                  <c:v>0.51693399709080701</c:v>
                </c:pt>
                <c:pt idx="57">
                  <c:v>0.407016919025535</c:v>
                </c:pt>
                <c:pt idx="58">
                  <c:v>0.31310939762948897</c:v>
                </c:pt>
                <c:pt idx="59">
                  <c:v>7.4577903855047603E-2</c:v>
                </c:pt>
                <c:pt idx="60">
                  <c:v>0.31151095062842499</c:v>
                </c:pt>
                <c:pt idx="61">
                  <c:v>0.64583565342259996</c:v>
                </c:pt>
                <c:pt idx="62">
                  <c:v>0.70903006938588398</c:v>
                </c:pt>
                <c:pt idx="63">
                  <c:v>0.61919259831071005</c:v>
                </c:pt>
                <c:pt idx="64">
                  <c:v>0.43454161152144899</c:v>
                </c:pt>
                <c:pt idx="65">
                  <c:v>9.1113402048035197E-2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3.9310034893471797E-2</c:v>
                </c:pt>
                <c:pt idx="114">
                  <c:v>0.41337924058355802</c:v>
                </c:pt>
                <c:pt idx="115">
                  <c:v>0.371026219409753</c:v>
                </c:pt>
                <c:pt idx="116">
                  <c:v>0.51251140931594197</c:v>
                </c:pt>
                <c:pt idx="117">
                  <c:v>0.55835329730697603</c:v>
                </c:pt>
                <c:pt idx="118">
                  <c:v>0.85112479111421402</c:v>
                </c:pt>
                <c:pt idx="119">
                  <c:v>1.1077231434522601</c:v>
                </c:pt>
                <c:pt idx="120">
                  <c:v>1.3833221611803701</c:v>
                </c:pt>
                <c:pt idx="121">
                  <c:v>1.53546502333419</c:v>
                </c:pt>
                <c:pt idx="122">
                  <c:v>1.75900989564469</c:v>
                </c:pt>
                <c:pt idx="123">
                  <c:v>1.9331911345636501</c:v>
                </c:pt>
                <c:pt idx="124">
                  <c:v>2.1608480460805999</c:v>
                </c:pt>
                <c:pt idx="125">
                  <c:v>2.1345371143882099</c:v>
                </c:pt>
                <c:pt idx="126">
                  <c:v>1.8468757373346301</c:v>
                </c:pt>
                <c:pt idx="127">
                  <c:v>1.59461851245423</c:v>
                </c:pt>
                <c:pt idx="128">
                  <c:v>1.6665301571658999</c:v>
                </c:pt>
                <c:pt idx="129">
                  <c:v>1.54028573005765</c:v>
                </c:pt>
                <c:pt idx="130">
                  <c:v>1.95424865719525</c:v>
                </c:pt>
                <c:pt idx="131">
                  <c:v>1.6143672395488999</c:v>
                </c:pt>
                <c:pt idx="132">
                  <c:v>1.6264289102888001</c:v>
                </c:pt>
                <c:pt idx="133">
                  <c:v>1.3835168604566499</c:v>
                </c:pt>
                <c:pt idx="134">
                  <c:v>1.48123718058776</c:v>
                </c:pt>
                <c:pt idx="135">
                  <c:v>1.3673646911652</c:v>
                </c:pt>
                <c:pt idx="136">
                  <c:v>1.1859398140419399</c:v>
                </c:pt>
                <c:pt idx="137">
                  <c:v>0.910252724969564</c:v>
                </c:pt>
                <c:pt idx="138">
                  <c:v>0.68768944196545201</c:v>
                </c:pt>
                <c:pt idx="139">
                  <c:v>0.39184561626262399</c:v>
                </c:pt>
                <c:pt idx="140">
                  <c:v>0.30899432401728599</c:v>
                </c:pt>
                <c:pt idx="141">
                  <c:v>8.6527818153699795E-2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0.68906630422603199</c:v>
                </c:pt>
                <c:pt idx="171">
                  <c:v>1.14686203794088</c:v>
                </c:pt>
                <c:pt idx="172">
                  <c:v>1.3179726462503101</c:v>
                </c:pt>
                <c:pt idx="173">
                  <c:v>1.3107444289925201</c:v>
                </c:pt>
                <c:pt idx="174">
                  <c:v>1.6091136811371201</c:v>
                </c:pt>
                <c:pt idx="175">
                  <c:v>1.1300696639888901</c:v>
                </c:pt>
                <c:pt idx="176">
                  <c:v>0.75517224579838604</c:v>
                </c:pt>
                <c:pt idx="177">
                  <c:v>0.38242363332632501</c:v>
                </c:pt>
                <c:pt idx="178">
                  <c:v>0.279885221029259</c:v>
                </c:pt>
                <c:pt idx="179">
                  <c:v>0.195922351982384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9C-46B9-AFF8-C1B87234B4E7}"/>
            </c:ext>
          </c:extLst>
        </c:ser>
        <c:ser>
          <c:idx val="2"/>
          <c:order val="2"/>
          <c:tx>
            <c:strRef>
              <c:f>'Output R CGAPS3'!$K$1</c:f>
              <c:strCache>
                <c:ptCount val="1"/>
                <c:pt idx="0">
                  <c:v>CCyB HCSF (BdF)</c:v>
                </c:pt>
              </c:strCache>
            </c:strRef>
          </c:tx>
          <c:spPr>
            <a:ln w="381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'Output R CGAPS3'!$A$2:$A$1900</c:f>
              <c:numCache>
                <c:formatCode>mmm\-yy</c:formatCode>
                <c:ptCount val="189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  <c:pt idx="188">
                  <c:v>45627</c:v>
                </c:pt>
                <c:pt idx="189">
                  <c:v>45717</c:v>
                </c:pt>
              </c:numCache>
            </c:numRef>
          </c:cat>
          <c:val>
            <c:numRef>
              <c:f>'Output R CGAPS3'!$K$2:$K$1900</c:f>
              <c:numCache>
                <c:formatCode>General</c:formatCode>
                <c:ptCount val="1899"/>
                <c:pt idx="0">
                  <c:v>0.102133053708847</c:v>
                </c:pt>
                <c:pt idx="1">
                  <c:v>0.43834691350946697</c:v>
                </c:pt>
                <c:pt idx="2">
                  <c:v>1.39909348784152E-2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0.46378739319898499</c:v>
                </c:pt>
                <c:pt idx="45">
                  <c:v>0.143118413648258</c:v>
                </c:pt>
                <c:pt idx="46">
                  <c:v>0.48254959685688198</c:v>
                </c:pt>
                <c:pt idx="47">
                  <c:v>0.35632301878647998</c:v>
                </c:pt>
                <c:pt idx="48">
                  <c:v>0.676452780526413</c:v>
                </c:pt>
                <c:pt idx="49">
                  <c:v>0.69519332285337399</c:v>
                </c:pt>
                <c:pt idx="50">
                  <c:v>0.68018316648155297</c:v>
                </c:pt>
                <c:pt idx="51">
                  <c:v>0.58173387544650501</c:v>
                </c:pt>
                <c:pt idx="52">
                  <c:v>1.2966126544183401</c:v>
                </c:pt>
                <c:pt idx="53">
                  <c:v>1.2003064823546299</c:v>
                </c:pt>
                <c:pt idx="54">
                  <c:v>1.1842728564848</c:v>
                </c:pt>
                <c:pt idx="55">
                  <c:v>1.06439173326901</c:v>
                </c:pt>
                <c:pt idx="56">
                  <c:v>1.1946573904922799</c:v>
                </c:pt>
                <c:pt idx="57">
                  <c:v>1.10746104331309</c:v>
                </c:pt>
                <c:pt idx="58">
                  <c:v>0.97852003972855095</c:v>
                </c:pt>
                <c:pt idx="59">
                  <c:v>0.64940307014851695</c:v>
                </c:pt>
                <c:pt idx="60">
                  <c:v>1.0230908270500301</c:v>
                </c:pt>
                <c:pt idx="61">
                  <c:v>1.40874307885767</c:v>
                </c:pt>
                <c:pt idx="62">
                  <c:v>1.53255805239797</c:v>
                </c:pt>
                <c:pt idx="63">
                  <c:v>1.39974742878609</c:v>
                </c:pt>
                <c:pt idx="64">
                  <c:v>1.01998549622853</c:v>
                </c:pt>
                <c:pt idx="65">
                  <c:v>0.55245206691161197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4.77891601940807E-2</c:v>
                </c:pt>
                <c:pt idx="118">
                  <c:v>0.48330811826680797</c:v>
                </c:pt>
                <c:pt idx="119">
                  <c:v>0.44076835540472897</c:v>
                </c:pt>
                <c:pt idx="120">
                  <c:v>0.262063339583129</c:v>
                </c:pt>
                <c:pt idx="121">
                  <c:v>0.330759665814502</c:v>
                </c:pt>
                <c:pt idx="122">
                  <c:v>0.72131773428822998</c:v>
                </c:pt>
                <c:pt idx="123">
                  <c:v>1.0202189742416401</c:v>
                </c:pt>
                <c:pt idx="124">
                  <c:v>1.2958927261815101</c:v>
                </c:pt>
                <c:pt idx="125">
                  <c:v>1.31970493573878</c:v>
                </c:pt>
                <c:pt idx="126">
                  <c:v>1.5574982238500901</c:v>
                </c:pt>
                <c:pt idx="127">
                  <c:v>1.63240352587888</c:v>
                </c:pt>
                <c:pt idx="128">
                  <c:v>1.7820498845698201</c:v>
                </c:pt>
                <c:pt idx="129">
                  <c:v>1.75210989989216</c:v>
                </c:pt>
                <c:pt idx="130">
                  <c:v>2.0946146485093702</c:v>
                </c:pt>
                <c:pt idx="131">
                  <c:v>1.8907269706749401</c:v>
                </c:pt>
                <c:pt idx="132">
                  <c:v>2.0276454761206302</c:v>
                </c:pt>
                <c:pt idx="133">
                  <c:v>1.63995351355506</c:v>
                </c:pt>
                <c:pt idx="134">
                  <c:v>2.0020146910908498</c:v>
                </c:pt>
                <c:pt idx="135">
                  <c:v>2.09932533296872</c:v>
                </c:pt>
                <c:pt idx="136">
                  <c:v>1.9290035523364399</c:v>
                </c:pt>
                <c:pt idx="137">
                  <c:v>2.02736159905584</c:v>
                </c:pt>
                <c:pt idx="138">
                  <c:v>2.2019905927153101</c:v>
                </c:pt>
                <c:pt idx="139">
                  <c:v>2.0106194260823398</c:v>
                </c:pt>
                <c:pt idx="140">
                  <c:v>1.7472628381361499</c:v>
                </c:pt>
                <c:pt idx="141">
                  <c:v>1.4485164669625801</c:v>
                </c:pt>
                <c:pt idx="142">
                  <c:v>0.86862338636500402</c:v>
                </c:pt>
                <c:pt idx="143">
                  <c:v>0.77498528607730799</c:v>
                </c:pt>
                <c:pt idx="144">
                  <c:v>0.35591428376284601</c:v>
                </c:pt>
                <c:pt idx="145">
                  <c:v>0.230666171342708</c:v>
                </c:pt>
                <c:pt idx="146">
                  <c:v>0.39029728610946801</c:v>
                </c:pt>
                <c:pt idx="147">
                  <c:v>0.36511358540336603</c:v>
                </c:pt>
                <c:pt idx="148">
                  <c:v>0.21338058603722601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1.49401018657796</c:v>
                </c:pt>
                <c:pt idx="171">
                  <c:v>1.8275014371571501</c:v>
                </c:pt>
                <c:pt idx="172">
                  <c:v>2.06518096367027</c:v>
                </c:pt>
                <c:pt idx="173">
                  <c:v>1.4284642641254699</c:v>
                </c:pt>
                <c:pt idx="174">
                  <c:v>1.4858411604734501</c:v>
                </c:pt>
                <c:pt idx="175">
                  <c:v>0.69550092884297399</c:v>
                </c:pt>
                <c:pt idx="176">
                  <c:v>0.137636332096571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9C-46B9-AFF8-C1B87234B4E7}"/>
            </c:ext>
          </c:extLst>
        </c:ser>
        <c:ser>
          <c:idx val="3"/>
          <c:order val="3"/>
          <c:tx>
            <c:strRef>
              <c:f>'Output R CGAPS3'!$L$1</c:f>
              <c:strCache>
                <c:ptCount val="1"/>
                <c:pt idx="0">
                  <c:v>CCyB HCSF net des liquidités</c:v>
                </c:pt>
              </c:strCache>
            </c:strRef>
          </c:tx>
          <c:spPr>
            <a:ln w="38100" cap="rnd">
              <a:solidFill>
                <a:srgbClr val="FFCC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'Output R CGAPS3'!$A$2:$A$1900</c:f>
              <c:numCache>
                <c:formatCode>mmm\-yy</c:formatCode>
                <c:ptCount val="189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  <c:pt idx="188">
                  <c:v>45627</c:v>
                </c:pt>
                <c:pt idx="189">
                  <c:v>45717</c:v>
                </c:pt>
              </c:numCache>
            </c:numRef>
          </c:cat>
          <c:val>
            <c:numRef>
              <c:f>'Output R CGAPS3'!$L$2:$L$1900</c:f>
              <c:numCache>
                <c:formatCode>General</c:formatCode>
                <c:ptCount val="1899"/>
                <c:pt idx="0">
                  <c:v>0</c:v>
                </c:pt>
                <c:pt idx="1">
                  <c:v>0.102688303124325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0.21106358511076301</c:v>
                </c:pt>
                <c:pt idx="45">
                  <c:v>0</c:v>
                </c:pt>
                <c:pt idx="46">
                  <c:v>0.20039672637804901</c:v>
                </c:pt>
                <c:pt idx="47">
                  <c:v>8.1690314432297198E-2</c:v>
                </c:pt>
                <c:pt idx="48">
                  <c:v>0.29239075518311602</c:v>
                </c:pt>
                <c:pt idx="49">
                  <c:v>0.32087041529997401</c:v>
                </c:pt>
                <c:pt idx="50">
                  <c:v>0.32363363369338899</c:v>
                </c:pt>
                <c:pt idx="51">
                  <c:v>0.25784738124856399</c:v>
                </c:pt>
                <c:pt idx="52">
                  <c:v>0.805340200815296</c:v>
                </c:pt>
                <c:pt idx="53">
                  <c:v>0.71919918237328495</c:v>
                </c:pt>
                <c:pt idx="54">
                  <c:v>0.70659674870475098</c:v>
                </c:pt>
                <c:pt idx="55">
                  <c:v>0.61859617497278896</c:v>
                </c:pt>
                <c:pt idx="56">
                  <c:v>0.70912118382465295</c:v>
                </c:pt>
                <c:pt idx="57">
                  <c:v>0.60564719654251098</c:v>
                </c:pt>
                <c:pt idx="58">
                  <c:v>0.50180496365671601</c:v>
                </c:pt>
                <c:pt idx="59">
                  <c:v>0.237585456271517</c:v>
                </c:pt>
                <c:pt idx="60">
                  <c:v>0.51329907822944199</c:v>
                </c:pt>
                <c:pt idx="61">
                  <c:v>0.86217912519925599</c:v>
                </c:pt>
                <c:pt idx="62">
                  <c:v>0.94256417458673103</c:v>
                </c:pt>
                <c:pt idx="63">
                  <c:v>0.84054047920304897</c:v>
                </c:pt>
                <c:pt idx="64">
                  <c:v>0.60056039483020596</c:v>
                </c:pt>
                <c:pt idx="65">
                  <c:v>0.22193872251791999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0.36802097909022402</c:v>
                </c:pt>
                <c:pt idx="123">
                  <c:v>0.61414414610085499</c:v>
                </c:pt>
                <c:pt idx="124">
                  <c:v>0.71476897369482195</c:v>
                </c:pt>
                <c:pt idx="125">
                  <c:v>0.83827474261803903</c:v>
                </c:pt>
                <c:pt idx="126">
                  <c:v>0.86631983071446395</c:v>
                </c:pt>
                <c:pt idx="127">
                  <c:v>0.96916624414728303</c:v>
                </c:pt>
                <c:pt idx="128">
                  <c:v>0.85365025667053895</c:v>
                </c:pt>
                <c:pt idx="129">
                  <c:v>1.25257437127801</c:v>
                </c:pt>
                <c:pt idx="130">
                  <c:v>1.68601422254353</c:v>
                </c:pt>
                <c:pt idx="131">
                  <c:v>1.33320256464896</c:v>
                </c:pt>
                <c:pt idx="132">
                  <c:v>1.1618797894411601</c:v>
                </c:pt>
                <c:pt idx="133">
                  <c:v>0.90770285945612195</c:v>
                </c:pt>
                <c:pt idx="134">
                  <c:v>1.34502130359899</c:v>
                </c:pt>
                <c:pt idx="135">
                  <c:v>1.6454440153118</c:v>
                </c:pt>
                <c:pt idx="136">
                  <c:v>1.5574089175994099</c:v>
                </c:pt>
                <c:pt idx="137">
                  <c:v>1.8529306924809099</c:v>
                </c:pt>
                <c:pt idx="138">
                  <c:v>2.1177320577001599</c:v>
                </c:pt>
                <c:pt idx="139">
                  <c:v>1.99150331178484</c:v>
                </c:pt>
                <c:pt idx="140">
                  <c:v>1.52295118963063</c:v>
                </c:pt>
                <c:pt idx="141">
                  <c:v>1.41918548177194</c:v>
                </c:pt>
                <c:pt idx="142">
                  <c:v>1.02848622140316</c:v>
                </c:pt>
                <c:pt idx="143">
                  <c:v>0.95037197788463901</c:v>
                </c:pt>
                <c:pt idx="144">
                  <c:v>0.23636261738547101</c:v>
                </c:pt>
                <c:pt idx="145">
                  <c:v>0.49951970851772598</c:v>
                </c:pt>
                <c:pt idx="146">
                  <c:v>0.60809589167750799</c:v>
                </c:pt>
                <c:pt idx="147">
                  <c:v>0.79661664234136498</c:v>
                </c:pt>
                <c:pt idx="148">
                  <c:v>0.36061074335155502</c:v>
                </c:pt>
                <c:pt idx="149">
                  <c:v>4.2492518860446998E-2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9.4141443055202299E-3</c:v>
                </c:pt>
                <c:pt idx="167">
                  <c:v>8.43449503479652E-2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9C-46B9-AFF8-C1B87234B4E7}"/>
            </c:ext>
          </c:extLst>
        </c:ser>
        <c:ser>
          <c:idx val="4"/>
          <c:order val="4"/>
          <c:tx>
            <c:strRef>
              <c:f>'Output R CGAPS3'!$M$1</c:f>
              <c:strCache>
                <c:ptCount val="1"/>
                <c:pt idx="0">
                  <c:v>Médiane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'Output R CGAPS3'!$A$2:$A$1900</c:f>
              <c:numCache>
                <c:formatCode>mmm\-yy</c:formatCode>
                <c:ptCount val="1899"/>
                <c:pt idx="0">
                  <c:v>28460</c:v>
                </c:pt>
                <c:pt idx="1">
                  <c:v>28550</c:v>
                </c:pt>
                <c:pt idx="2">
                  <c:v>28642</c:v>
                </c:pt>
                <c:pt idx="3">
                  <c:v>28734</c:v>
                </c:pt>
                <c:pt idx="4">
                  <c:v>28825</c:v>
                </c:pt>
                <c:pt idx="5">
                  <c:v>28915</c:v>
                </c:pt>
                <c:pt idx="6">
                  <c:v>29007</c:v>
                </c:pt>
                <c:pt idx="7">
                  <c:v>29099</c:v>
                </c:pt>
                <c:pt idx="8">
                  <c:v>29190</c:v>
                </c:pt>
                <c:pt idx="9">
                  <c:v>29281</c:v>
                </c:pt>
                <c:pt idx="10">
                  <c:v>29373</c:v>
                </c:pt>
                <c:pt idx="11">
                  <c:v>29465</c:v>
                </c:pt>
                <c:pt idx="12">
                  <c:v>29556</c:v>
                </c:pt>
                <c:pt idx="13">
                  <c:v>29646</c:v>
                </c:pt>
                <c:pt idx="14">
                  <c:v>29738</c:v>
                </c:pt>
                <c:pt idx="15">
                  <c:v>29830</c:v>
                </c:pt>
                <c:pt idx="16">
                  <c:v>29921</c:v>
                </c:pt>
                <c:pt idx="17">
                  <c:v>30011</c:v>
                </c:pt>
                <c:pt idx="18">
                  <c:v>30103</c:v>
                </c:pt>
                <c:pt idx="19">
                  <c:v>30195</c:v>
                </c:pt>
                <c:pt idx="20">
                  <c:v>30286</c:v>
                </c:pt>
                <c:pt idx="21">
                  <c:v>30376</c:v>
                </c:pt>
                <c:pt idx="22">
                  <c:v>30468</c:v>
                </c:pt>
                <c:pt idx="23">
                  <c:v>30560</c:v>
                </c:pt>
                <c:pt idx="24">
                  <c:v>30651</c:v>
                </c:pt>
                <c:pt idx="25">
                  <c:v>30742</c:v>
                </c:pt>
                <c:pt idx="26">
                  <c:v>30834</c:v>
                </c:pt>
                <c:pt idx="27">
                  <c:v>30926</c:v>
                </c:pt>
                <c:pt idx="28">
                  <c:v>31017</c:v>
                </c:pt>
                <c:pt idx="29">
                  <c:v>31107</c:v>
                </c:pt>
                <c:pt idx="30">
                  <c:v>31199</c:v>
                </c:pt>
                <c:pt idx="31">
                  <c:v>31291</c:v>
                </c:pt>
                <c:pt idx="32">
                  <c:v>31382</c:v>
                </c:pt>
                <c:pt idx="33">
                  <c:v>31472</c:v>
                </c:pt>
                <c:pt idx="34">
                  <c:v>31564</c:v>
                </c:pt>
                <c:pt idx="35">
                  <c:v>31656</c:v>
                </c:pt>
                <c:pt idx="36">
                  <c:v>31747</c:v>
                </c:pt>
                <c:pt idx="37">
                  <c:v>31837</c:v>
                </c:pt>
                <c:pt idx="38">
                  <c:v>31929</c:v>
                </c:pt>
                <c:pt idx="39">
                  <c:v>32021</c:v>
                </c:pt>
                <c:pt idx="40">
                  <c:v>32112</c:v>
                </c:pt>
                <c:pt idx="41">
                  <c:v>32203</c:v>
                </c:pt>
                <c:pt idx="42">
                  <c:v>32295</c:v>
                </c:pt>
                <c:pt idx="43">
                  <c:v>32387</c:v>
                </c:pt>
                <c:pt idx="44">
                  <c:v>32478</c:v>
                </c:pt>
                <c:pt idx="45">
                  <c:v>32568</c:v>
                </c:pt>
                <c:pt idx="46">
                  <c:v>32660</c:v>
                </c:pt>
                <c:pt idx="47">
                  <c:v>32752</c:v>
                </c:pt>
                <c:pt idx="48">
                  <c:v>32843</c:v>
                </c:pt>
                <c:pt idx="49">
                  <c:v>32933</c:v>
                </c:pt>
                <c:pt idx="50">
                  <c:v>33025</c:v>
                </c:pt>
                <c:pt idx="51">
                  <c:v>33117</c:v>
                </c:pt>
                <c:pt idx="52">
                  <c:v>33208</c:v>
                </c:pt>
                <c:pt idx="53">
                  <c:v>33298</c:v>
                </c:pt>
                <c:pt idx="54">
                  <c:v>33390</c:v>
                </c:pt>
                <c:pt idx="55">
                  <c:v>33482</c:v>
                </c:pt>
                <c:pt idx="56">
                  <c:v>33573</c:v>
                </c:pt>
                <c:pt idx="57">
                  <c:v>33664</c:v>
                </c:pt>
                <c:pt idx="58">
                  <c:v>33756</c:v>
                </c:pt>
                <c:pt idx="59">
                  <c:v>33848</c:v>
                </c:pt>
                <c:pt idx="60">
                  <c:v>33939</c:v>
                </c:pt>
                <c:pt idx="61">
                  <c:v>34029</c:v>
                </c:pt>
                <c:pt idx="62">
                  <c:v>34121</c:v>
                </c:pt>
                <c:pt idx="63">
                  <c:v>34213</c:v>
                </c:pt>
                <c:pt idx="64">
                  <c:v>34304</c:v>
                </c:pt>
                <c:pt idx="65">
                  <c:v>34394</c:v>
                </c:pt>
                <c:pt idx="66">
                  <c:v>34486</c:v>
                </c:pt>
                <c:pt idx="67">
                  <c:v>34578</c:v>
                </c:pt>
                <c:pt idx="68">
                  <c:v>34669</c:v>
                </c:pt>
                <c:pt idx="69">
                  <c:v>34759</c:v>
                </c:pt>
                <c:pt idx="70">
                  <c:v>34851</c:v>
                </c:pt>
                <c:pt idx="71">
                  <c:v>34943</c:v>
                </c:pt>
                <c:pt idx="72">
                  <c:v>35034</c:v>
                </c:pt>
                <c:pt idx="73">
                  <c:v>35125</c:v>
                </c:pt>
                <c:pt idx="74">
                  <c:v>35217</c:v>
                </c:pt>
                <c:pt idx="75">
                  <c:v>35309</c:v>
                </c:pt>
                <c:pt idx="76">
                  <c:v>35400</c:v>
                </c:pt>
                <c:pt idx="77">
                  <c:v>35490</c:v>
                </c:pt>
                <c:pt idx="78">
                  <c:v>35582</c:v>
                </c:pt>
                <c:pt idx="79">
                  <c:v>35674</c:v>
                </c:pt>
                <c:pt idx="80">
                  <c:v>35765</c:v>
                </c:pt>
                <c:pt idx="81">
                  <c:v>35855</c:v>
                </c:pt>
                <c:pt idx="82">
                  <c:v>35947</c:v>
                </c:pt>
                <c:pt idx="83">
                  <c:v>36039</c:v>
                </c:pt>
                <c:pt idx="84">
                  <c:v>36130</c:v>
                </c:pt>
                <c:pt idx="85">
                  <c:v>36220</c:v>
                </c:pt>
                <c:pt idx="86">
                  <c:v>36312</c:v>
                </c:pt>
                <c:pt idx="87">
                  <c:v>36404</c:v>
                </c:pt>
                <c:pt idx="88">
                  <c:v>36495</c:v>
                </c:pt>
                <c:pt idx="89">
                  <c:v>36586</c:v>
                </c:pt>
                <c:pt idx="90">
                  <c:v>36678</c:v>
                </c:pt>
                <c:pt idx="91">
                  <c:v>36770</c:v>
                </c:pt>
                <c:pt idx="92">
                  <c:v>36861</c:v>
                </c:pt>
                <c:pt idx="93">
                  <c:v>36951</c:v>
                </c:pt>
                <c:pt idx="94">
                  <c:v>37043</c:v>
                </c:pt>
                <c:pt idx="95">
                  <c:v>37135</c:v>
                </c:pt>
                <c:pt idx="96">
                  <c:v>37226</c:v>
                </c:pt>
                <c:pt idx="97">
                  <c:v>37316</c:v>
                </c:pt>
                <c:pt idx="98">
                  <c:v>37408</c:v>
                </c:pt>
                <c:pt idx="99">
                  <c:v>37500</c:v>
                </c:pt>
                <c:pt idx="100">
                  <c:v>37591</c:v>
                </c:pt>
                <c:pt idx="101">
                  <c:v>37681</c:v>
                </c:pt>
                <c:pt idx="102">
                  <c:v>37773</c:v>
                </c:pt>
                <c:pt idx="103">
                  <c:v>37865</c:v>
                </c:pt>
                <c:pt idx="104">
                  <c:v>37956</c:v>
                </c:pt>
                <c:pt idx="105">
                  <c:v>38047</c:v>
                </c:pt>
                <c:pt idx="106">
                  <c:v>38139</c:v>
                </c:pt>
                <c:pt idx="107">
                  <c:v>38231</c:v>
                </c:pt>
                <c:pt idx="108">
                  <c:v>38322</c:v>
                </c:pt>
                <c:pt idx="109">
                  <c:v>38412</c:v>
                </c:pt>
                <c:pt idx="110">
                  <c:v>38504</c:v>
                </c:pt>
                <c:pt idx="111">
                  <c:v>38596</c:v>
                </c:pt>
                <c:pt idx="112">
                  <c:v>38687</c:v>
                </c:pt>
                <c:pt idx="113">
                  <c:v>38777</c:v>
                </c:pt>
                <c:pt idx="114">
                  <c:v>38869</c:v>
                </c:pt>
                <c:pt idx="115">
                  <c:v>38961</c:v>
                </c:pt>
                <c:pt idx="116">
                  <c:v>39052</c:v>
                </c:pt>
                <c:pt idx="117">
                  <c:v>39142</c:v>
                </c:pt>
                <c:pt idx="118">
                  <c:v>39234</c:v>
                </c:pt>
                <c:pt idx="119">
                  <c:v>39326</c:v>
                </c:pt>
                <c:pt idx="120">
                  <c:v>39417</c:v>
                </c:pt>
                <c:pt idx="121">
                  <c:v>39508</c:v>
                </c:pt>
                <c:pt idx="122">
                  <c:v>39600</c:v>
                </c:pt>
                <c:pt idx="123">
                  <c:v>39692</c:v>
                </c:pt>
                <c:pt idx="124">
                  <c:v>39783</c:v>
                </c:pt>
                <c:pt idx="125">
                  <c:v>39873</c:v>
                </c:pt>
                <c:pt idx="126">
                  <c:v>39965</c:v>
                </c:pt>
                <c:pt idx="127">
                  <c:v>40057</c:v>
                </c:pt>
                <c:pt idx="128">
                  <c:v>40148</c:v>
                </c:pt>
                <c:pt idx="129">
                  <c:v>40238</c:v>
                </c:pt>
                <c:pt idx="130">
                  <c:v>40330</c:v>
                </c:pt>
                <c:pt idx="131">
                  <c:v>40422</c:v>
                </c:pt>
                <c:pt idx="132">
                  <c:v>40513</c:v>
                </c:pt>
                <c:pt idx="133">
                  <c:v>40603</c:v>
                </c:pt>
                <c:pt idx="134">
                  <c:v>40695</c:v>
                </c:pt>
                <c:pt idx="135">
                  <c:v>40787</c:v>
                </c:pt>
                <c:pt idx="136">
                  <c:v>40878</c:v>
                </c:pt>
                <c:pt idx="137">
                  <c:v>40969</c:v>
                </c:pt>
                <c:pt idx="138">
                  <c:v>41061</c:v>
                </c:pt>
                <c:pt idx="139">
                  <c:v>41153</c:v>
                </c:pt>
                <c:pt idx="140">
                  <c:v>41244</c:v>
                </c:pt>
                <c:pt idx="141">
                  <c:v>41334</c:v>
                </c:pt>
                <c:pt idx="142">
                  <c:v>41426</c:v>
                </c:pt>
                <c:pt idx="143">
                  <c:v>41518</c:v>
                </c:pt>
                <c:pt idx="144">
                  <c:v>41609</c:v>
                </c:pt>
                <c:pt idx="145">
                  <c:v>41699</c:v>
                </c:pt>
                <c:pt idx="146">
                  <c:v>41791</c:v>
                </c:pt>
                <c:pt idx="147">
                  <c:v>41883</c:v>
                </c:pt>
                <c:pt idx="148">
                  <c:v>41974</c:v>
                </c:pt>
                <c:pt idx="149">
                  <c:v>42064</c:v>
                </c:pt>
                <c:pt idx="150">
                  <c:v>42156</c:v>
                </c:pt>
                <c:pt idx="151">
                  <c:v>42248</c:v>
                </c:pt>
                <c:pt idx="152">
                  <c:v>42339</c:v>
                </c:pt>
                <c:pt idx="153">
                  <c:v>42430</c:v>
                </c:pt>
                <c:pt idx="154">
                  <c:v>42522</c:v>
                </c:pt>
                <c:pt idx="155">
                  <c:v>42614</c:v>
                </c:pt>
                <c:pt idx="156">
                  <c:v>42705</c:v>
                </c:pt>
                <c:pt idx="157">
                  <c:v>42795</c:v>
                </c:pt>
                <c:pt idx="158">
                  <c:v>42887</c:v>
                </c:pt>
                <c:pt idx="159">
                  <c:v>42979</c:v>
                </c:pt>
                <c:pt idx="160">
                  <c:v>43070</c:v>
                </c:pt>
                <c:pt idx="161">
                  <c:v>43160</c:v>
                </c:pt>
                <c:pt idx="162">
                  <c:v>43252</c:v>
                </c:pt>
                <c:pt idx="163">
                  <c:v>43344</c:v>
                </c:pt>
                <c:pt idx="164">
                  <c:v>43435</c:v>
                </c:pt>
                <c:pt idx="165">
                  <c:v>43525</c:v>
                </c:pt>
                <c:pt idx="166">
                  <c:v>43617</c:v>
                </c:pt>
                <c:pt idx="167">
                  <c:v>43709</c:v>
                </c:pt>
                <c:pt idx="168">
                  <c:v>43800</c:v>
                </c:pt>
                <c:pt idx="169">
                  <c:v>43891</c:v>
                </c:pt>
                <c:pt idx="170">
                  <c:v>43983</c:v>
                </c:pt>
                <c:pt idx="171">
                  <c:v>44075</c:v>
                </c:pt>
                <c:pt idx="172">
                  <c:v>44166</c:v>
                </c:pt>
                <c:pt idx="173">
                  <c:v>44256</c:v>
                </c:pt>
                <c:pt idx="174">
                  <c:v>44348</c:v>
                </c:pt>
                <c:pt idx="175">
                  <c:v>44440</c:v>
                </c:pt>
                <c:pt idx="176">
                  <c:v>44531</c:v>
                </c:pt>
                <c:pt idx="177">
                  <c:v>44621</c:v>
                </c:pt>
                <c:pt idx="178">
                  <c:v>44713</c:v>
                </c:pt>
                <c:pt idx="179">
                  <c:v>44805</c:v>
                </c:pt>
                <c:pt idx="180">
                  <c:v>44896</c:v>
                </c:pt>
                <c:pt idx="181">
                  <c:v>44986</c:v>
                </c:pt>
                <c:pt idx="182">
                  <c:v>45078</c:v>
                </c:pt>
                <c:pt idx="183">
                  <c:v>45170</c:v>
                </c:pt>
                <c:pt idx="184">
                  <c:v>45261</c:v>
                </c:pt>
                <c:pt idx="185">
                  <c:v>45352</c:v>
                </c:pt>
                <c:pt idx="186">
                  <c:v>45444</c:v>
                </c:pt>
                <c:pt idx="187">
                  <c:v>45536</c:v>
                </c:pt>
                <c:pt idx="188">
                  <c:v>45627</c:v>
                </c:pt>
                <c:pt idx="189">
                  <c:v>45717</c:v>
                </c:pt>
              </c:numCache>
            </c:numRef>
          </c:cat>
          <c:val>
            <c:numRef>
              <c:f>'Output R CGAPS3'!$M$2:$M$1900</c:f>
              <c:numCache>
                <c:formatCode>General</c:formatCode>
                <c:ptCount val="1899"/>
                <c:pt idx="0">
                  <c:v>5.1066526854423498E-2</c:v>
                </c:pt>
                <c:pt idx="1">
                  <c:v>0.27051760831689597</c:v>
                </c:pt>
                <c:pt idx="2">
                  <c:v>6.9954674392076E-3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0.33742548915487403</c:v>
                </c:pt>
                <c:pt idx="45">
                  <c:v>7.1559206824129001E-2</c:v>
                </c:pt>
                <c:pt idx="46">
                  <c:v>0.34147316161746549</c:v>
                </c:pt>
                <c:pt idx="47">
                  <c:v>0.21900666660938861</c:v>
                </c:pt>
                <c:pt idx="48">
                  <c:v>0.48442176785476454</c:v>
                </c:pt>
                <c:pt idx="49">
                  <c:v>0.50803186907667397</c:v>
                </c:pt>
                <c:pt idx="50">
                  <c:v>0.50190840008747095</c:v>
                </c:pt>
                <c:pt idx="51">
                  <c:v>0.4197906283475345</c:v>
                </c:pt>
                <c:pt idx="52">
                  <c:v>1.0509764276168181</c:v>
                </c:pt>
                <c:pt idx="53">
                  <c:v>0.95975283236395748</c:v>
                </c:pt>
                <c:pt idx="54">
                  <c:v>0.94543480259477541</c:v>
                </c:pt>
                <c:pt idx="55">
                  <c:v>0.84149395412089945</c:v>
                </c:pt>
                <c:pt idx="56">
                  <c:v>0.95188928715846644</c:v>
                </c:pt>
                <c:pt idx="57">
                  <c:v>0.85655411992780051</c:v>
                </c:pt>
                <c:pt idx="58">
                  <c:v>0.74016250169263342</c:v>
                </c:pt>
                <c:pt idx="59">
                  <c:v>0.44349426321001695</c:v>
                </c:pt>
                <c:pt idx="60">
                  <c:v>0.76819495263973603</c:v>
                </c:pt>
                <c:pt idx="61">
                  <c:v>1.1354611020284631</c:v>
                </c:pt>
                <c:pt idx="62">
                  <c:v>1.2375611134923505</c:v>
                </c:pt>
                <c:pt idx="63">
                  <c:v>1.1201439539945695</c:v>
                </c:pt>
                <c:pt idx="64">
                  <c:v>0.81027294552936802</c:v>
                </c:pt>
                <c:pt idx="65">
                  <c:v>0.38719539471476594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4.8140481903659098E-2</c:v>
                </c:pt>
                <c:pt idx="115">
                  <c:v>3.1136471249057499E-2</c:v>
                </c:pt>
                <c:pt idx="116">
                  <c:v>0.116195325106798</c:v>
                </c:pt>
                <c:pt idx="117">
                  <c:v>0.14038111918283086</c:v>
                </c:pt>
                <c:pt idx="118">
                  <c:v>0.59744589125191694</c:v>
                </c:pt>
                <c:pt idx="119">
                  <c:v>0.60446023262453197</c:v>
                </c:pt>
                <c:pt idx="120">
                  <c:v>0.40754750630737702</c:v>
                </c:pt>
                <c:pt idx="121">
                  <c:v>0.43875518443660799</c:v>
                </c:pt>
                <c:pt idx="122">
                  <c:v>0.94751013743850998</c:v>
                </c:pt>
                <c:pt idx="123">
                  <c:v>1.3190364543382951</c:v>
                </c:pt>
                <c:pt idx="124">
                  <c:v>1.4652016504413801</c:v>
                </c:pt>
                <c:pt idx="125">
                  <c:v>1.479570447093935</c:v>
                </c:pt>
                <c:pt idx="126">
                  <c:v>1.5433115453655599</c:v>
                </c:pt>
                <c:pt idx="127">
                  <c:v>1.449773931787125</c:v>
                </c:pt>
                <c:pt idx="128">
                  <c:v>1.4497694495133051</c:v>
                </c:pt>
                <c:pt idx="129">
                  <c:v>1.39643005066783</c:v>
                </c:pt>
                <c:pt idx="130">
                  <c:v>1.8463649633899699</c:v>
                </c:pt>
                <c:pt idx="131">
                  <c:v>1.47378490209893</c:v>
                </c:pt>
                <c:pt idx="132">
                  <c:v>1.54598169998504</c:v>
                </c:pt>
                <c:pt idx="133">
                  <c:v>1.3299606923492449</c:v>
                </c:pt>
                <c:pt idx="134">
                  <c:v>1.6213764578711949</c:v>
                </c:pt>
                <c:pt idx="135">
                  <c:v>1.8723846741402599</c:v>
                </c:pt>
                <c:pt idx="136">
                  <c:v>1.7432062349679249</c:v>
                </c:pt>
                <c:pt idx="137">
                  <c:v>1.9401461457683751</c:v>
                </c:pt>
                <c:pt idx="138">
                  <c:v>2.1598613252077348</c:v>
                </c:pt>
                <c:pt idx="139">
                  <c:v>2.0010613689335899</c:v>
                </c:pt>
                <c:pt idx="140">
                  <c:v>1.6351070138833901</c:v>
                </c:pt>
                <c:pt idx="141">
                  <c:v>1.4338509743672601</c:v>
                </c:pt>
                <c:pt idx="142">
                  <c:v>0.762068584183628</c:v>
                </c:pt>
                <c:pt idx="143">
                  <c:v>0.59864556446511796</c:v>
                </c:pt>
                <c:pt idx="144">
                  <c:v>0.11818130869273551</c:v>
                </c:pt>
                <c:pt idx="145">
                  <c:v>0.2087780218756215</c:v>
                </c:pt>
                <c:pt idx="146">
                  <c:v>0.47868428637383703</c:v>
                </c:pt>
                <c:pt idx="147">
                  <c:v>0.50885222970069144</c:v>
                </c:pt>
                <c:pt idx="148">
                  <c:v>0.28699566469439053</c:v>
                </c:pt>
                <c:pt idx="149">
                  <c:v>2.1246259430223499E-2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4.707072152760115E-3</c:v>
                </c:pt>
                <c:pt idx="167">
                  <c:v>4.21724751739826E-2</c:v>
                </c:pt>
                <c:pt idx="168">
                  <c:v>0</c:v>
                </c:pt>
                <c:pt idx="169">
                  <c:v>0</c:v>
                </c:pt>
                <c:pt idx="170">
                  <c:v>1.091538245401996</c:v>
                </c:pt>
                <c:pt idx="171">
                  <c:v>1.4871817375490151</c:v>
                </c:pt>
                <c:pt idx="172">
                  <c:v>1.6915768049602899</c:v>
                </c:pt>
                <c:pt idx="173">
                  <c:v>1.3696043465589951</c:v>
                </c:pt>
                <c:pt idx="174">
                  <c:v>1.5474774208052851</c:v>
                </c:pt>
                <c:pt idx="175">
                  <c:v>0.91278529641593198</c:v>
                </c:pt>
                <c:pt idx="176">
                  <c:v>0.44640428894747852</c:v>
                </c:pt>
                <c:pt idx="177">
                  <c:v>0.1912118166631625</c:v>
                </c:pt>
                <c:pt idx="178">
                  <c:v>5.9397176889730498E-4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9C-46B9-AFF8-C1B87234B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185456"/>
        <c:axId val="499185040"/>
      </c:lineChart>
      <c:dateAx>
        <c:axId val="499185456"/>
        <c:scaling>
          <c:orientation val="minMax"/>
          <c:max val="45717"/>
          <c:min val="3652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99185040"/>
        <c:crosses val="autoZero"/>
        <c:auto val="1"/>
        <c:lblOffset val="100"/>
        <c:baseTimeUnit val="months"/>
        <c:majorUnit val="12"/>
        <c:majorTimeUnit val="months"/>
      </c:dateAx>
      <c:valAx>
        <c:axId val="499185040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99185456"/>
        <c:crosses val="autoZero"/>
        <c:crossBetween val="between"/>
        <c:majorUnit val="0.25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0"/>
          <c:y val="0.89576920531992321"/>
          <c:w val="0.98424439538915731"/>
          <c:h val="9.1625752663270027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AD35D51-8EC4-4BFC-BF5F-B9B42F5EEDBC}">
  <sheetPr/>
  <sheetViews>
    <sheetView zoomScale="13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437D0A3-D139-47E3-A9A9-48C457591C14}">
  <sheetPr/>
  <sheetViews>
    <sheetView zoomScale="13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78A7C3A-5514-446D-AEC7-AD0048AEB562}">
  <sheetPr/>
  <sheetViews>
    <sheetView zoomScale="13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40961FB-B9E5-4BE2-BFC2-87589D016EAE}">
  <sheetPr/>
  <sheetViews>
    <sheetView zoomScale="13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3A727E9-ECE1-419C-856B-B6B9DF69EAC2}">
  <sheetPr/>
  <sheetViews>
    <sheetView zoomScale="13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64CE1EF-18C6-4A55-A1AD-4E5F35CAA8A5}">
  <sheetPr/>
  <sheetViews>
    <sheetView zoomScale="55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2EC54B7-70E8-4F87-BFF7-82A904A91250}">
  <sheetPr/>
  <sheetViews>
    <sheetView zoomScale="130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2A8BF20-B450-4CDC-8A88-E362E97DD123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9D213C3-888A-43DD-85F6-F155F590F454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3321" cy="604197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0C132A1-5B45-44E9-98B7-0C32BD6F3E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3321" cy="604197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9008AAD-6F1A-4698-814D-F08B301E8FE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3321" cy="604197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BCA8AAA-BCCB-40DA-9259-7E31D3BEE89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3321" cy="604197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3471232-0990-4920-931A-564E1ACC047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3321" cy="604197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8C07F2D-2697-474F-8BC8-415E1642F34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4091" cy="604981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991FBF2-6AE0-4E6B-BC49-A3765CC4682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5654" cy="604715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EDE0EE0-78B3-4537-A050-7318F3A756C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6197" cy="605149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581C058-EDDD-4C98-A1D6-0A2C5493B4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83700" cy="60452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D61918D-4DF8-40B1-991F-EF233C4E16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3B7C-90D1-4D9B-A497-A8D648C42317}">
  <sheetPr>
    <tabColor rgb="FFFFC000"/>
  </sheetPr>
  <dimension ref="A1:A9"/>
  <sheetViews>
    <sheetView workbookViewId="0">
      <selection activeCell="A10" sqref="A10"/>
    </sheetView>
  </sheetViews>
  <sheetFormatPr baseColWidth="10" defaultRowHeight="14.5" x14ac:dyDescent="0.35"/>
  <cols>
    <col min="1" max="16384" width="10.90625" style="8"/>
  </cols>
  <sheetData>
    <row r="1" spans="1:1" x14ac:dyDescent="0.35">
      <c r="A1" s="8" t="s">
        <v>37</v>
      </c>
    </row>
    <row r="2" spans="1:1" x14ac:dyDescent="0.35">
      <c r="A2" s="8" t="s">
        <v>38</v>
      </c>
    </row>
    <row r="3" spans="1:1" x14ac:dyDescent="0.35">
      <c r="A3" s="8" t="s">
        <v>39</v>
      </c>
    </row>
    <row r="4" spans="1:1" x14ac:dyDescent="0.35">
      <c r="A4" s="8" t="s">
        <v>40</v>
      </c>
    </row>
    <row r="5" spans="1:1" x14ac:dyDescent="0.35">
      <c r="A5" s="8" t="s">
        <v>41</v>
      </c>
    </row>
    <row r="7" spans="1:1" x14ac:dyDescent="0.35">
      <c r="A7" s="8" t="s">
        <v>42</v>
      </c>
    </row>
    <row r="8" spans="1:1" x14ac:dyDescent="0.35">
      <c r="A8" s="8" t="s">
        <v>43</v>
      </c>
    </row>
    <row r="9" spans="1:1" x14ac:dyDescent="0.35">
      <c r="A9" s="8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AE951-D632-4CE6-AD27-FDE125A68614}">
  <sheetPr>
    <tabColor rgb="FFFF0000"/>
  </sheetPr>
  <dimension ref="A1"/>
  <sheetViews>
    <sheetView workbookViewId="0">
      <selection activeCell="D40" sqref="D40"/>
    </sheetView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90C4-356C-43B9-B46E-2039806B9B87}">
  <dimension ref="A1:Y190"/>
  <sheetViews>
    <sheetView topLeftCell="A61" zoomScale="80" zoomScaleNormal="80" workbookViewId="0">
      <selection activeCell="P105" sqref="P105"/>
    </sheetView>
  </sheetViews>
  <sheetFormatPr baseColWidth="10" defaultRowHeight="14.5" x14ac:dyDescent="0.35"/>
  <cols>
    <col min="14" max="14" width="44.1796875" bestFit="1" customWidth="1"/>
  </cols>
  <sheetData>
    <row r="1" spans="1:25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8</v>
      </c>
      <c r="I1" t="s">
        <v>20</v>
      </c>
      <c r="J1" t="s">
        <v>21</v>
      </c>
      <c r="K1" t="s">
        <v>22</v>
      </c>
      <c r="L1" t="s">
        <v>23</v>
      </c>
      <c r="N1" s="4" t="s">
        <v>35</v>
      </c>
      <c r="O1" t="s">
        <v>24</v>
      </c>
      <c r="P1" t="s">
        <v>0</v>
      </c>
      <c r="Q1" t="s">
        <v>1</v>
      </c>
      <c r="R1" t="s">
        <v>2</v>
      </c>
      <c r="S1" t="s">
        <v>3</v>
      </c>
      <c r="T1" t="s">
        <v>14</v>
      </c>
      <c r="U1" t="s">
        <v>15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5">
      <c r="A2" s="1">
        <v>36220</v>
      </c>
      <c r="B2">
        <f>IF(P2="","",P2)</f>
        <v>4.8084267290613303</v>
      </c>
      <c r="C2">
        <f t="shared" ref="C2:C65" si="0">IF(Q2="","",Q2)</f>
        <v>1.1542506502801499</v>
      </c>
      <c r="D2">
        <f t="shared" ref="D2:D65" si="1">IF(R2="","",R2)</f>
        <v>2.1640911197557702</v>
      </c>
      <c r="E2">
        <f t="shared" ref="E2:E65" si="2">IF(S2="","",S2)</f>
        <v>1.3421856062983599</v>
      </c>
      <c r="F2">
        <f t="shared" ref="F2:F65" si="3">IF(T2="","",T2)</f>
        <v>-0.708981706797849</v>
      </c>
      <c r="G2">
        <f t="shared" ref="G2:G65" si="4">IF(U2="","",U2)</f>
        <v>2.8730728265534502</v>
      </c>
      <c r="H2">
        <f>IF(A2="","",2)</f>
        <v>2</v>
      </c>
      <c r="I2">
        <f>IF(V2="","",V2)</f>
        <v>0.87763335283166599</v>
      </c>
      <c r="J2">
        <v>4.5146252838942198E-2</v>
      </c>
      <c r="K2">
        <v>0</v>
      </c>
      <c r="L2">
        <v>0</v>
      </c>
      <c r="N2" s="4" t="s">
        <v>36</v>
      </c>
      <c r="O2">
        <v>249782400</v>
      </c>
      <c r="P2">
        <v>4.8084267290613303</v>
      </c>
      <c r="Q2">
        <v>1.1542506502801499</v>
      </c>
      <c r="R2">
        <v>2.1640911197557702</v>
      </c>
      <c r="S2">
        <v>1.3421856062983599</v>
      </c>
      <c r="T2">
        <v>-0.708981706797849</v>
      </c>
      <c r="U2">
        <v>2.8730728265534502</v>
      </c>
      <c r="V2">
        <v>0.87763335283166599</v>
      </c>
      <c r="W2">
        <v>0</v>
      </c>
      <c r="X2">
        <v>5.1278474923678499E-2</v>
      </c>
      <c r="Y2">
        <v>0</v>
      </c>
    </row>
    <row r="3" spans="1:25" x14ac:dyDescent="0.35">
      <c r="A3" s="1">
        <v>36312</v>
      </c>
      <c r="B3">
        <f t="shared" ref="B3:B66" si="5">IF(P3="","",P3)</f>
        <v>6.6742208427646297</v>
      </c>
      <c r="C3">
        <f t="shared" si="0"/>
        <v>1.88357076221942</v>
      </c>
      <c r="D3">
        <f t="shared" si="1"/>
        <v>3.2074785931864902</v>
      </c>
      <c r="E3">
        <f t="shared" si="2"/>
        <v>2.1299547877222</v>
      </c>
      <c r="F3">
        <f t="shared" si="3"/>
        <v>-0.55913972820865399</v>
      </c>
      <c r="G3">
        <f t="shared" si="4"/>
        <v>3.7666183213950402</v>
      </c>
      <c r="H3">
        <f t="shared" ref="H3:H66" si="6">IF(A3="","",2)</f>
        <v>2</v>
      </c>
      <c r="I3">
        <f t="shared" ref="I3:I66" si="7">IF(V3="","",V3)</f>
        <v>1.4606940133639501</v>
      </c>
      <c r="J3">
        <f t="shared" ref="J3:J66" si="8">IF(W3="","",W3)</f>
        <v>0</v>
      </c>
      <c r="K3">
        <f t="shared" ref="K3:K66" si="9">IF(X3="","",X3)</f>
        <v>0.37733706037077902</v>
      </c>
      <c r="L3">
        <f t="shared" ref="L3:L66" si="10">IF(Y3="","",Y3)</f>
        <v>4.06108711631867E-2</v>
      </c>
      <c r="N3" s="4" t="s">
        <v>34</v>
      </c>
      <c r="O3">
        <v>257558400</v>
      </c>
      <c r="P3">
        <v>6.6742208427646297</v>
      </c>
      <c r="Q3">
        <v>1.88357076221942</v>
      </c>
      <c r="R3">
        <v>3.2074785931864902</v>
      </c>
      <c r="S3">
        <v>2.1299547877222</v>
      </c>
      <c r="T3">
        <v>-0.55913972820865399</v>
      </c>
      <c r="U3">
        <v>3.7666183213950402</v>
      </c>
      <c r="V3">
        <v>1.4606940133639501</v>
      </c>
      <c r="W3">
        <v>0</v>
      </c>
      <c r="X3">
        <v>0.37733706037077902</v>
      </c>
      <c r="Y3">
        <v>4.06108711631867E-2</v>
      </c>
    </row>
    <row r="4" spans="1:25" x14ac:dyDescent="0.35">
      <c r="A4" s="1">
        <v>36404</v>
      </c>
      <c r="B4">
        <f t="shared" si="5"/>
        <v>4.3513981317721502</v>
      </c>
      <c r="C4">
        <f t="shared" si="0"/>
        <v>0.97200970234620299</v>
      </c>
      <c r="D4">
        <f t="shared" si="1"/>
        <v>1.9059119348981799</v>
      </c>
      <c r="E4">
        <f t="shared" si="2"/>
        <v>1.1458122784017699</v>
      </c>
      <c r="F4">
        <f t="shared" si="3"/>
        <v>-0.75111084058658095</v>
      </c>
      <c r="G4">
        <f t="shared" si="4"/>
        <v>2.6570227754847102</v>
      </c>
      <c r="H4">
        <f t="shared" si="6"/>
        <v>2</v>
      </c>
      <c r="I4">
        <f t="shared" si="7"/>
        <v>0.73481191617879804</v>
      </c>
      <c r="J4">
        <f t="shared" si="8"/>
        <v>0</v>
      </c>
      <c r="K4">
        <f t="shared" si="9"/>
        <v>0</v>
      </c>
      <c r="L4">
        <f t="shared" si="10"/>
        <v>0</v>
      </c>
      <c r="O4">
        <v>265507200</v>
      </c>
      <c r="P4">
        <v>4.3513981317721502</v>
      </c>
      <c r="Q4">
        <v>0.97200970234620299</v>
      </c>
      <c r="R4">
        <v>1.9059119348981799</v>
      </c>
      <c r="S4">
        <v>1.1458122784017699</v>
      </c>
      <c r="T4">
        <v>-0.75111084058658095</v>
      </c>
      <c r="U4">
        <v>2.6570227754847102</v>
      </c>
      <c r="V4">
        <v>0.73481191617879804</v>
      </c>
      <c r="W4">
        <v>0</v>
      </c>
      <c r="X4">
        <v>0</v>
      </c>
      <c r="Y4">
        <v>0</v>
      </c>
    </row>
    <row r="5" spans="1:25" x14ac:dyDescent="0.35">
      <c r="A5" s="1">
        <v>36495</v>
      </c>
      <c r="B5">
        <f t="shared" si="5"/>
        <v>1.0892817250779701</v>
      </c>
      <c r="C5">
        <f t="shared" si="0"/>
        <v>-0.246746352973959</v>
      </c>
      <c r="D5">
        <f t="shared" si="1"/>
        <v>0.12246826407931</v>
      </c>
      <c r="E5">
        <f t="shared" si="2"/>
        <v>-0.178034180195555</v>
      </c>
      <c r="F5">
        <f t="shared" si="3"/>
        <v>-0.92797536091528399</v>
      </c>
      <c r="G5">
        <f t="shared" si="4"/>
        <v>1.0504436249946101</v>
      </c>
      <c r="H5">
        <f t="shared" si="6"/>
        <v>2</v>
      </c>
      <c r="I5">
        <f t="shared" si="7"/>
        <v>0</v>
      </c>
      <c r="J5">
        <f t="shared" si="8"/>
        <v>0</v>
      </c>
      <c r="K5">
        <f t="shared" si="9"/>
        <v>0</v>
      </c>
      <c r="L5">
        <f t="shared" si="10"/>
        <v>0</v>
      </c>
      <c r="O5">
        <v>273456000</v>
      </c>
      <c r="P5">
        <v>1.0892817250779701</v>
      </c>
      <c r="Q5">
        <v>-0.246746352973959</v>
      </c>
      <c r="R5">
        <v>0.12246826407931</v>
      </c>
      <c r="S5">
        <v>-0.178034180195555</v>
      </c>
      <c r="T5">
        <v>-0.92797536091528399</v>
      </c>
      <c r="U5">
        <v>1.0504436249946101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>
        <v>36586</v>
      </c>
      <c r="B6">
        <f t="shared" si="5"/>
        <v>1.64257395826653</v>
      </c>
      <c r="C6">
        <f t="shared" si="0"/>
        <v>5.20076015203682E-2</v>
      </c>
      <c r="D6">
        <f t="shared" si="1"/>
        <v>0.49156449254032603</v>
      </c>
      <c r="E6">
        <f t="shared" si="2"/>
        <v>0.13381072535861499</v>
      </c>
      <c r="F6">
        <f t="shared" si="3"/>
        <v>-0.75900824393324495</v>
      </c>
      <c r="G6">
        <f t="shared" si="4"/>
        <v>1.2505727364735999</v>
      </c>
      <c r="H6">
        <f t="shared" si="6"/>
        <v>2</v>
      </c>
      <c r="I6">
        <f t="shared" si="7"/>
        <v>0</v>
      </c>
      <c r="J6">
        <f t="shared" si="8"/>
        <v>0</v>
      </c>
      <c r="K6">
        <f t="shared" si="9"/>
        <v>0</v>
      </c>
      <c r="L6">
        <f t="shared" si="10"/>
        <v>0</v>
      </c>
      <c r="O6">
        <v>281318400</v>
      </c>
      <c r="P6">
        <v>1.64257395826653</v>
      </c>
      <c r="Q6">
        <v>5.20076015203682E-2</v>
      </c>
      <c r="R6">
        <v>0.49156449254032603</v>
      </c>
      <c r="S6">
        <v>0.13381072535861499</v>
      </c>
      <c r="T6">
        <v>-0.75900824393324495</v>
      </c>
      <c r="U6">
        <v>1.2505727364735999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>
        <v>36678</v>
      </c>
      <c r="B7">
        <f t="shared" si="5"/>
        <v>-0.73096699438306001</v>
      </c>
      <c r="C7">
        <f t="shared" si="0"/>
        <v>-0.69018418108569102</v>
      </c>
      <c r="D7">
        <f t="shared" si="1"/>
        <v>-0.70145461098256701</v>
      </c>
      <c r="E7">
        <f t="shared" si="2"/>
        <v>-0.69228164876595999</v>
      </c>
      <c r="F7">
        <f t="shared" si="3"/>
        <v>-0.66938938200922704</v>
      </c>
      <c r="G7">
        <f t="shared" si="4"/>
        <v>-3.2065228973312897E-2</v>
      </c>
      <c r="H7">
        <f t="shared" si="6"/>
        <v>2</v>
      </c>
      <c r="I7">
        <f t="shared" si="7"/>
        <v>0</v>
      </c>
      <c r="J7">
        <f t="shared" si="8"/>
        <v>0</v>
      </c>
      <c r="K7">
        <f t="shared" si="9"/>
        <v>0</v>
      </c>
      <c r="L7">
        <f t="shared" si="10"/>
        <v>0</v>
      </c>
      <c r="O7">
        <v>289094400</v>
      </c>
      <c r="P7">
        <v>-0.73096699438306001</v>
      </c>
      <c r="Q7">
        <v>-0.69018418108569102</v>
      </c>
      <c r="R7">
        <v>-0.70145461098256701</v>
      </c>
      <c r="S7">
        <v>-0.69228164876595999</v>
      </c>
      <c r="T7">
        <v>-0.66938938200922704</v>
      </c>
      <c r="U7">
        <v>-3.2065228973312897E-2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>
        <v>36770</v>
      </c>
      <c r="B8">
        <f t="shared" si="5"/>
        <v>-1.0833669923840601</v>
      </c>
      <c r="C8">
        <f t="shared" si="0"/>
        <v>-0.33195754214715401</v>
      </c>
      <c r="D8">
        <f t="shared" si="1"/>
        <v>-0.53961137590788899</v>
      </c>
      <c r="E8">
        <f t="shared" si="2"/>
        <v>-0.37060267006035003</v>
      </c>
      <c r="F8">
        <f t="shared" si="3"/>
        <v>5.1179551115881398E-2</v>
      </c>
      <c r="G8">
        <f t="shared" si="4"/>
        <v>-0.59079092702368896</v>
      </c>
      <c r="H8">
        <f t="shared" si="6"/>
        <v>2</v>
      </c>
      <c r="I8">
        <f t="shared" si="7"/>
        <v>0</v>
      </c>
      <c r="J8">
        <f t="shared" si="8"/>
        <v>0</v>
      </c>
      <c r="K8">
        <f t="shared" si="9"/>
        <v>0</v>
      </c>
      <c r="L8">
        <f t="shared" si="10"/>
        <v>0</v>
      </c>
      <c r="O8">
        <v>297043200</v>
      </c>
      <c r="P8">
        <v>-1.0833669923840601</v>
      </c>
      <c r="Q8">
        <v>-0.33195754214715401</v>
      </c>
      <c r="R8">
        <v>-0.53961137590788899</v>
      </c>
      <c r="S8">
        <v>-0.37060267006035003</v>
      </c>
      <c r="T8">
        <v>5.1179551115881398E-2</v>
      </c>
      <c r="U8">
        <v>-0.59079092702368896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>
        <v>36861</v>
      </c>
      <c r="B9">
        <f t="shared" si="5"/>
        <v>-2.7294627202105999</v>
      </c>
      <c r="C9">
        <f t="shared" si="0"/>
        <v>-0.57696555482747103</v>
      </c>
      <c r="D9">
        <f t="shared" si="1"/>
        <v>-1.1718133949896901</v>
      </c>
      <c r="E9">
        <f t="shared" si="2"/>
        <v>-0.68766888476675503</v>
      </c>
      <c r="F9">
        <f t="shared" si="3"/>
        <v>0.52057388514339897</v>
      </c>
      <c r="G9">
        <f t="shared" si="4"/>
        <v>-1.69238728013297</v>
      </c>
      <c r="H9">
        <f t="shared" si="6"/>
        <v>2</v>
      </c>
      <c r="I9">
        <f t="shared" si="7"/>
        <v>0</v>
      </c>
      <c r="J9">
        <f t="shared" si="8"/>
        <v>0</v>
      </c>
      <c r="K9">
        <f t="shared" si="9"/>
        <v>0</v>
      </c>
      <c r="L9">
        <f t="shared" si="10"/>
        <v>0</v>
      </c>
      <c r="O9">
        <v>304992000</v>
      </c>
      <c r="P9">
        <v>-2.7294627202105999</v>
      </c>
      <c r="Q9">
        <v>-0.57696555482747103</v>
      </c>
      <c r="R9">
        <v>-1.1718133949896901</v>
      </c>
      <c r="S9">
        <v>-0.68766888476675503</v>
      </c>
      <c r="T9">
        <v>0.52057388514339897</v>
      </c>
      <c r="U9">
        <v>-1.69238728013297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>
        <v>36951</v>
      </c>
      <c r="B10">
        <f t="shared" si="5"/>
        <v>-0.82436522827384695</v>
      </c>
      <c r="C10">
        <f t="shared" si="0"/>
        <v>0.12889632296313699</v>
      </c>
      <c r="D10">
        <f t="shared" si="1"/>
        <v>-0.13453983109199799</v>
      </c>
      <c r="E10">
        <f t="shared" si="2"/>
        <v>7.9869903917353893E-2</v>
      </c>
      <c r="F10">
        <f t="shared" si="3"/>
        <v>0.61495603347810701</v>
      </c>
      <c r="G10">
        <f t="shared" si="4"/>
        <v>-0.74949586456994199</v>
      </c>
      <c r="H10">
        <f t="shared" si="6"/>
        <v>2</v>
      </c>
      <c r="I10">
        <f t="shared" si="7"/>
        <v>0</v>
      </c>
      <c r="J10">
        <f t="shared" si="8"/>
        <v>0</v>
      </c>
      <c r="K10">
        <f t="shared" si="9"/>
        <v>0</v>
      </c>
      <c r="L10">
        <f t="shared" si="10"/>
        <v>0</v>
      </c>
      <c r="O10">
        <v>312854400</v>
      </c>
      <c r="P10">
        <v>-0.82436522827384695</v>
      </c>
      <c r="Q10">
        <v>0.12889632296313699</v>
      </c>
      <c r="R10">
        <v>-0.13453983109199799</v>
      </c>
      <c r="S10">
        <v>7.9869903917353893E-2</v>
      </c>
      <c r="T10">
        <v>0.61495603347810701</v>
      </c>
      <c r="U10">
        <v>-0.74949586456994199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>
        <v>37043</v>
      </c>
      <c r="B11">
        <f t="shared" si="5"/>
        <v>-3.4766956868921399</v>
      </c>
      <c r="C11">
        <f t="shared" si="0"/>
        <v>-0.625701241736484</v>
      </c>
      <c r="D11">
        <f t="shared" si="1"/>
        <v>-1.4135805083340101</v>
      </c>
      <c r="E11">
        <f t="shared" si="2"/>
        <v>-0.77232841681153197</v>
      </c>
      <c r="F11">
        <f t="shared" si="3"/>
        <v>0.82799583950419597</v>
      </c>
      <c r="G11">
        <f t="shared" si="4"/>
        <v>-2.2415763478380999</v>
      </c>
      <c r="H11">
        <f t="shared" si="6"/>
        <v>2</v>
      </c>
      <c r="I11">
        <f t="shared" si="7"/>
        <v>0</v>
      </c>
      <c r="J11">
        <f t="shared" si="8"/>
        <v>0</v>
      </c>
      <c r="K11">
        <f t="shared" si="9"/>
        <v>0</v>
      </c>
      <c r="L11">
        <f t="shared" si="10"/>
        <v>0</v>
      </c>
      <c r="O11">
        <v>320716800</v>
      </c>
      <c r="P11">
        <v>-3.4766956868921399</v>
      </c>
      <c r="Q11">
        <v>-0.625701241736484</v>
      </c>
      <c r="R11">
        <v>-1.4135805083340101</v>
      </c>
      <c r="S11">
        <v>-0.77232841681153197</v>
      </c>
      <c r="T11">
        <v>0.82799583950419597</v>
      </c>
      <c r="U11">
        <v>-2.2415763478380999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>
        <v>37135</v>
      </c>
      <c r="B12">
        <f t="shared" si="5"/>
        <v>-1.83144065986187</v>
      </c>
      <c r="C12">
        <f t="shared" si="0"/>
        <v>-8.5104581560820694E-2</v>
      </c>
      <c r="D12">
        <f t="shared" si="1"/>
        <v>-0.56770881495125802</v>
      </c>
      <c r="E12">
        <f t="shared" si="2"/>
        <v>-0.174918971177765</v>
      </c>
      <c r="F12">
        <f t="shared" si="3"/>
        <v>0.80533687973531698</v>
      </c>
      <c r="G12">
        <f t="shared" si="4"/>
        <v>-1.37304569468647</v>
      </c>
      <c r="H12">
        <f t="shared" si="6"/>
        <v>2</v>
      </c>
      <c r="I12">
        <f t="shared" si="7"/>
        <v>0</v>
      </c>
      <c r="J12">
        <f t="shared" si="8"/>
        <v>0</v>
      </c>
      <c r="K12">
        <f t="shared" si="9"/>
        <v>0</v>
      </c>
      <c r="L12">
        <f t="shared" si="10"/>
        <v>0</v>
      </c>
      <c r="O12">
        <v>328665600</v>
      </c>
      <c r="P12">
        <v>-1.83144065986187</v>
      </c>
      <c r="Q12">
        <v>-8.5104581560820694E-2</v>
      </c>
      <c r="R12">
        <v>-0.56770881495125802</v>
      </c>
      <c r="S12">
        <v>-0.174918971177765</v>
      </c>
      <c r="T12">
        <v>0.80533687973531698</v>
      </c>
      <c r="U12">
        <v>-1.37304569468647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>
        <v>37226</v>
      </c>
      <c r="B13">
        <f t="shared" si="5"/>
        <v>-2.38134062997795</v>
      </c>
      <c r="C13">
        <f t="shared" si="0"/>
        <v>-0.35958710716318798</v>
      </c>
      <c r="D13">
        <f t="shared" si="1"/>
        <v>-0.918303622904869</v>
      </c>
      <c r="E13">
        <f t="shared" si="2"/>
        <v>-0.46356626722510202</v>
      </c>
      <c r="F13">
        <f t="shared" si="3"/>
        <v>0.67128729530986697</v>
      </c>
      <c r="G13">
        <f t="shared" si="4"/>
        <v>-1.5895909182147101</v>
      </c>
      <c r="H13">
        <f t="shared" si="6"/>
        <v>2</v>
      </c>
      <c r="I13">
        <f t="shared" si="7"/>
        <v>0</v>
      </c>
      <c r="J13">
        <f t="shared" si="8"/>
        <v>0</v>
      </c>
      <c r="K13">
        <f t="shared" si="9"/>
        <v>0</v>
      </c>
      <c r="L13">
        <f t="shared" si="10"/>
        <v>0</v>
      </c>
      <c r="O13">
        <v>336614400</v>
      </c>
      <c r="P13">
        <v>-2.38134062997795</v>
      </c>
      <c r="Q13">
        <v>-0.35958710716318798</v>
      </c>
      <c r="R13">
        <v>-0.918303622904869</v>
      </c>
      <c r="S13">
        <v>-0.46356626722510202</v>
      </c>
      <c r="T13">
        <v>0.67128729530986697</v>
      </c>
      <c r="U13">
        <v>-1.5895909182147101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>
        <v>37316</v>
      </c>
      <c r="B14">
        <f t="shared" si="5"/>
        <v>-0.66305511135719697</v>
      </c>
      <c r="C14">
        <f t="shared" si="0"/>
        <v>0.37221258942459901</v>
      </c>
      <c r="D14">
        <f t="shared" si="1"/>
        <v>8.6113835984376899E-2</v>
      </c>
      <c r="E14">
        <f t="shared" si="2"/>
        <v>0.31896857884080598</v>
      </c>
      <c r="F14">
        <f t="shared" si="3"/>
        <v>0.900086516883984</v>
      </c>
      <c r="G14">
        <f t="shared" si="4"/>
        <v>-0.81397268089959096</v>
      </c>
      <c r="H14">
        <f t="shared" si="6"/>
        <v>2</v>
      </c>
      <c r="I14">
        <f t="shared" si="7"/>
        <v>0</v>
      </c>
      <c r="J14">
        <f t="shared" si="8"/>
        <v>0</v>
      </c>
      <c r="K14">
        <f t="shared" si="9"/>
        <v>0</v>
      </c>
      <c r="L14">
        <f t="shared" si="10"/>
        <v>0</v>
      </c>
      <c r="O14">
        <v>344476800</v>
      </c>
      <c r="P14">
        <v>-0.66305511135719697</v>
      </c>
      <c r="Q14">
        <v>0.37221258942459901</v>
      </c>
      <c r="R14">
        <v>8.6113835984376899E-2</v>
      </c>
      <c r="S14">
        <v>0.31896857884080598</v>
      </c>
      <c r="T14">
        <v>0.900086516883984</v>
      </c>
      <c r="U14">
        <v>-0.81397268089959096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>
        <v>37408</v>
      </c>
      <c r="B15">
        <f t="shared" si="5"/>
        <v>-1.23297912525248</v>
      </c>
      <c r="C15">
        <f t="shared" si="0"/>
        <v>0.170220746846175</v>
      </c>
      <c r="D15">
        <f t="shared" si="1"/>
        <v>-0.21755695927922999</v>
      </c>
      <c r="E15">
        <f t="shared" si="2"/>
        <v>9.8053916194754495E-2</v>
      </c>
      <c r="F15">
        <f t="shared" si="3"/>
        <v>0.88570006387292799</v>
      </c>
      <c r="G15">
        <f t="shared" si="4"/>
        <v>-1.1032570231521699</v>
      </c>
      <c r="H15">
        <f t="shared" si="6"/>
        <v>2</v>
      </c>
      <c r="I15">
        <f t="shared" si="7"/>
        <v>0</v>
      </c>
      <c r="J15">
        <f t="shared" si="8"/>
        <v>0</v>
      </c>
      <c r="K15">
        <f t="shared" si="9"/>
        <v>0</v>
      </c>
      <c r="L15">
        <f t="shared" si="10"/>
        <v>0</v>
      </c>
      <c r="O15">
        <v>352252800</v>
      </c>
      <c r="P15">
        <v>-1.23297912525248</v>
      </c>
      <c r="Q15">
        <v>0.170220746846175</v>
      </c>
      <c r="R15">
        <v>-0.21755695927922999</v>
      </c>
      <c r="S15">
        <v>9.8053916194754495E-2</v>
      </c>
      <c r="T15">
        <v>0.88570006387292799</v>
      </c>
      <c r="U15">
        <v>-1.1032570231521699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>
        <v>37500</v>
      </c>
      <c r="B16">
        <f t="shared" si="5"/>
        <v>-1.9375558860466899</v>
      </c>
      <c r="C16">
        <f t="shared" si="0"/>
        <v>-0.250556546351486</v>
      </c>
      <c r="D16">
        <f t="shared" si="1"/>
        <v>-0.71676292734525504</v>
      </c>
      <c r="E16">
        <f t="shared" si="2"/>
        <v>-0.33731923645545497</v>
      </c>
      <c r="F16">
        <f t="shared" si="3"/>
        <v>0.60962963196137898</v>
      </c>
      <c r="G16">
        <f t="shared" si="4"/>
        <v>-1.3263925593066901</v>
      </c>
      <c r="H16">
        <f t="shared" si="6"/>
        <v>2</v>
      </c>
      <c r="I16">
        <f t="shared" si="7"/>
        <v>0</v>
      </c>
      <c r="J16">
        <f t="shared" si="8"/>
        <v>0</v>
      </c>
      <c r="K16">
        <f t="shared" si="9"/>
        <v>0</v>
      </c>
      <c r="L16">
        <f t="shared" si="10"/>
        <v>0</v>
      </c>
      <c r="O16">
        <v>360201600</v>
      </c>
      <c r="P16">
        <v>-1.9375558860466899</v>
      </c>
      <c r="Q16">
        <v>-0.250556546351486</v>
      </c>
      <c r="R16">
        <v>-0.71676292734525504</v>
      </c>
      <c r="S16">
        <v>-0.33731923645545497</v>
      </c>
      <c r="T16">
        <v>0.60962963196137898</v>
      </c>
      <c r="U16">
        <v>-1.3263925593066901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>
        <v>37591</v>
      </c>
      <c r="B17">
        <f t="shared" si="5"/>
        <v>-2.3211378250127601</v>
      </c>
      <c r="C17">
        <f t="shared" si="0"/>
        <v>-0.54398710981746401</v>
      </c>
      <c r="D17">
        <f t="shared" si="1"/>
        <v>-1.0351070432499301</v>
      </c>
      <c r="E17">
        <f t="shared" si="2"/>
        <v>-0.63538630194661805</v>
      </c>
      <c r="F17">
        <f t="shared" si="3"/>
        <v>0.36216646476902198</v>
      </c>
      <c r="G17">
        <f t="shared" si="4"/>
        <v>-1.3972735080190399</v>
      </c>
      <c r="H17">
        <f t="shared" si="6"/>
        <v>2</v>
      </c>
      <c r="I17">
        <f t="shared" si="7"/>
        <v>0</v>
      </c>
      <c r="J17">
        <f t="shared" si="8"/>
        <v>0</v>
      </c>
      <c r="K17">
        <f t="shared" si="9"/>
        <v>0</v>
      </c>
      <c r="L17">
        <f t="shared" si="10"/>
        <v>0</v>
      </c>
      <c r="O17">
        <v>368150400</v>
      </c>
      <c r="P17">
        <v>-2.3211378250127601</v>
      </c>
      <c r="Q17">
        <v>-0.54398710981746401</v>
      </c>
      <c r="R17">
        <v>-1.0351070432499301</v>
      </c>
      <c r="S17">
        <v>-0.63538630194661805</v>
      </c>
      <c r="T17">
        <v>0.36216646476902198</v>
      </c>
      <c r="U17">
        <v>-1.3972735080190399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>
        <v>37681</v>
      </c>
      <c r="B18">
        <f t="shared" si="5"/>
        <v>-1.31557991812346</v>
      </c>
      <c r="C18">
        <f t="shared" si="0"/>
        <v>-0.42344067930665602</v>
      </c>
      <c r="D18">
        <f t="shared" si="1"/>
        <v>-0.66998553328774302</v>
      </c>
      <c r="E18">
        <f t="shared" si="2"/>
        <v>-0.46932356644581102</v>
      </c>
      <c r="F18">
        <f t="shared" si="3"/>
        <v>3.1453299786124399E-2</v>
      </c>
      <c r="G18">
        <f t="shared" si="4"/>
        <v>-0.70143883307393795</v>
      </c>
      <c r="H18">
        <f t="shared" si="6"/>
        <v>2</v>
      </c>
      <c r="I18">
        <f t="shared" si="7"/>
        <v>0</v>
      </c>
      <c r="J18">
        <f t="shared" si="8"/>
        <v>0</v>
      </c>
      <c r="K18">
        <f t="shared" si="9"/>
        <v>0</v>
      </c>
      <c r="L18">
        <f t="shared" si="10"/>
        <v>0</v>
      </c>
      <c r="O18">
        <v>376012800</v>
      </c>
      <c r="P18">
        <v>-1.31557991812346</v>
      </c>
      <c r="Q18">
        <v>-0.42344067930665602</v>
      </c>
      <c r="R18">
        <v>-0.66998553328774302</v>
      </c>
      <c r="S18">
        <v>-0.46932356644581102</v>
      </c>
      <c r="T18">
        <v>3.1453299786124399E-2</v>
      </c>
      <c r="U18">
        <v>-0.70143883307393795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>
        <v>37773</v>
      </c>
      <c r="B19">
        <f t="shared" si="5"/>
        <v>-3.0071765016809899</v>
      </c>
      <c r="C19">
        <f t="shared" si="0"/>
        <v>-1.1803575190672599</v>
      </c>
      <c r="D19">
        <f t="shared" si="1"/>
        <v>-1.6852033993086899</v>
      </c>
      <c r="E19">
        <f t="shared" si="2"/>
        <v>-1.2743111594362799</v>
      </c>
      <c r="F19">
        <f t="shared" si="3"/>
        <v>-0.24887853022074399</v>
      </c>
      <c r="G19">
        <f t="shared" si="4"/>
        <v>-1.4363248690880199</v>
      </c>
      <c r="H19">
        <f t="shared" si="6"/>
        <v>2</v>
      </c>
      <c r="I19">
        <f t="shared" si="7"/>
        <v>0</v>
      </c>
      <c r="J19">
        <f t="shared" si="8"/>
        <v>0</v>
      </c>
      <c r="K19">
        <f t="shared" si="9"/>
        <v>0</v>
      </c>
      <c r="L19">
        <f t="shared" si="10"/>
        <v>0</v>
      </c>
      <c r="O19">
        <v>383788800</v>
      </c>
      <c r="P19">
        <v>-3.0071765016809899</v>
      </c>
      <c r="Q19">
        <v>-1.1803575190672599</v>
      </c>
      <c r="R19">
        <v>-1.6852033993086899</v>
      </c>
      <c r="S19">
        <v>-1.2743111594362799</v>
      </c>
      <c r="T19">
        <v>-0.24887853022074399</v>
      </c>
      <c r="U19">
        <v>-1.4363248690880199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>
        <v>37865</v>
      </c>
      <c r="B20">
        <f t="shared" si="5"/>
        <v>-3.0915440042617401</v>
      </c>
      <c r="C20">
        <f t="shared" si="0"/>
        <v>-1.25502801863007</v>
      </c>
      <c r="D20">
        <f t="shared" si="1"/>
        <v>-1.76255368930003</v>
      </c>
      <c r="E20">
        <f t="shared" si="2"/>
        <v>-1.3494803776695701</v>
      </c>
      <c r="F20">
        <f t="shared" si="3"/>
        <v>-0.318604612929973</v>
      </c>
      <c r="G20">
        <f t="shared" si="4"/>
        <v>-1.4439490763701299</v>
      </c>
      <c r="H20">
        <f t="shared" si="6"/>
        <v>2</v>
      </c>
      <c r="I20">
        <f t="shared" si="7"/>
        <v>0</v>
      </c>
      <c r="J20">
        <f t="shared" si="8"/>
        <v>0</v>
      </c>
      <c r="K20">
        <f t="shared" si="9"/>
        <v>0</v>
      </c>
      <c r="L20">
        <f t="shared" si="10"/>
        <v>0</v>
      </c>
      <c r="O20">
        <v>391737600</v>
      </c>
      <c r="P20">
        <v>-3.0915440042617401</v>
      </c>
      <c r="Q20">
        <v>-1.25502801863007</v>
      </c>
      <c r="R20">
        <v>-1.76255368930003</v>
      </c>
      <c r="S20">
        <v>-1.3494803776695701</v>
      </c>
      <c r="T20">
        <v>-0.318604612929973</v>
      </c>
      <c r="U20">
        <v>-1.4439490763701299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>
        <v>37956</v>
      </c>
      <c r="B21">
        <f t="shared" si="5"/>
        <v>-3.5368063703569801</v>
      </c>
      <c r="C21">
        <f t="shared" si="0"/>
        <v>-1.36743450684696</v>
      </c>
      <c r="D21">
        <f t="shared" si="1"/>
        <v>-1.9669457109826201</v>
      </c>
      <c r="E21">
        <f t="shared" si="2"/>
        <v>-1.4790057056524599</v>
      </c>
      <c r="F21">
        <f t="shared" si="3"/>
        <v>-0.26129080619237299</v>
      </c>
      <c r="G21">
        <f t="shared" si="4"/>
        <v>-1.70565490479031</v>
      </c>
      <c r="H21">
        <f t="shared" si="6"/>
        <v>2</v>
      </c>
      <c r="I21">
        <f t="shared" si="7"/>
        <v>0</v>
      </c>
      <c r="J21">
        <f t="shared" si="8"/>
        <v>0</v>
      </c>
      <c r="K21">
        <f t="shared" si="9"/>
        <v>0</v>
      </c>
      <c r="L21">
        <f t="shared" si="10"/>
        <v>0</v>
      </c>
      <c r="O21">
        <v>399686400</v>
      </c>
      <c r="P21">
        <v>-3.5368063703569801</v>
      </c>
      <c r="Q21">
        <v>-1.36743450684696</v>
      </c>
      <c r="R21">
        <v>-1.9669457109826201</v>
      </c>
      <c r="S21">
        <v>-1.4790057056524599</v>
      </c>
      <c r="T21">
        <v>-0.26129080619237299</v>
      </c>
      <c r="U21">
        <v>-1.70565490479031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>
        <v>38047</v>
      </c>
      <c r="B22">
        <f t="shared" si="5"/>
        <v>-0.34540824402592202</v>
      </c>
      <c r="C22">
        <f t="shared" si="0"/>
        <v>-6.7754401012680293E-2</v>
      </c>
      <c r="D22">
        <f t="shared" si="1"/>
        <v>-0.14448471754235301</v>
      </c>
      <c r="E22">
        <f t="shared" si="2"/>
        <v>-8.2034189848788297E-2</v>
      </c>
      <c r="F22">
        <f t="shared" si="3"/>
        <v>7.3818860159201805E-2</v>
      </c>
      <c r="G22">
        <f t="shared" si="4"/>
        <v>-0.21830357770161199</v>
      </c>
      <c r="H22">
        <f t="shared" si="6"/>
        <v>2</v>
      </c>
      <c r="I22">
        <f t="shared" si="7"/>
        <v>0</v>
      </c>
      <c r="J22">
        <f t="shared" si="8"/>
        <v>0</v>
      </c>
      <c r="K22">
        <f t="shared" si="9"/>
        <v>0</v>
      </c>
      <c r="L22">
        <f t="shared" si="10"/>
        <v>0</v>
      </c>
      <c r="O22">
        <v>407548800</v>
      </c>
      <c r="P22">
        <v>-0.34540824402592202</v>
      </c>
      <c r="Q22">
        <v>-6.7754401012680293E-2</v>
      </c>
      <c r="R22">
        <v>-0.14448471754235301</v>
      </c>
      <c r="S22">
        <v>-8.2034189848788297E-2</v>
      </c>
      <c r="T22">
        <v>7.3818860159201805E-2</v>
      </c>
      <c r="U22">
        <v>-0.21830357770161199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>
        <v>38139</v>
      </c>
      <c r="B23">
        <f t="shared" si="5"/>
        <v>-0.838433069304798</v>
      </c>
      <c r="C23">
        <f t="shared" si="0"/>
        <v>-0.124465645812616</v>
      </c>
      <c r="D23">
        <f t="shared" si="1"/>
        <v>-0.32177228418619103</v>
      </c>
      <c r="E23">
        <f t="shared" si="2"/>
        <v>-0.16118512331988899</v>
      </c>
      <c r="F23">
        <f t="shared" si="3"/>
        <v>0.239580086158238</v>
      </c>
      <c r="G23">
        <f t="shared" si="4"/>
        <v>-0.56135237034443397</v>
      </c>
      <c r="H23">
        <f t="shared" si="6"/>
        <v>2</v>
      </c>
      <c r="I23">
        <f t="shared" si="7"/>
        <v>0</v>
      </c>
      <c r="J23">
        <f t="shared" si="8"/>
        <v>0</v>
      </c>
      <c r="K23">
        <f t="shared" si="9"/>
        <v>0</v>
      </c>
      <c r="L23">
        <f t="shared" si="10"/>
        <v>0</v>
      </c>
      <c r="O23">
        <v>415324800</v>
      </c>
      <c r="P23">
        <v>-0.838433069304798</v>
      </c>
      <c r="Q23">
        <v>-0.124465645812616</v>
      </c>
      <c r="R23">
        <v>-0.32177228418619103</v>
      </c>
      <c r="S23">
        <v>-0.16118512331988899</v>
      </c>
      <c r="T23">
        <v>0.239580086158238</v>
      </c>
      <c r="U23">
        <v>-0.56135237034443397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>
        <v>38231</v>
      </c>
      <c r="B24">
        <f t="shared" si="5"/>
        <v>-0.17665852868479001</v>
      </c>
      <c r="C24">
        <f t="shared" si="0"/>
        <v>7.4092119583578198E-2</v>
      </c>
      <c r="D24">
        <f t="shared" si="1"/>
        <v>4.7965665206308097E-3</v>
      </c>
      <c r="E24">
        <f t="shared" si="2"/>
        <v>6.1195967061681601E-2</v>
      </c>
      <c r="F24">
        <f t="shared" si="3"/>
        <v>0.20194767753680701</v>
      </c>
      <c r="G24">
        <f t="shared" si="4"/>
        <v>-0.19715111101616001</v>
      </c>
      <c r="H24">
        <f t="shared" si="6"/>
        <v>2</v>
      </c>
      <c r="I24">
        <f t="shared" si="7"/>
        <v>0</v>
      </c>
      <c r="J24">
        <f t="shared" si="8"/>
        <v>0</v>
      </c>
      <c r="K24">
        <f t="shared" si="9"/>
        <v>0</v>
      </c>
      <c r="L24">
        <f t="shared" si="10"/>
        <v>0</v>
      </c>
      <c r="O24">
        <v>423273600</v>
      </c>
      <c r="P24">
        <v>-0.17665852868479001</v>
      </c>
      <c r="Q24">
        <v>7.4092119583578198E-2</v>
      </c>
      <c r="R24">
        <v>4.7965665206308097E-3</v>
      </c>
      <c r="S24">
        <v>6.1195967061681601E-2</v>
      </c>
      <c r="T24">
        <v>0.20194767753680701</v>
      </c>
      <c r="U24">
        <v>-0.19715111101616001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>
        <v>38322</v>
      </c>
      <c r="B25">
        <f t="shared" si="5"/>
        <v>-1.0675364818481199</v>
      </c>
      <c r="C25">
        <f t="shared" si="0"/>
        <v>-0.22933388281427899</v>
      </c>
      <c r="D25">
        <f t="shared" si="1"/>
        <v>-0.46097321487575599</v>
      </c>
      <c r="E25">
        <f t="shared" si="2"/>
        <v>-0.27244279852814202</v>
      </c>
      <c r="F25">
        <f t="shared" si="3"/>
        <v>0.19805827635821099</v>
      </c>
      <c r="G25">
        <f t="shared" si="4"/>
        <v>-0.65903149123395899</v>
      </c>
      <c r="H25">
        <f t="shared" si="6"/>
        <v>2</v>
      </c>
      <c r="I25">
        <f t="shared" si="7"/>
        <v>0</v>
      </c>
      <c r="J25">
        <f t="shared" si="8"/>
        <v>0</v>
      </c>
      <c r="K25">
        <f t="shared" si="9"/>
        <v>0</v>
      </c>
      <c r="L25">
        <f t="shared" si="10"/>
        <v>0</v>
      </c>
      <c r="O25">
        <v>431222400</v>
      </c>
      <c r="P25">
        <v>-1.0675364818481199</v>
      </c>
      <c r="Q25">
        <v>-0.22933388281427899</v>
      </c>
      <c r="R25">
        <v>-0.46097321487575599</v>
      </c>
      <c r="S25">
        <v>-0.27244279852814202</v>
      </c>
      <c r="T25">
        <v>0.19805827635821099</v>
      </c>
      <c r="U25">
        <v>-0.65903149123395899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>
        <v>38412</v>
      </c>
      <c r="B26">
        <f t="shared" si="5"/>
        <v>1.7179425800443899</v>
      </c>
      <c r="C26">
        <f t="shared" si="0"/>
        <v>0.37525334265829802</v>
      </c>
      <c r="D26">
        <f t="shared" si="1"/>
        <v>0.74630878733569495</v>
      </c>
      <c r="E26">
        <f t="shared" si="2"/>
        <v>0.44430810010133498</v>
      </c>
      <c r="F26">
        <f t="shared" si="3"/>
        <v>-0.30937213204858899</v>
      </c>
      <c r="G26">
        <f t="shared" si="4"/>
        <v>1.05568091938431</v>
      </c>
      <c r="H26">
        <f t="shared" si="6"/>
        <v>2</v>
      </c>
      <c r="I26">
        <f t="shared" si="7"/>
        <v>0</v>
      </c>
      <c r="J26">
        <f t="shared" si="8"/>
        <v>0</v>
      </c>
      <c r="K26">
        <f t="shared" si="9"/>
        <v>0</v>
      </c>
      <c r="L26">
        <f t="shared" si="10"/>
        <v>0</v>
      </c>
      <c r="O26">
        <v>439084800</v>
      </c>
      <c r="P26">
        <v>1.7179425800443899</v>
      </c>
      <c r="Q26">
        <v>0.37525334265829802</v>
      </c>
      <c r="R26">
        <v>0.74630878733569495</v>
      </c>
      <c r="S26">
        <v>0.44430810010133498</v>
      </c>
      <c r="T26">
        <v>-0.30937213204858899</v>
      </c>
      <c r="U26">
        <v>1.05568091938431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>
        <v>38504</v>
      </c>
      <c r="B27">
        <f t="shared" si="5"/>
        <v>0.31296038688699901</v>
      </c>
      <c r="C27">
        <f t="shared" si="0"/>
        <v>-0.137659311451483</v>
      </c>
      <c r="D27">
        <f t="shared" si="1"/>
        <v>-1.31294590540116E-2</v>
      </c>
      <c r="E27">
        <f t="shared" si="2"/>
        <v>-0.114483856475462</v>
      </c>
      <c r="F27">
        <f t="shared" si="3"/>
        <v>-0.36742634636704802</v>
      </c>
      <c r="G27">
        <f t="shared" si="4"/>
        <v>0.35429688731305797</v>
      </c>
      <c r="H27">
        <f t="shared" si="6"/>
        <v>2</v>
      </c>
      <c r="I27">
        <f t="shared" si="7"/>
        <v>0</v>
      </c>
      <c r="J27">
        <f t="shared" si="8"/>
        <v>0</v>
      </c>
      <c r="K27">
        <f t="shared" si="9"/>
        <v>0</v>
      </c>
      <c r="L27">
        <f t="shared" si="10"/>
        <v>0</v>
      </c>
      <c r="O27">
        <v>446947200</v>
      </c>
      <c r="P27">
        <v>0.31296038688699901</v>
      </c>
      <c r="Q27">
        <v>-0.137659311451483</v>
      </c>
      <c r="R27">
        <v>-1.31294590540116E-2</v>
      </c>
      <c r="S27">
        <v>-0.114483856475462</v>
      </c>
      <c r="T27">
        <v>-0.36742634636704802</v>
      </c>
      <c r="U27">
        <v>0.35429688731305797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>
        <v>38596</v>
      </c>
      <c r="B28">
        <f t="shared" si="5"/>
        <v>1.3096726342235401</v>
      </c>
      <c r="C28">
        <f t="shared" si="0"/>
        <v>0.32007648166020303</v>
      </c>
      <c r="D28">
        <f t="shared" si="1"/>
        <v>0.59355379138771702</v>
      </c>
      <c r="E28">
        <f t="shared" si="2"/>
        <v>0.37097159601656798</v>
      </c>
      <c r="F28">
        <f t="shared" si="3"/>
        <v>-0.18450992363171101</v>
      </c>
      <c r="G28">
        <f t="shared" si="4"/>
        <v>0.77806371501944005</v>
      </c>
      <c r="H28">
        <f t="shared" si="6"/>
        <v>2</v>
      </c>
      <c r="I28">
        <f t="shared" si="7"/>
        <v>0</v>
      </c>
      <c r="J28">
        <f t="shared" si="8"/>
        <v>0</v>
      </c>
      <c r="K28">
        <f t="shared" si="9"/>
        <v>0</v>
      </c>
      <c r="L28">
        <f t="shared" si="10"/>
        <v>0</v>
      </c>
      <c r="O28">
        <v>454896000</v>
      </c>
      <c r="P28">
        <v>1.3096726342235401</v>
      </c>
      <c r="Q28">
        <v>0.32007648166020303</v>
      </c>
      <c r="R28">
        <v>0.59355379138771702</v>
      </c>
      <c r="S28">
        <v>0.37097159601656798</v>
      </c>
      <c r="T28">
        <v>-0.18450992363171101</v>
      </c>
      <c r="U28">
        <v>0.77806371501944005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>
        <v>38687</v>
      </c>
      <c r="B29">
        <f t="shared" si="5"/>
        <v>1.4227512776064</v>
      </c>
      <c r="C29">
        <f t="shared" si="0"/>
        <v>0.339818012828914</v>
      </c>
      <c r="D29">
        <f t="shared" si="1"/>
        <v>0.63908926110393105</v>
      </c>
      <c r="E29">
        <f t="shared" si="2"/>
        <v>0.39551347224272798</v>
      </c>
      <c r="F29">
        <f t="shared" si="3"/>
        <v>-0.21236016796704599</v>
      </c>
      <c r="G29">
        <f t="shared" si="4"/>
        <v>0.85144942907098597</v>
      </c>
      <c r="H29">
        <f t="shared" si="6"/>
        <v>2</v>
      </c>
      <c r="I29">
        <f t="shared" si="7"/>
        <v>0</v>
      </c>
      <c r="J29">
        <f t="shared" si="8"/>
        <v>0</v>
      </c>
      <c r="K29">
        <f t="shared" si="9"/>
        <v>0</v>
      </c>
      <c r="L29">
        <f t="shared" si="10"/>
        <v>0</v>
      </c>
      <c r="O29">
        <v>462844800</v>
      </c>
      <c r="P29">
        <v>1.4227512776064</v>
      </c>
      <c r="Q29">
        <v>0.339818012828914</v>
      </c>
      <c r="R29">
        <v>0.63908926110393105</v>
      </c>
      <c r="S29">
        <v>0.39551347224272798</v>
      </c>
      <c r="T29">
        <v>-0.21236016796704599</v>
      </c>
      <c r="U29">
        <v>0.85144942907098597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>
        <v>38777</v>
      </c>
      <c r="B30">
        <f t="shared" si="5"/>
        <v>2.8486748503447501</v>
      </c>
      <c r="C30">
        <f t="shared" si="0"/>
        <v>0.97672721888591796</v>
      </c>
      <c r="D30">
        <f t="shared" si="1"/>
        <v>1.4940445112744201</v>
      </c>
      <c r="E30">
        <f t="shared" si="2"/>
        <v>1.0730018340665</v>
      </c>
      <c r="F30">
        <f t="shared" si="3"/>
        <v>2.2237527504412501E-2</v>
      </c>
      <c r="G30">
        <f t="shared" si="4"/>
        <v>1.4718069837700301</v>
      </c>
      <c r="H30">
        <f t="shared" si="6"/>
        <v>2</v>
      </c>
      <c r="I30">
        <f t="shared" si="7"/>
        <v>0.26521089073273302</v>
      </c>
      <c r="J30">
        <f t="shared" si="8"/>
        <v>0</v>
      </c>
      <c r="K30">
        <f t="shared" si="9"/>
        <v>0</v>
      </c>
      <c r="L30">
        <f t="shared" si="10"/>
        <v>0</v>
      </c>
      <c r="O30">
        <v>470707200</v>
      </c>
      <c r="P30">
        <v>2.8486748503447501</v>
      </c>
      <c r="Q30">
        <v>0.97672721888591796</v>
      </c>
      <c r="R30">
        <v>1.4940445112744201</v>
      </c>
      <c r="S30">
        <v>1.0730018340665</v>
      </c>
      <c r="T30">
        <v>2.2237527504412501E-2</v>
      </c>
      <c r="U30">
        <v>1.4718069837700301</v>
      </c>
      <c r="V30">
        <v>0.26521089073273302</v>
      </c>
      <c r="W30">
        <v>0</v>
      </c>
      <c r="X30">
        <v>0</v>
      </c>
      <c r="Y30">
        <v>0</v>
      </c>
    </row>
    <row r="31" spans="1:25" x14ac:dyDescent="0.35">
      <c r="A31" s="1">
        <v>38869</v>
      </c>
      <c r="B31">
        <f t="shared" si="5"/>
        <v>0.57841266541923397</v>
      </c>
      <c r="C31">
        <f t="shared" si="0"/>
        <v>0.46694731142080498</v>
      </c>
      <c r="D31">
        <f t="shared" si="1"/>
        <v>0.49775103378811802</v>
      </c>
      <c r="E31">
        <f t="shared" si="2"/>
        <v>0.47267999532810701</v>
      </c>
      <c r="F31">
        <f t="shared" si="3"/>
        <v>0.41011210430832201</v>
      </c>
      <c r="G31">
        <f t="shared" si="4"/>
        <v>8.7638929479813596E-2</v>
      </c>
      <c r="H31">
        <f t="shared" si="6"/>
        <v>2</v>
      </c>
      <c r="I31">
        <f t="shared" si="7"/>
        <v>0</v>
      </c>
      <c r="J31">
        <f t="shared" si="8"/>
        <v>0</v>
      </c>
      <c r="K31">
        <f t="shared" si="9"/>
        <v>0</v>
      </c>
      <c r="L31">
        <f t="shared" si="10"/>
        <v>0</v>
      </c>
      <c r="O31">
        <v>478483200</v>
      </c>
      <c r="P31">
        <v>0.57841266541923397</v>
      </c>
      <c r="Q31">
        <v>0.46694731142080498</v>
      </c>
      <c r="R31">
        <v>0.49775103378811802</v>
      </c>
      <c r="S31">
        <v>0.47267999532810701</v>
      </c>
      <c r="T31">
        <v>0.41011210430832201</v>
      </c>
      <c r="U31">
        <v>8.7638929479813596E-2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>
        <v>38961</v>
      </c>
      <c r="B32">
        <f t="shared" si="5"/>
        <v>0.70679154858628801</v>
      </c>
      <c r="C32">
        <f t="shared" si="0"/>
        <v>0.430062261733752</v>
      </c>
      <c r="D32">
        <f t="shared" si="1"/>
        <v>0.50653707491408395</v>
      </c>
      <c r="E32">
        <f t="shared" si="2"/>
        <v>0.44429450047440999</v>
      </c>
      <c r="F32">
        <f t="shared" si="3"/>
        <v>0.28896042364533298</v>
      </c>
      <c r="G32">
        <f t="shared" si="4"/>
        <v>0.217576651268754</v>
      </c>
      <c r="H32">
        <f t="shared" si="6"/>
        <v>2</v>
      </c>
      <c r="I32">
        <f t="shared" si="7"/>
        <v>0</v>
      </c>
      <c r="J32">
        <f t="shared" si="8"/>
        <v>0</v>
      </c>
      <c r="K32">
        <f t="shared" si="9"/>
        <v>0</v>
      </c>
      <c r="L32">
        <f t="shared" si="10"/>
        <v>0</v>
      </c>
      <c r="O32">
        <v>486432000</v>
      </c>
      <c r="P32">
        <v>0.70679154858628801</v>
      </c>
      <c r="Q32">
        <v>0.430062261733752</v>
      </c>
      <c r="R32">
        <v>0.50653707491408395</v>
      </c>
      <c r="S32">
        <v>0.44429450047440999</v>
      </c>
      <c r="T32">
        <v>0.28896042364533298</v>
      </c>
      <c r="U32">
        <v>0.217576651268754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>
        <v>39052</v>
      </c>
      <c r="B33">
        <f t="shared" si="5"/>
        <v>0.24088702265946901</v>
      </c>
      <c r="C33">
        <f t="shared" si="0"/>
        <v>0.20659616549234799</v>
      </c>
      <c r="D33">
        <f t="shared" si="1"/>
        <v>0.21607252748306799</v>
      </c>
      <c r="E33">
        <f t="shared" si="2"/>
        <v>0.20835975066027501</v>
      </c>
      <c r="F33">
        <f t="shared" si="3"/>
        <v>0.18911155795065299</v>
      </c>
      <c r="G33">
        <f t="shared" si="4"/>
        <v>2.6960969532421001E-2</v>
      </c>
      <c r="H33">
        <f t="shared" si="6"/>
        <v>2</v>
      </c>
      <c r="I33">
        <f t="shared" si="7"/>
        <v>0</v>
      </c>
      <c r="J33">
        <f t="shared" si="8"/>
        <v>0</v>
      </c>
      <c r="K33">
        <f t="shared" si="9"/>
        <v>0</v>
      </c>
      <c r="L33">
        <f t="shared" si="10"/>
        <v>0</v>
      </c>
      <c r="O33">
        <v>494380800</v>
      </c>
      <c r="P33">
        <v>0.24088702265946901</v>
      </c>
      <c r="Q33">
        <v>0.20659616549234799</v>
      </c>
      <c r="R33">
        <v>0.21607252748306799</v>
      </c>
      <c r="S33">
        <v>0.20835975066027501</v>
      </c>
      <c r="T33">
        <v>0.18911155795065299</v>
      </c>
      <c r="U33">
        <v>2.6960969532421001E-2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>
        <v>39142</v>
      </c>
      <c r="B34">
        <f t="shared" si="5"/>
        <v>2.2407717233506999</v>
      </c>
      <c r="C34">
        <f t="shared" si="0"/>
        <v>0.91352710279024196</v>
      </c>
      <c r="D34">
        <f t="shared" si="1"/>
        <v>1.2803143899487499</v>
      </c>
      <c r="E34">
        <f t="shared" si="2"/>
        <v>0.98178754071465302</v>
      </c>
      <c r="F34">
        <f t="shared" si="3"/>
        <v>0.23677670284487901</v>
      </c>
      <c r="G34">
        <f t="shared" si="4"/>
        <v>1.04353768710387</v>
      </c>
      <c r="H34">
        <f t="shared" si="6"/>
        <v>2</v>
      </c>
      <c r="I34">
        <f t="shared" si="7"/>
        <v>7.5241163547095202E-2</v>
      </c>
      <c r="J34">
        <f t="shared" si="8"/>
        <v>0</v>
      </c>
      <c r="K34">
        <f t="shared" si="9"/>
        <v>0</v>
      </c>
      <c r="L34">
        <f t="shared" si="10"/>
        <v>0</v>
      </c>
      <c r="O34">
        <v>502243200</v>
      </c>
      <c r="P34">
        <v>2.2407717233506999</v>
      </c>
      <c r="Q34">
        <v>0.91352710279024196</v>
      </c>
      <c r="R34">
        <v>1.2803143899487499</v>
      </c>
      <c r="S34">
        <v>0.98178754071465302</v>
      </c>
      <c r="T34">
        <v>0.23677670284487901</v>
      </c>
      <c r="U34">
        <v>1.04353768710387</v>
      </c>
      <c r="V34">
        <v>7.5241163547095202E-2</v>
      </c>
      <c r="W34">
        <v>0</v>
      </c>
      <c r="X34">
        <v>0</v>
      </c>
      <c r="Y34">
        <v>0</v>
      </c>
    </row>
    <row r="35" spans="1:25" x14ac:dyDescent="0.35">
      <c r="A35" s="1">
        <v>39234</v>
      </c>
      <c r="B35">
        <f t="shared" si="5"/>
        <v>0.76371967564424703</v>
      </c>
      <c r="C35">
        <f t="shared" si="0"/>
        <v>2.4016093114453099E-2</v>
      </c>
      <c r="D35">
        <f t="shared" si="1"/>
        <v>0.22843498179148</v>
      </c>
      <c r="E35">
        <f t="shared" si="2"/>
        <v>6.2059186072261997E-2</v>
      </c>
      <c r="F35">
        <f t="shared" si="3"/>
        <v>-0.35315228079590499</v>
      </c>
      <c r="G35">
        <f t="shared" si="4"/>
        <v>0.58158726258737903</v>
      </c>
      <c r="H35">
        <f t="shared" si="6"/>
        <v>2</v>
      </c>
      <c r="I35">
        <f t="shared" si="7"/>
        <v>0</v>
      </c>
      <c r="J35">
        <f t="shared" si="8"/>
        <v>0</v>
      </c>
      <c r="K35">
        <f t="shared" si="9"/>
        <v>0</v>
      </c>
      <c r="L35">
        <f t="shared" si="10"/>
        <v>0</v>
      </c>
      <c r="O35">
        <v>510019200</v>
      </c>
      <c r="P35">
        <v>0.76371967564424703</v>
      </c>
      <c r="Q35">
        <v>2.4016093114453099E-2</v>
      </c>
      <c r="R35">
        <v>0.22843498179148</v>
      </c>
      <c r="S35">
        <v>6.2059186072261997E-2</v>
      </c>
      <c r="T35">
        <v>-0.35315228079590499</v>
      </c>
      <c r="U35">
        <v>0.58158726258737903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>
        <v>39326</v>
      </c>
      <c r="B36">
        <f t="shared" si="5"/>
        <v>0.33785854495892698</v>
      </c>
      <c r="C36">
        <f t="shared" si="0"/>
        <v>-3.55861039259436E-2</v>
      </c>
      <c r="D36">
        <f t="shared" si="1"/>
        <v>6.7616235376442999E-2</v>
      </c>
      <c r="E36">
        <f t="shared" si="2"/>
        <v>-1.6379776110775499E-2</v>
      </c>
      <c r="F36">
        <f t="shared" si="3"/>
        <v>-0.22600225749345901</v>
      </c>
      <c r="G36">
        <f t="shared" si="4"/>
        <v>0.293618492869893</v>
      </c>
      <c r="H36">
        <f t="shared" si="6"/>
        <v>2</v>
      </c>
      <c r="I36">
        <f t="shared" si="7"/>
        <v>0</v>
      </c>
      <c r="J36">
        <f t="shared" si="8"/>
        <v>0</v>
      </c>
      <c r="K36">
        <f t="shared" si="9"/>
        <v>0</v>
      </c>
      <c r="L36">
        <f t="shared" si="10"/>
        <v>0</v>
      </c>
      <c r="O36">
        <v>517968000</v>
      </c>
      <c r="P36">
        <v>0.33785854495892698</v>
      </c>
      <c r="Q36">
        <v>-3.55861039259436E-2</v>
      </c>
      <c r="R36">
        <v>6.7616235376442999E-2</v>
      </c>
      <c r="S36">
        <v>-1.6379776110775499E-2</v>
      </c>
      <c r="T36">
        <v>-0.22600225749345901</v>
      </c>
      <c r="U36">
        <v>0.293618492869893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>
        <v>39417</v>
      </c>
      <c r="B37">
        <f t="shared" si="5"/>
        <v>-1.1874267835654799</v>
      </c>
      <c r="C37">
        <f t="shared" si="0"/>
        <v>-0.61758450190981096</v>
      </c>
      <c r="D37">
        <f t="shared" si="1"/>
        <v>-0.77506180591157103</v>
      </c>
      <c r="E37">
        <f t="shared" si="2"/>
        <v>-0.64689159654111905</v>
      </c>
      <c r="F37">
        <f t="shared" si="3"/>
        <v>-0.32702691663709799</v>
      </c>
      <c r="G37">
        <f t="shared" si="4"/>
        <v>-0.44803488927447199</v>
      </c>
      <c r="H37">
        <f t="shared" si="6"/>
        <v>2</v>
      </c>
      <c r="I37">
        <f t="shared" si="7"/>
        <v>0</v>
      </c>
      <c r="J37">
        <f t="shared" si="8"/>
        <v>0</v>
      </c>
      <c r="K37">
        <f t="shared" si="9"/>
        <v>0</v>
      </c>
      <c r="L37">
        <f t="shared" si="10"/>
        <v>0</v>
      </c>
      <c r="O37">
        <v>525916800</v>
      </c>
      <c r="P37">
        <v>-1.1874267835654799</v>
      </c>
      <c r="Q37">
        <v>-0.61758450190981096</v>
      </c>
      <c r="R37">
        <v>-0.77506180591157103</v>
      </c>
      <c r="S37">
        <v>-0.64689159654111905</v>
      </c>
      <c r="T37">
        <v>-0.32702691663709799</v>
      </c>
      <c r="U37">
        <v>-0.44803488927447199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>
        <v>39508</v>
      </c>
      <c r="B38">
        <f t="shared" si="5"/>
        <v>-1.25398639343045</v>
      </c>
      <c r="C38">
        <f t="shared" si="0"/>
        <v>-0.83571427123340003</v>
      </c>
      <c r="D38">
        <f t="shared" si="1"/>
        <v>-0.95130479208998897</v>
      </c>
      <c r="E38">
        <f t="shared" si="2"/>
        <v>-0.85722608434641401</v>
      </c>
      <c r="F38">
        <f t="shared" si="3"/>
        <v>-0.62244098189559605</v>
      </c>
      <c r="G38">
        <f t="shared" si="4"/>
        <v>-0.32886381019439298</v>
      </c>
      <c r="H38">
        <f t="shared" si="6"/>
        <v>2</v>
      </c>
      <c r="I38">
        <f t="shared" si="7"/>
        <v>0</v>
      </c>
      <c r="J38">
        <f t="shared" si="8"/>
        <v>0</v>
      </c>
      <c r="K38">
        <f t="shared" si="9"/>
        <v>0</v>
      </c>
      <c r="L38">
        <f t="shared" si="10"/>
        <v>0</v>
      </c>
      <c r="O38">
        <v>533779200</v>
      </c>
      <c r="P38">
        <v>-1.25398639343045</v>
      </c>
      <c r="Q38">
        <v>-0.83571427123340003</v>
      </c>
      <c r="R38">
        <v>-0.95130479208998897</v>
      </c>
      <c r="S38">
        <v>-0.85722608434641401</v>
      </c>
      <c r="T38">
        <v>-0.62244098189559605</v>
      </c>
      <c r="U38">
        <v>-0.32886381019439298</v>
      </c>
      <c r="V38">
        <v>0</v>
      </c>
      <c r="W38">
        <v>0</v>
      </c>
      <c r="X38">
        <v>0</v>
      </c>
      <c r="Y38" s="2">
        <v>0</v>
      </c>
    </row>
    <row r="39" spans="1:25" x14ac:dyDescent="0.35">
      <c r="A39" s="1">
        <v>39600</v>
      </c>
      <c r="B39">
        <f t="shared" si="5"/>
        <v>0.96073683728002401</v>
      </c>
      <c r="C39">
        <f t="shared" si="0"/>
        <v>9.1356823103072193E-2</v>
      </c>
      <c r="D39">
        <f t="shared" si="1"/>
        <v>0.33161210986034301</v>
      </c>
      <c r="E39">
        <f t="shared" si="2"/>
        <v>0.136069199081953</v>
      </c>
      <c r="F39">
        <f t="shared" si="3"/>
        <v>-0.35193242680951797</v>
      </c>
      <c r="G39">
        <f t="shared" si="4"/>
        <v>0.68354453666985804</v>
      </c>
      <c r="H39">
        <f t="shared" si="6"/>
        <v>2</v>
      </c>
      <c r="I39">
        <f t="shared" si="7"/>
        <v>0</v>
      </c>
      <c r="J39">
        <f t="shared" si="8"/>
        <v>0</v>
      </c>
      <c r="K39">
        <f t="shared" si="9"/>
        <v>0</v>
      </c>
      <c r="L39">
        <f t="shared" si="10"/>
        <v>0</v>
      </c>
      <c r="O39">
        <v>541555200</v>
      </c>
      <c r="P39">
        <v>0.96073683728002401</v>
      </c>
      <c r="Q39">
        <v>9.1356823103072193E-2</v>
      </c>
      <c r="R39">
        <v>0.33161210986034301</v>
      </c>
      <c r="S39">
        <v>0.136069199081953</v>
      </c>
      <c r="T39">
        <v>-0.35193242680951797</v>
      </c>
      <c r="U39">
        <v>0.68354453666985804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>
        <v>39692</v>
      </c>
      <c r="B40">
        <f t="shared" si="5"/>
        <v>1.63262851131811</v>
      </c>
      <c r="C40">
        <f t="shared" si="0"/>
        <v>0.45188613968147401</v>
      </c>
      <c r="D40">
        <f t="shared" si="1"/>
        <v>0.77818717312834795</v>
      </c>
      <c r="E40">
        <f t="shared" si="2"/>
        <v>0.51261193966986496</v>
      </c>
      <c r="F40">
        <f t="shared" si="3"/>
        <v>-0.15016404749510501</v>
      </c>
      <c r="G40">
        <f t="shared" si="4"/>
        <v>0.92835122062345898</v>
      </c>
      <c r="H40">
        <f t="shared" si="6"/>
        <v>2</v>
      </c>
      <c r="I40">
        <f t="shared" si="7"/>
        <v>0</v>
      </c>
      <c r="J40">
        <f t="shared" si="8"/>
        <v>0</v>
      </c>
      <c r="K40">
        <f t="shared" si="9"/>
        <v>0</v>
      </c>
      <c r="L40">
        <f t="shared" si="10"/>
        <v>0</v>
      </c>
      <c r="O40">
        <v>549504000</v>
      </c>
      <c r="P40">
        <v>1.63262851131811</v>
      </c>
      <c r="Q40">
        <v>0.45188613968147401</v>
      </c>
      <c r="R40">
        <v>0.77818717312834795</v>
      </c>
      <c r="S40">
        <v>0.51261193966986496</v>
      </c>
      <c r="T40">
        <v>-0.15016404749510501</v>
      </c>
      <c r="U40">
        <v>0.92835122062345898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>
        <v>39783</v>
      </c>
      <c r="B41">
        <f t="shared" si="5"/>
        <v>1.3932135096696601</v>
      </c>
      <c r="C41">
        <f t="shared" si="0"/>
        <v>0.58162161112176003</v>
      </c>
      <c r="D41">
        <f t="shared" si="1"/>
        <v>0.80590701121816399</v>
      </c>
      <c r="E41">
        <f t="shared" si="2"/>
        <v>0.62336193355561298</v>
      </c>
      <c r="F41">
        <f t="shared" si="3"/>
        <v>0.167798014908739</v>
      </c>
      <c r="G41">
        <f t="shared" si="4"/>
        <v>0.63810899630942697</v>
      </c>
      <c r="H41">
        <f t="shared" si="6"/>
        <v>2</v>
      </c>
      <c r="I41">
        <f t="shared" si="7"/>
        <v>0</v>
      </c>
      <c r="J41">
        <f t="shared" si="8"/>
        <v>0</v>
      </c>
      <c r="K41">
        <f t="shared" si="9"/>
        <v>0</v>
      </c>
      <c r="L41">
        <f t="shared" si="10"/>
        <v>0</v>
      </c>
      <c r="O41">
        <v>557452800</v>
      </c>
      <c r="P41">
        <v>1.3932135096696601</v>
      </c>
      <c r="Q41">
        <v>0.58162161112176003</v>
      </c>
      <c r="R41">
        <v>0.80590701121816399</v>
      </c>
      <c r="S41">
        <v>0.62336193355561298</v>
      </c>
      <c r="T41">
        <v>0.167798014908739</v>
      </c>
      <c r="U41">
        <v>0.63810899630942697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>
        <v>39873</v>
      </c>
      <c r="B42">
        <f t="shared" si="5"/>
        <v>2.0998413903843201</v>
      </c>
      <c r="C42">
        <f t="shared" si="0"/>
        <v>1.15519415966132</v>
      </c>
      <c r="D42">
        <f t="shared" si="1"/>
        <v>1.4162497252377499</v>
      </c>
      <c r="E42">
        <f t="shared" si="2"/>
        <v>1.2037775425994399</v>
      </c>
      <c r="F42">
        <f t="shared" si="3"/>
        <v>0.67352681567982398</v>
      </c>
      <c r="G42">
        <f t="shared" si="4"/>
        <v>0.74272290955792397</v>
      </c>
      <c r="H42">
        <f t="shared" si="6"/>
        <v>2</v>
      </c>
      <c r="I42">
        <f t="shared" si="7"/>
        <v>3.1200434495100699E-2</v>
      </c>
      <c r="J42">
        <f t="shared" si="8"/>
        <v>0</v>
      </c>
      <c r="K42">
        <f t="shared" si="9"/>
        <v>0</v>
      </c>
      <c r="L42">
        <f t="shared" si="10"/>
        <v>0</v>
      </c>
      <c r="O42">
        <v>565315200</v>
      </c>
      <c r="P42">
        <v>2.0998413903843201</v>
      </c>
      <c r="Q42">
        <v>1.15519415966132</v>
      </c>
      <c r="R42">
        <v>1.4162497252377499</v>
      </c>
      <c r="S42">
        <v>1.2037775425994399</v>
      </c>
      <c r="T42">
        <v>0.67352681567982398</v>
      </c>
      <c r="U42">
        <v>0.74272290955792397</v>
      </c>
      <c r="V42">
        <v>3.1200434495100699E-2</v>
      </c>
      <c r="W42">
        <v>0</v>
      </c>
      <c r="X42">
        <v>0</v>
      </c>
      <c r="Y42">
        <v>0</v>
      </c>
    </row>
    <row r="43" spans="1:25" x14ac:dyDescent="0.35">
      <c r="A43" s="1">
        <v>39965</v>
      </c>
      <c r="B43">
        <f t="shared" si="5"/>
        <v>2.3183836466187802</v>
      </c>
      <c r="C43">
        <f t="shared" si="0"/>
        <v>1.1474476959073701</v>
      </c>
      <c r="D43">
        <f t="shared" si="1"/>
        <v>1.4710387010202299</v>
      </c>
      <c r="E43">
        <f t="shared" si="2"/>
        <v>1.2076691498419601</v>
      </c>
      <c r="F43">
        <f t="shared" si="3"/>
        <v>0.550397716816317</v>
      </c>
      <c r="G43">
        <f t="shared" si="4"/>
        <v>0.92064098420391605</v>
      </c>
      <c r="H43">
        <f t="shared" si="6"/>
        <v>2</v>
      </c>
      <c r="I43">
        <f t="shared" si="7"/>
        <v>9.9494889568367398E-2</v>
      </c>
      <c r="J43">
        <f t="shared" si="8"/>
        <v>0</v>
      </c>
      <c r="K43">
        <f t="shared" si="9"/>
        <v>0</v>
      </c>
      <c r="L43">
        <f t="shared" si="10"/>
        <v>0</v>
      </c>
      <c r="O43">
        <v>573177600</v>
      </c>
      <c r="P43">
        <v>2.3183836466187802</v>
      </c>
      <c r="Q43">
        <v>1.1474476959073701</v>
      </c>
      <c r="R43">
        <v>1.4710387010202299</v>
      </c>
      <c r="S43">
        <v>1.2076691498419601</v>
      </c>
      <c r="T43">
        <v>0.550397716816317</v>
      </c>
      <c r="U43">
        <v>0.92064098420391605</v>
      </c>
      <c r="V43">
        <v>9.9494889568367398E-2</v>
      </c>
      <c r="W43">
        <v>0</v>
      </c>
      <c r="X43">
        <v>0</v>
      </c>
      <c r="Y43">
        <v>0</v>
      </c>
    </row>
    <row r="44" spans="1:25" x14ac:dyDescent="0.35">
      <c r="A44" s="1">
        <v>40057</v>
      </c>
      <c r="B44">
        <f t="shared" si="5"/>
        <v>2.79503958126601</v>
      </c>
      <c r="C44">
        <f t="shared" si="0"/>
        <v>1.3521619394609901</v>
      </c>
      <c r="D44">
        <f t="shared" si="1"/>
        <v>1.75090469399243</v>
      </c>
      <c r="E44">
        <f t="shared" si="2"/>
        <v>1.4263694051950599</v>
      </c>
      <c r="F44">
        <f t="shared" si="3"/>
        <v>0.61645127540011302</v>
      </c>
      <c r="G44">
        <f t="shared" si="4"/>
        <v>1.1344534185923201</v>
      </c>
      <c r="H44">
        <f t="shared" si="6"/>
        <v>2</v>
      </c>
      <c r="I44">
        <f t="shared" si="7"/>
        <v>0.248449869145628</v>
      </c>
      <c r="J44">
        <f t="shared" si="8"/>
        <v>0</v>
      </c>
      <c r="K44">
        <f t="shared" si="9"/>
        <v>0</v>
      </c>
      <c r="L44">
        <f t="shared" si="10"/>
        <v>0</v>
      </c>
      <c r="O44">
        <v>581126400</v>
      </c>
      <c r="P44">
        <v>2.79503958126601</v>
      </c>
      <c r="Q44">
        <v>1.3521619394609901</v>
      </c>
      <c r="R44">
        <v>1.75090469399243</v>
      </c>
      <c r="S44">
        <v>1.4263694051950599</v>
      </c>
      <c r="T44">
        <v>0.61645127540011302</v>
      </c>
      <c r="U44">
        <v>1.1344534185923201</v>
      </c>
      <c r="V44">
        <v>0.248449869145628</v>
      </c>
      <c r="W44">
        <v>0</v>
      </c>
      <c r="X44">
        <v>0</v>
      </c>
      <c r="Y44">
        <v>0</v>
      </c>
    </row>
    <row r="45" spans="1:25" x14ac:dyDescent="0.35">
      <c r="A45" s="1">
        <v>40148</v>
      </c>
      <c r="B45">
        <f t="shared" si="5"/>
        <v>3.1645898718466801</v>
      </c>
      <c r="C45">
        <f t="shared" si="0"/>
        <v>1.30368696918859</v>
      </c>
      <c r="D45">
        <f t="shared" si="1"/>
        <v>1.8179520238422699</v>
      </c>
      <c r="E45">
        <f t="shared" si="2"/>
        <v>1.3993935519107801</v>
      </c>
      <c r="F45">
        <f t="shared" si="3"/>
        <v>0.35482888822567099</v>
      </c>
      <c r="G45">
        <f t="shared" si="4"/>
        <v>1.4631231356165999</v>
      </c>
      <c r="H45">
        <f t="shared" si="6"/>
        <v>2</v>
      </c>
      <c r="I45">
        <f t="shared" si="7"/>
        <v>0.36393433495208699</v>
      </c>
      <c r="J45">
        <f t="shared" si="8"/>
        <v>0</v>
      </c>
      <c r="K45">
        <f t="shared" si="9"/>
        <v>0</v>
      </c>
      <c r="L45">
        <f t="shared" si="10"/>
        <v>0</v>
      </c>
      <c r="O45">
        <v>589075200</v>
      </c>
      <c r="P45">
        <v>3.1645898718466801</v>
      </c>
      <c r="Q45">
        <v>1.30368696918859</v>
      </c>
      <c r="R45">
        <v>1.8179520238422699</v>
      </c>
      <c r="S45">
        <v>1.3993935519107801</v>
      </c>
      <c r="T45">
        <v>0.35482888822567099</v>
      </c>
      <c r="U45">
        <v>1.4631231356165999</v>
      </c>
      <c r="V45">
        <v>0.36393433495208699</v>
      </c>
      <c r="W45">
        <v>0</v>
      </c>
      <c r="X45">
        <v>0</v>
      </c>
      <c r="Y45">
        <v>0</v>
      </c>
    </row>
    <row r="46" spans="1:25" x14ac:dyDescent="0.35">
      <c r="A46" s="1">
        <v>40238</v>
      </c>
      <c r="B46">
        <f t="shared" si="5"/>
        <v>5.8351424145245501</v>
      </c>
      <c r="C46">
        <f t="shared" si="0"/>
        <v>2.2870422876374099</v>
      </c>
      <c r="D46">
        <f t="shared" si="1"/>
        <v>3.2675684091583501</v>
      </c>
      <c r="E46">
        <f t="shared" si="2"/>
        <v>2.4695217377019398</v>
      </c>
      <c r="F46">
        <f t="shared" si="3"/>
        <v>0.47789712877204399</v>
      </c>
      <c r="G46">
        <f t="shared" si="4"/>
        <v>2.78967128038629</v>
      </c>
      <c r="H46">
        <f t="shared" si="6"/>
        <v>2</v>
      </c>
      <c r="I46">
        <f t="shared" si="7"/>
        <v>1.19848200453892</v>
      </c>
      <c r="J46">
        <f t="shared" si="8"/>
        <v>8.9700714886690694E-2</v>
      </c>
      <c r="K46">
        <f t="shared" si="9"/>
        <v>0.396115127861983</v>
      </c>
      <c r="L46">
        <f t="shared" si="10"/>
        <v>0.146725543031858</v>
      </c>
      <c r="O46">
        <v>596937600</v>
      </c>
      <c r="P46">
        <v>5.8351424145245501</v>
      </c>
      <c r="Q46">
        <v>2.2870422876374099</v>
      </c>
      <c r="R46">
        <v>3.2675684091583501</v>
      </c>
      <c r="S46">
        <v>2.4695217377019398</v>
      </c>
      <c r="T46">
        <v>0.47789712877204399</v>
      </c>
      <c r="U46">
        <v>2.78967128038629</v>
      </c>
      <c r="V46">
        <v>1.19848200453892</v>
      </c>
      <c r="W46">
        <v>8.9700714886690694E-2</v>
      </c>
      <c r="X46">
        <v>0.396115127861983</v>
      </c>
      <c r="Y46">
        <v>0.146725543031858</v>
      </c>
    </row>
    <row r="47" spans="1:25" x14ac:dyDescent="0.35">
      <c r="A47" s="1">
        <v>40330</v>
      </c>
      <c r="B47">
        <f t="shared" si="5"/>
        <v>4.3591157154032301</v>
      </c>
      <c r="C47">
        <f t="shared" si="0"/>
        <v>1.4718843806633699</v>
      </c>
      <c r="D47">
        <f t="shared" si="1"/>
        <v>2.2697778000550799</v>
      </c>
      <c r="E47">
        <f t="shared" si="2"/>
        <v>1.6203752257158901</v>
      </c>
      <c r="F47">
        <f t="shared" si="3"/>
        <v>-2.8957299325365601E-4</v>
      </c>
      <c r="G47">
        <f t="shared" si="4"/>
        <v>2.2700673730483301</v>
      </c>
      <c r="H47">
        <f t="shared" si="6"/>
        <v>2</v>
      </c>
      <c r="I47">
        <f t="shared" si="7"/>
        <v>0.73722366106350901</v>
      </c>
      <c r="J47">
        <f t="shared" si="8"/>
        <v>0</v>
      </c>
      <c r="K47">
        <f t="shared" si="9"/>
        <v>8.4305562517212704E-2</v>
      </c>
      <c r="L47">
        <f t="shared" si="10"/>
        <v>0</v>
      </c>
      <c r="O47">
        <v>604713600</v>
      </c>
      <c r="P47">
        <v>4.3591157154032301</v>
      </c>
      <c r="Q47">
        <v>1.4718843806633699</v>
      </c>
      <c r="R47">
        <v>2.2697778000550799</v>
      </c>
      <c r="S47">
        <v>1.6203752257158901</v>
      </c>
      <c r="T47">
        <v>-2.8957299325365601E-4</v>
      </c>
      <c r="U47">
        <v>2.2700673730483301</v>
      </c>
      <c r="V47">
        <v>0.73722366106350901</v>
      </c>
      <c r="W47">
        <v>0</v>
      </c>
      <c r="X47">
        <v>8.4305562517212704E-2</v>
      </c>
      <c r="Y47">
        <v>0</v>
      </c>
    </row>
    <row r="48" spans="1:25" x14ac:dyDescent="0.35">
      <c r="A48" s="1">
        <v>40422</v>
      </c>
      <c r="B48">
        <f t="shared" si="5"/>
        <v>6.2231935770599804</v>
      </c>
      <c r="C48">
        <f t="shared" si="0"/>
        <v>2.2338379446025498</v>
      </c>
      <c r="D48">
        <f t="shared" si="1"/>
        <v>3.3363061010164401</v>
      </c>
      <c r="E48">
        <f t="shared" si="2"/>
        <v>2.4390112474657299</v>
      </c>
      <c r="F48">
        <f t="shared" si="3"/>
        <v>0.19970047064556801</v>
      </c>
      <c r="G48">
        <f t="shared" si="4"/>
        <v>3.13660563037087</v>
      </c>
      <c r="H48">
        <f t="shared" si="6"/>
        <v>2</v>
      </c>
      <c r="I48">
        <f t="shared" si="7"/>
        <v>1.3197479928312399</v>
      </c>
      <c r="J48">
        <f t="shared" si="8"/>
        <v>7.3074357688297495E-2</v>
      </c>
      <c r="K48">
        <f t="shared" si="9"/>
        <v>0.41759565656763797</v>
      </c>
      <c r="L48">
        <f t="shared" si="10"/>
        <v>0.137191014833041</v>
      </c>
      <c r="O48">
        <v>612662400</v>
      </c>
      <c r="P48">
        <v>6.2231935770599804</v>
      </c>
      <c r="Q48">
        <v>2.2338379446025498</v>
      </c>
      <c r="R48">
        <v>3.3363061010164401</v>
      </c>
      <c r="S48">
        <v>2.4390112474657299</v>
      </c>
      <c r="T48">
        <v>0.19970047064556801</v>
      </c>
      <c r="U48">
        <v>3.13660563037087</v>
      </c>
      <c r="V48">
        <v>1.3197479928312399</v>
      </c>
      <c r="W48">
        <v>7.3074357688297495E-2</v>
      </c>
      <c r="X48">
        <v>0.41759565656763797</v>
      </c>
      <c r="Y48">
        <v>0.137191014833041</v>
      </c>
    </row>
    <row r="49" spans="1:25" x14ac:dyDescent="0.35">
      <c r="A49" s="1">
        <v>40513</v>
      </c>
      <c r="B49">
        <f t="shared" si="5"/>
        <v>5.7626222278322796</v>
      </c>
      <c r="C49">
        <f t="shared" si="0"/>
        <v>1.8710273303903999</v>
      </c>
      <c r="D49">
        <f t="shared" si="1"/>
        <v>2.9464790693093601</v>
      </c>
      <c r="E49">
        <f t="shared" si="2"/>
        <v>2.07117278045193</v>
      </c>
      <c r="F49">
        <f t="shared" si="3"/>
        <v>-0.113262801565066</v>
      </c>
      <c r="G49">
        <f t="shared" si="4"/>
        <v>3.0597418708744302</v>
      </c>
      <c r="H49">
        <f t="shared" si="6"/>
        <v>2</v>
      </c>
      <c r="I49">
        <f t="shared" si="7"/>
        <v>1.1758194461975899</v>
      </c>
      <c r="J49">
        <f t="shared" si="8"/>
        <v>0</v>
      </c>
      <c r="K49">
        <f t="shared" si="9"/>
        <v>0.29577470915917597</v>
      </c>
      <c r="L49">
        <f t="shared" si="10"/>
        <v>2.2241493891227E-2</v>
      </c>
      <c r="O49">
        <v>620611200</v>
      </c>
      <c r="P49">
        <v>5.7626222278322796</v>
      </c>
      <c r="Q49">
        <v>1.8710273303903999</v>
      </c>
      <c r="R49">
        <v>2.9464790693093601</v>
      </c>
      <c r="S49">
        <v>2.07117278045193</v>
      </c>
      <c r="T49">
        <v>-0.113262801565066</v>
      </c>
      <c r="U49">
        <v>3.0597418708744302</v>
      </c>
      <c r="V49">
        <v>1.1758194461975899</v>
      </c>
      <c r="W49">
        <v>0</v>
      </c>
      <c r="X49">
        <v>0.29577470915917597</v>
      </c>
      <c r="Y49">
        <v>2.2241493891227E-2</v>
      </c>
    </row>
    <row r="50" spans="1:25" x14ac:dyDescent="0.35">
      <c r="A50" s="1">
        <v>40603</v>
      </c>
      <c r="B50">
        <f t="shared" si="5"/>
        <v>7.9087162419654797</v>
      </c>
      <c r="C50">
        <f t="shared" si="0"/>
        <v>2.42818484285932</v>
      </c>
      <c r="D50">
        <f t="shared" si="1"/>
        <v>3.9427430583722098</v>
      </c>
      <c r="E50">
        <f t="shared" si="2"/>
        <v>2.7100495930087898</v>
      </c>
      <c r="F50">
        <f t="shared" si="3"/>
        <v>-0.366290085727698</v>
      </c>
      <c r="G50">
        <f t="shared" si="4"/>
        <v>4.3090331440999101</v>
      </c>
      <c r="H50">
        <f t="shared" si="6"/>
        <v>2</v>
      </c>
      <c r="I50">
        <f t="shared" si="7"/>
        <v>1.8464738256142099</v>
      </c>
      <c r="J50">
        <f t="shared" si="8"/>
        <v>0.133807763393539</v>
      </c>
      <c r="K50">
        <f t="shared" si="9"/>
        <v>0.60710720574131705</v>
      </c>
      <c r="L50">
        <f t="shared" si="10"/>
        <v>0.221890497815246</v>
      </c>
      <c r="O50">
        <v>628473600</v>
      </c>
      <c r="P50">
        <v>7.9087162419654797</v>
      </c>
      <c r="Q50">
        <v>2.42818484285932</v>
      </c>
      <c r="R50">
        <v>3.9427430583722098</v>
      </c>
      <c r="S50">
        <v>2.7100495930087898</v>
      </c>
      <c r="T50">
        <v>-0.366290085727698</v>
      </c>
      <c r="U50">
        <v>4.3090331440999101</v>
      </c>
      <c r="V50">
        <v>1.8464738256142099</v>
      </c>
      <c r="W50">
        <v>0.133807763393539</v>
      </c>
      <c r="X50">
        <v>0.60710720574131705</v>
      </c>
      <c r="Y50">
        <v>0.221890497815246</v>
      </c>
    </row>
    <row r="51" spans="1:25" x14ac:dyDescent="0.35">
      <c r="A51" s="1">
        <v>40695</v>
      </c>
      <c r="B51">
        <f t="shared" si="5"/>
        <v>7.93517146070901</v>
      </c>
      <c r="C51">
        <f t="shared" si="0"/>
        <v>2.5640258943700198</v>
      </c>
      <c r="D51">
        <f t="shared" si="1"/>
        <v>4.0483550682784299</v>
      </c>
      <c r="E51">
        <f t="shared" si="2"/>
        <v>2.8402649107762499</v>
      </c>
      <c r="F51">
        <f t="shared" si="3"/>
        <v>-0.17467415675523201</v>
      </c>
      <c r="G51">
        <f t="shared" si="4"/>
        <v>4.2230292250336596</v>
      </c>
      <c r="H51">
        <f t="shared" si="6"/>
        <v>2</v>
      </c>
      <c r="I51">
        <f t="shared" si="7"/>
        <v>1.8547410814715699</v>
      </c>
      <c r="J51">
        <f t="shared" si="8"/>
        <v>0.176258091990632</v>
      </c>
      <c r="K51">
        <f t="shared" si="9"/>
        <v>0.64011095883700997</v>
      </c>
      <c r="L51">
        <f t="shared" si="10"/>
        <v>0.262582784617577</v>
      </c>
      <c r="O51">
        <v>636249600</v>
      </c>
      <c r="P51">
        <v>7.93517146070901</v>
      </c>
      <c r="Q51">
        <v>2.5640258943700198</v>
      </c>
      <c r="R51">
        <v>4.0483550682784299</v>
      </c>
      <c r="S51">
        <v>2.8402649107762499</v>
      </c>
      <c r="T51">
        <v>-0.17467415675523201</v>
      </c>
      <c r="U51">
        <v>4.2230292250336596</v>
      </c>
      <c r="V51">
        <v>1.8547410814715699</v>
      </c>
      <c r="W51">
        <v>0.176258091990632</v>
      </c>
      <c r="X51">
        <v>0.64011095883700997</v>
      </c>
      <c r="Y51">
        <v>0.262582784617577</v>
      </c>
    </row>
    <row r="52" spans="1:25" x14ac:dyDescent="0.35">
      <c r="A52" s="1">
        <v>40787</v>
      </c>
      <c r="B52">
        <f t="shared" si="5"/>
        <v>7.7603110890760298</v>
      </c>
      <c r="C52">
        <f t="shared" si="0"/>
        <v>2.62059150046947</v>
      </c>
      <c r="D52">
        <f t="shared" si="1"/>
        <v>4.04096554113754</v>
      </c>
      <c r="E52">
        <f t="shared" si="2"/>
        <v>2.8849282357570698</v>
      </c>
      <c r="F52">
        <f t="shared" si="3"/>
        <v>-1.06472845872812E-4</v>
      </c>
      <c r="G52">
        <f t="shared" si="4"/>
        <v>4.0410720139834098</v>
      </c>
      <c r="H52">
        <f t="shared" si="6"/>
        <v>2</v>
      </c>
      <c r="I52">
        <f t="shared" si="7"/>
        <v>1.80009721533626</v>
      </c>
      <c r="J52">
        <f t="shared" si="8"/>
        <v>0.19393484389670901</v>
      </c>
      <c r="K52">
        <f t="shared" si="9"/>
        <v>0.63780173160548204</v>
      </c>
      <c r="L52">
        <f t="shared" si="10"/>
        <v>0.27654007367408401</v>
      </c>
      <c r="O52">
        <v>644198400</v>
      </c>
      <c r="P52">
        <v>7.7603110890760298</v>
      </c>
      <c r="Q52">
        <v>2.62059150046947</v>
      </c>
      <c r="R52">
        <v>4.04096554113754</v>
      </c>
      <c r="S52">
        <v>2.8849282357570698</v>
      </c>
      <c r="T52">
        <v>-1.06472845872812E-4</v>
      </c>
      <c r="U52">
        <v>4.0410720139834098</v>
      </c>
      <c r="V52">
        <v>1.80009721533626</v>
      </c>
      <c r="W52">
        <v>0.19393484389670901</v>
      </c>
      <c r="X52">
        <v>0.63780173160548204</v>
      </c>
      <c r="Y52">
        <v>0.27654007367408401</v>
      </c>
    </row>
    <row r="53" spans="1:25" x14ac:dyDescent="0.35">
      <c r="A53" s="1">
        <v>40878</v>
      </c>
      <c r="B53">
        <f t="shared" si="5"/>
        <v>7.1378225439980998</v>
      </c>
      <c r="C53">
        <f t="shared" si="0"/>
        <v>2.4590142662707</v>
      </c>
      <c r="D53">
        <f t="shared" si="1"/>
        <v>3.7520143423212602</v>
      </c>
      <c r="E53">
        <f t="shared" si="2"/>
        <v>2.69964624703336</v>
      </c>
      <c r="F53">
        <f t="shared" si="3"/>
        <v>7.3330930908907896E-2</v>
      </c>
      <c r="G53">
        <f t="shared" si="4"/>
        <v>3.6786834114123499</v>
      </c>
      <c r="H53">
        <f t="shared" si="6"/>
        <v>2</v>
      </c>
      <c r="I53">
        <f t="shared" si="7"/>
        <v>1.6055695449994101</v>
      </c>
      <c r="J53">
        <f t="shared" si="8"/>
        <v>0.14344195820959199</v>
      </c>
      <c r="K53">
        <f t="shared" si="9"/>
        <v>0.54750448197539303</v>
      </c>
      <c r="L53">
        <f t="shared" si="10"/>
        <v>0.21863945219792599</v>
      </c>
      <c r="O53">
        <v>652147200</v>
      </c>
      <c r="P53">
        <v>7.1378225439980998</v>
      </c>
      <c r="Q53">
        <v>2.4590142662707</v>
      </c>
      <c r="R53">
        <v>3.7520143423212602</v>
      </c>
      <c r="S53">
        <v>2.69964624703336</v>
      </c>
      <c r="T53">
        <v>7.3330930908907896E-2</v>
      </c>
      <c r="U53">
        <v>3.6786834114123499</v>
      </c>
      <c r="V53">
        <v>1.6055695449994101</v>
      </c>
      <c r="W53">
        <v>0.14344195820959199</v>
      </c>
      <c r="X53">
        <v>0.54750448197539303</v>
      </c>
      <c r="Y53">
        <v>0.21863945219792599</v>
      </c>
    </row>
    <row r="54" spans="1:25" x14ac:dyDescent="0.35">
      <c r="A54" s="1">
        <v>40969</v>
      </c>
      <c r="B54">
        <f t="shared" si="5"/>
        <v>11.0745500583505</v>
      </c>
      <c r="C54">
        <f t="shared" si="0"/>
        <v>4.0003664989110304</v>
      </c>
      <c r="D54">
        <f t="shared" si="1"/>
        <v>5.9553343747893797</v>
      </c>
      <c r="E54">
        <f t="shared" si="2"/>
        <v>4.3641930763517003</v>
      </c>
      <c r="F54">
        <f t="shared" si="3"/>
        <v>0.39330230066557198</v>
      </c>
      <c r="G54">
        <f t="shared" si="4"/>
        <v>5.5620320741238203</v>
      </c>
      <c r="H54">
        <f t="shared" si="6"/>
        <v>2</v>
      </c>
      <c r="I54">
        <f t="shared" si="7"/>
        <v>2.5</v>
      </c>
      <c r="J54">
        <f t="shared" si="8"/>
        <v>0.62511453090969704</v>
      </c>
      <c r="K54">
        <f t="shared" si="9"/>
        <v>1.2360419921216801</v>
      </c>
      <c r="L54">
        <f t="shared" si="10"/>
        <v>0.73881033635990501</v>
      </c>
      <c r="O54">
        <v>660009600</v>
      </c>
      <c r="P54">
        <v>11.0745500583505</v>
      </c>
      <c r="Q54">
        <v>4.0003664989110304</v>
      </c>
      <c r="R54">
        <v>5.9553343747893797</v>
      </c>
      <c r="S54">
        <v>4.3641930763517003</v>
      </c>
      <c r="T54">
        <v>0.39330230066557198</v>
      </c>
      <c r="U54">
        <v>5.5620320741238203</v>
      </c>
      <c r="V54">
        <v>2.5</v>
      </c>
      <c r="W54">
        <v>0.62511453090969704</v>
      </c>
      <c r="X54">
        <v>1.2360419921216801</v>
      </c>
      <c r="Y54">
        <v>0.73881033635990501</v>
      </c>
    </row>
    <row r="55" spans="1:25" x14ac:dyDescent="0.35">
      <c r="A55" s="1">
        <v>41061</v>
      </c>
      <c r="B55">
        <f t="shared" si="5"/>
        <v>10.633011536343</v>
      </c>
      <c r="C55">
        <f t="shared" si="0"/>
        <v>3.71981702563227</v>
      </c>
      <c r="D55">
        <f t="shared" si="1"/>
        <v>5.6302951853492704</v>
      </c>
      <c r="E55">
        <f t="shared" si="2"/>
        <v>4.0753639063259897</v>
      </c>
      <c r="F55">
        <f t="shared" si="3"/>
        <v>0.194839732412594</v>
      </c>
      <c r="G55">
        <f t="shared" si="4"/>
        <v>5.4354554529366803</v>
      </c>
      <c r="H55">
        <f t="shared" si="6"/>
        <v>2</v>
      </c>
      <c r="I55">
        <f t="shared" si="7"/>
        <v>2.5</v>
      </c>
      <c r="J55">
        <f t="shared" si="8"/>
        <v>0.53744282051008396</v>
      </c>
      <c r="K55">
        <f t="shared" si="9"/>
        <v>1.13446724542165</v>
      </c>
      <c r="L55">
        <f t="shared" si="10"/>
        <v>0.64855122072687199</v>
      </c>
      <c r="O55">
        <v>667785600</v>
      </c>
      <c r="P55">
        <v>10.633011536343</v>
      </c>
      <c r="Q55">
        <v>3.71981702563227</v>
      </c>
      <c r="R55">
        <v>5.6302951853492704</v>
      </c>
      <c r="S55">
        <v>4.0753639063259897</v>
      </c>
      <c r="T55">
        <v>0.194839732412594</v>
      </c>
      <c r="U55">
        <v>5.4354554529366803</v>
      </c>
      <c r="V55">
        <v>2.5</v>
      </c>
      <c r="W55">
        <v>0.53744282051008396</v>
      </c>
      <c r="X55">
        <v>1.13446724542165</v>
      </c>
      <c r="Y55">
        <v>0.64855122072687199</v>
      </c>
    </row>
    <row r="56" spans="1:25" x14ac:dyDescent="0.35">
      <c r="A56" s="1">
        <v>41153</v>
      </c>
      <c r="B56">
        <f t="shared" si="5"/>
        <v>10.500250100738601</v>
      </c>
      <c r="C56">
        <f t="shared" si="0"/>
        <v>3.6595641992203398</v>
      </c>
      <c r="D56">
        <f t="shared" si="1"/>
        <v>5.5500044279867602</v>
      </c>
      <c r="E56">
        <f t="shared" si="2"/>
        <v>4.0113819486445799</v>
      </c>
      <c r="F56">
        <f t="shared" si="3"/>
        <v>0.171558410356624</v>
      </c>
      <c r="G56">
        <f t="shared" si="4"/>
        <v>5.3784460176301296</v>
      </c>
      <c r="H56">
        <f t="shared" si="6"/>
        <v>2</v>
      </c>
      <c r="I56">
        <f t="shared" si="7"/>
        <v>2.5</v>
      </c>
      <c r="J56">
        <f t="shared" si="8"/>
        <v>0.51861381225635705</v>
      </c>
      <c r="K56">
        <f t="shared" si="9"/>
        <v>1.1093763837458599</v>
      </c>
      <c r="L56">
        <f t="shared" si="10"/>
        <v>0.62855685895143198</v>
      </c>
      <c r="O56">
        <v>675734400</v>
      </c>
      <c r="P56">
        <v>10.500250100738601</v>
      </c>
      <c r="Q56">
        <v>3.6595641992203398</v>
      </c>
      <c r="R56">
        <v>5.5500044279867602</v>
      </c>
      <c r="S56">
        <v>4.0113819486445799</v>
      </c>
      <c r="T56">
        <v>0.171558410356624</v>
      </c>
      <c r="U56">
        <v>5.3784460176301296</v>
      </c>
      <c r="V56">
        <v>2.5</v>
      </c>
      <c r="W56">
        <v>0.51861381225635705</v>
      </c>
      <c r="X56">
        <v>1.1093763837458599</v>
      </c>
      <c r="Y56">
        <v>0.62855685895143198</v>
      </c>
    </row>
    <row r="57" spans="1:25" x14ac:dyDescent="0.35">
      <c r="A57" s="1">
        <v>41244</v>
      </c>
      <c r="B57">
        <f t="shared" si="5"/>
        <v>9.7763319134152997</v>
      </c>
      <c r="C57">
        <f t="shared" si="0"/>
        <v>3.4048574500332398</v>
      </c>
      <c r="D57">
        <f t="shared" si="1"/>
        <v>5.1656299537761896</v>
      </c>
      <c r="E57">
        <f t="shared" si="2"/>
        <v>3.7325435678425198</v>
      </c>
      <c r="F57">
        <f t="shared" si="3"/>
        <v>0.156098461268487</v>
      </c>
      <c r="G57">
        <f t="shared" si="4"/>
        <v>5.0095314925077004</v>
      </c>
      <c r="H57">
        <f t="shared" si="6"/>
        <v>2</v>
      </c>
      <c r="I57">
        <f t="shared" si="7"/>
        <v>2.4301037229422802</v>
      </c>
      <c r="J57">
        <f t="shared" si="8"/>
        <v>0.439017953135387</v>
      </c>
      <c r="K57">
        <f t="shared" si="9"/>
        <v>0.98925936055505803</v>
      </c>
      <c r="L57">
        <f t="shared" si="10"/>
        <v>0.54141986495078798</v>
      </c>
      <c r="O57">
        <v>683683200</v>
      </c>
      <c r="P57">
        <v>9.7763319134152997</v>
      </c>
      <c r="Q57">
        <v>3.4048574500332398</v>
      </c>
      <c r="R57">
        <v>5.1656299537761896</v>
      </c>
      <c r="S57">
        <v>3.7325435678425198</v>
      </c>
      <c r="T57">
        <v>0.156098461268487</v>
      </c>
      <c r="U57">
        <v>5.0095314925077004</v>
      </c>
      <c r="V57">
        <v>2.4301037229422802</v>
      </c>
      <c r="W57">
        <v>0.439017953135387</v>
      </c>
      <c r="X57">
        <v>0.98925936055505803</v>
      </c>
      <c r="Y57">
        <v>0.54141986495078798</v>
      </c>
    </row>
    <row r="58" spans="1:25" x14ac:dyDescent="0.35">
      <c r="A58" s="1">
        <v>41334</v>
      </c>
      <c r="B58">
        <f t="shared" si="5"/>
        <v>10.5796116115304</v>
      </c>
      <c r="C58">
        <f t="shared" si="0"/>
        <v>3.6415491378624698</v>
      </c>
      <c r="D58">
        <f t="shared" si="1"/>
        <v>5.5588996197791198</v>
      </c>
      <c r="E58">
        <f t="shared" si="2"/>
        <v>3.99837498252068</v>
      </c>
      <c r="F58">
        <f t="shared" si="3"/>
        <v>0.103891888275763</v>
      </c>
      <c r="G58">
        <f t="shared" si="4"/>
        <v>5.4550077315033603</v>
      </c>
      <c r="H58">
        <f t="shared" si="6"/>
        <v>2</v>
      </c>
      <c r="I58">
        <f t="shared" si="7"/>
        <v>2.5</v>
      </c>
      <c r="J58">
        <f t="shared" si="8"/>
        <v>0.51298410558202101</v>
      </c>
      <c r="K58">
        <f t="shared" si="9"/>
        <v>1.11215613118098</v>
      </c>
      <c r="L58">
        <f t="shared" si="10"/>
        <v>0.62449218203771395</v>
      </c>
      <c r="O58">
        <v>691545600</v>
      </c>
      <c r="P58">
        <v>10.5796116115304</v>
      </c>
      <c r="Q58">
        <v>3.6415491378624698</v>
      </c>
      <c r="R58">
        <v>5.5588996197791198</v>
      </c>
      <c r="S58">
        <v>3.99837498252068</v>
      </c>
      <c r="T58">
        <v>0.103891888275763</v>
      </c>
      <c r="U58">
        <v>5.4550077315033603</v>
      </c>
      <c r="V58">
        <v>2.5</v>
      </c>
      <c r="W58">
        <v>0.51298410558202101</v>
      </c>
      <c r="X58">
        <v>1.11215613118098</v>
      </c>
      <c r="Y58">
        <v>0.62449218203771395</v>
      </c>
    </row>
    <row r="59" spans="1:25" x14ac:dyDescent="0.35">
      <c r="A59" s="1">
        <v>41426</v>
      </c>
      <c r="B59">
        <f t="shared" si="5"/>
        <v>10.448634230493401</v>
      </c>
      <c r="C59">
        <f t="shared" si="0"/>
        <v>3.2817895628669702</v>
      </c>
      <c r="D59">
        <f t="shared" si="1"/>
        <v>5.2623645619316299</v>
      </c>
      <c r="E59">
        <f t="shared" si="2"/>
        <v>3.6503817183521301</v>
      </c>
      <c r="F59">
        <f t="shared" si="3"/>
        <v>-0.37252172235368802</v>
      </c>
      <c r="G59">
        <f t="shared" si="4"/>
        <v>5.6348862842853098</v>
      </c>
      <c r="H59">
        <f t="shared" si="6"/>
        <v>2</v>
      </c>
      <c r="I59">
        <f t="shared" si="7"/>
        <v>2.5</v>
      </c>
      <c r="J59">
        <f t="shared" si="8"/>
        <v>0.400559238395928</v>
      </c>
      <c r="K59">
        <f t="shared" si="9"/>
        <v>1.0194889256036399</v>
      </c>
      <c r="L59">
        <f t="shared" si="10"/>
        <v>0.51574428698504005</v>
      </c>
      <c r="O59">
        <v>699408000</v>
      </c>
      <c r="P59">
        <v>10.448634230493401</v>
      </c>
      <c r="Q59">
        <v>3.2817895628669702</v>
      </c>
      <c r="R59">
        <v>5.2623645619316299</v>
      </c>
      <c r="S59">
        <v>3.6503817183521301</v>
      </c>
      <c r="T59">
        <v>-0.37252172235368802</v>
      </c>
      <c r="U59">
        <v>5.6348862842853098</v>
      </c>
      <c r="V59">
        <v>2.5</v>
      </c>
      <c r="W59">
        <v>0.400559238395928</v>
      </c>
      <c r="X59">
        <v>1.0194889256036399</v>
      </c>
      <c r="Y59">
        <v>0.51574428698504005</v>
      </c>
    </row>
    <row r="60" spans="1:25" x14ac:dyDescent="0.35">
      <c r="A60" s="1">
        <v>41518</v>
      </c>
      <c r="B60">
        <f t="shared" si="5"/>
        <v>9.8186382545411792</v>
      </c>
      <c r="C60">
        <f t="shared" si="0"/>
        <v>2.9957499366751299</v>
      </c>
      <c r="D60">
        <f t="shared" si="1"/>
        <v>4.8812717598028099</v>
      </c>
      <c r="E60">
        <f t="shared" si="2"/>
        <v>3.3466523530588601</v>
      </c>
      <c r="F60">
        <f t="shared" si="3"/>
        <v>-0.48318102026373599</v>
      </c>
      <c r="G60">
        <f t="shared" si="4"/>
        <v>5.36445278006655</v>
      </c>
      <c r="H60">
        <f t="shared" si="6"/>
        <v>2</v>
      </c>
      <c r="I60">
        <f t="shared" si="7"/>
        <v>2.4433244545441202</v>
      </c>
      <c r="J60">
        <f t="shared" si="8"/>
        <v>0.31117185521098001</v>
      </c>
      <c r="K60">
        <f t="shared" si="9"/>
        <v>0.90039742493837904</v>
      </c>
      <c r="L60">
        <f t="shared" si="10"/>
        <v>0.42082886033089201</v>
      </c>
      <c r="O60">
        <v>707356800</v>
      </c>
      <c r="P60">
        <v>9.8186382545411792</v>
      </c>
      <c r="Q60">
        <v>2.9957499366751299</v>
      </c>
      <c r="R60">
        <v>4.8812717598028099</v>
      </c>
      <c r="S60">
        <v>3.3466523530588601</v>
      </c>
      <c r="T60">
        <v>-0.48318102026373599</v>
      </c>
      <c r="U60">
        <v>5.36445278006655</v>
      </c>
      <c r="V60">
        <v>2.4433244545441202</v>
      </c>
      <c r="W60">
        <v>0.31117185521098001</v>
      </c>
      <c r="X60">
        <v>0.90039742493837904</v>
      </c>
      <c r="Y60">
        <v>0.42082886033089201</v>
      </c>
    </row>
    <row r="61" spans="1:25" x14ac:dyDescent="0.35">
      <c r="A61" s="1">
        <v>41609</v>
      </c>
      <c r="B61">
        <f t="shared" si="5"/>
        <v>8.1685479267678307</v>
      </c>
      <c r="C61">
        <f t="shared" si="0"/>
        <v>2.2523720113463201</v>
      </c>
      <c r="D61">
        <f t="shared" si="1"/>
        <v>3.88732165119016</v>
      </c>
      <c r="E61">
        <f t="shared" si="2"/>
        <v>2.5566420400725201</v>
      </c>
      <c r="F61">
        <f t="shared" si="3"/>
        <v>-0.76423423808638002</v>
      </c>
      <c r="G61">
        <f t="shared" si="4"/>
        <v>4.6515558892765503</v>
      </c>
      <c r="H61">
        <f t="shared" si="6"/>
        <v>2</v>
      </c>
      <c r="I61">
        <f t="shared" si="7"/>
        <v>1.9276712271149501</v>
      </c>
      <c r="J61">
        <f t="shared" si="8"/>
        <v>7.8866253545726406E-2</v>
      </c>
      <c r="K61">
        <f t="shared" si="9"/>
        <v>0.58978801599692599</v>
      </c>
      <c r="L61">
        <f t="shared" si="10"/>
        <v>0.17395063752266299</v>
      </c>
      <c r="O61">
        <v>715305600</v>
      </c>
      <c r="P61">
        <v>8.1685479267678307</v>
      </c>
      <c r="Q61">
        <v>2.2523720113463201</v>
      </c>
      <c r="R61">
        <v>3.88732165119016</v>
      </c>
      <c r="S61">
        <v>2.5566420400725201</v>
      </c>
      <c r="T61">
        <v>-0.76423423808638002</v>
      </c>
      <c r="U61">
        <v>4.6515558892765503</v>
      </c>
      <c r="V61">
        <v>1.9276712271149501</v>
      </c>
      <c r="W61">
        <v>7.8866253545726406E-2</v>
      </c>
      <c r="X61">
        <v>0.58978801599692599</v>
      </c>
      <c r="Y61">
        <v>0.17395063752266299</v>
      </c>
    </row>
    <row r="62" spans="1:25" x14ac:dyDescent="0.35">
      <c r="A62" s="1">
        <v>41699</v>
      </c>
      <c r="B62">
        <f t="shared" si="5"/>
        <v>10.325359552642</v>
      </c>
      <c r="C62">
        <f t="shared" si="0"/>
        <v>3.0089439239354099</v>
      </c>
      <c r="D62">
        <f t="shared" si="1"/>
        <v>5.0308532227986698</v>
      </c>
      <c r="E62">
        <f t="shared" si="2"/>
        <v>3.3852285417941101</v>
      </c>
      <c r="F62">
        <f t="shared" si="3"/>
        <v>-0.72163228348809105</v>
      </c>
      <c r="G62">
        <f t="shared" si="4"/>
        <v>5.7524855062867699</v>
      </c>
      <c r="H62">
        <f t="shared" si="6"/>
        <v>2</v>
      </c>
      <c r="I62">
        <f t="shared" si="7"/>
        <v>2.5</v>
      </c>
      <c r="J62">
        <f t="shared" si="8"/>
        <v>0.315294976229816</v>
      </c>
      <c r="K62">
        <f t="shared" si="9"/>
        <v>0.94714163212458402</v>
      </c>
      <c r="L62">
        <f t="shared" si="10"/>
        <v>0.432883919310659</v>
      </c>
      <c r="O62">
        <v>723168000</v>
      </c>
      <c r="P62">
        <v>10.325359552642</v>
      </c>
      <c r="Q62">
        <v>3.0089439239354099</v>
      </c>
      <c r="R62">
        <v>5.0308532227986698</v>
      </c>
      <c r="S62">
        <v>3.3852285417941101</v>
      </c>
      <c r="T62">
        <v>-0.72163228348809105</v>
      </c>
      <c r="U62">
        <v>5.7524855062867699</v>
      </c>
      <c r="V62">
        <v>2.5</v>
      </c>
      <c r="W62">
        <v>0.315294976229816</v>
      </c>
      <c r="X62">
        <v>0.94714163212458402</v>
      </c>
      <c r="Y62">
        <v>0.432883919310659</v>
      </c>
    </row>
    <row r="63" spans="1:25" x14ac:dyDescent="0.35">
      <c r="A63" s="1">
        <v>41791</v>
      </c>
      <c r="B63">
        <f t="shared" si="5"/>
        <v>11.902863172165</v>
      </c>
      <c r="C63">
        <f t="shared" si="0"/>
        <v>4.0728084900958397</v>
      </c>
      <c r="D63">
        <f t="shared" si="1"/>
        <v>6.2366631937797496</v>
      </c>
      <c r="E63">
        <f t="shared" si="2"/>
        <v>4.47550966009155</v>
      </c>
      <c r="F63">
        <f t="shared" si="3"/>
        <v>8.0332230936670093E-2</v>
      </c>
      <c r="G63">
        <f t="shared" si="4"/>
        <v>6.1563309628431</v>
      </c>
      <c r="H63">
        <f t="shared" si="6"/>
        <v>2</v>
      </c>
      <c r="I63">
        <f t="shared" si="7"/>
        <v>2.5</v>
      </c>
      <c r="J63">
        <f t="shared" si="8"/>
        <v>0.64775265315495101</v>
      </c>
      <c r="K63">
        <f t="shared" si="9"/>
        <v>1.3239572480561701</v>
      </c>
      <c r="L63">
        <f t="shared" si="10"/>
        <v>0.77359676877860895</v>
      </c>
      <c r="O63">
        <v>730944000</v>
      </c>
      <c r="P63">
        <v>11.902863172165</v>
      </c>
      <c r="Q63">
        <v>4.0728084900958397</v>
      </c>
      <c r="R63">
        <v>6.2366631937797496</v>
      </c>
      <c r="S63">
        <v>4.47550966009155</v>
      </c>
      <c r="T63">
        <v>8.0332230936670093E-2</v>
      </c>
      <c r="U63">
        <v>6.1563309628431</v>
      </c>
      <c r="V63">
        <v>2.5</v>
      </c>
      <c r="W63">
        <v>0.64775265315495101</v>
      </c>
      <c r="X63">
        <v>1.3239572480561701</v>
      </c>
      <c r="Y63">
        <v>0.77359676877860895</v>
      </c>
    </row>
    <row r="64" spans="1:25" x14ac:dyDescent="0.35">
      <c r="A64" s="1">
        <v>41883</v>
      </c>
      <c r="B64">
        <f t="shared" si="5"/>
        <v>12.6539659877836</v>
      </c>
      <c r="C64">
        <f t="shared" si="0"/>
        <v>4.2382911373646701</v>
      </c>
      <c r="D64">
        <f t="shared" si="1"/>
        <v>6.5639834025100496</v>
      </c>
      <c r="E64">
        <f t="shared" si="2"/>
        <v>4.6711108616416803</v>
      </c>
      <c r="F64">
        <f t="shared" si="3"/>
        <v>-5.2787713213898801E-2</v>
      </c>
      <c r="G64">
        <f t="shared" si="4"/>
        <v>6.6167711157239504</v>
      </c>
      <c r="H64">
        <f t="shared" si="6"/>
        <v>2</v>
      </c>
      <c r="I64">
        <f t="shared" si="7"/>
        <v>2.5</v>
      </c>
      <c r="J64">
        <f t="shared" si="8"/>
        <v>0.69946598042645902</v>
      </c>
      <c r="K64">
        <f t="shared" si="9"/>
        <v>1.4262448132843899</v>
      </c>
      <c r="L64">
        <f t="shared" si="10"/>
        <v>0.83472214426302604</v>
      </c>
      <c r="O64">
        <v>738892800</v>
      </c>
      <c r="P64">
        <v>12.6539659877836</v>
      </c>
      <c r="Q64">
        <v>4.2382911373646701</v>
      </c>
      <c r="R64">
        <v>6.5639834025100496</v>
      </c>
      <c r="S64">
        <v>4.6711108616416803</v>
      </c>
      <c r="T64">
        <v>-5.2787713213898801E-2</v>
      </c>
      <c r="U64">
        <v>6.6167711157239504</v>
      </c>
      <c r="V64">
        <v>2.5</v>
      </c>
      <c r="W64">
        <v>0.69946598042645902</v>
      </c>
      <c r="X64">
        <v>1.4262448132843899</v>
      </c>
      <c r="Y64">
        <v>0.83472214426302604</v>
      </c>
    </row>
    <row r="65" spans="1:25" x14ac:dyDescent="0.35">
      <c r="A65" s="1">
        <v>41974</v>
      </c>
      <c r="B65">
        <f t="shared" si="5"/>
        <v>11.8320460724643</v>
      </c>
      <c r="C65">
        <f t="shared" si="0"/>
        <v>3.90361724872615</v>
      </c>
      <c r="D65">
        <f t="shared" si="1"/>
        <v>6.0946578863294203</v>
      </c>
      <c r="E65">
        <f t="shared" si="2"/>
        <v>4.3113778191419101</v>
      </c>
      <c r="F65">
        <f t="shared" si="3"/>
        <v>-0.13901912311122</v>
      </c>
      <c r="G65">
        <f t="shared" si="4"/>
        <v>6.2336770094406599</v>
      </c>
      <c r="H65">
        <f t="shared" si="6"/>
        <v>2</v>
      </c>
      <c r="I65">
        <f t="shared" si="7"/>
        <v>2.5</v>
      </c>
      <c r="J65">
        <f t="shared" si="8"/>
        <v>0.59488039022692296</v>
      </c>
      <c r="K65">
        <f t="shared" si="9"/>
        <v>1.27958058947794</v>
      </c>
      <c r="L65">
        <f t="shared" si="10"/>
        <v>0.72230556848184702</v>
      </c>
      <c r="O65">
        <v>746841600</v>
      </c>
      <c r="P65">
        <v>11.8320460724643</v>
      </c>
      <c r="Q65">
        <v>3.90361724872615</v>
      </c>
      <c r="R65">
        <v>6.0946578863294203</v>
      </c>
      <c r="S65">
        <v>4.3113778191419101</v>
      </c>
      <c r="T65">
        <v>-0.13901912311122</v>
      </c>
      <c r="U65">
        <v>6.2336770094406599</v>
      </c>
      <c r="V65">
        <v>2.5</v>
      </c>
      <c r="W65">
        <v>0.59488039022692296</v>
      </c>
      <c r="X65">
        <v>1.27958058947794</v>
      </c>
      <c r="Y65">
        <v>0.72230556848184702</v>
      </c>
    </row>
    <row r="66" spans="1:25" x14ac:dyDescent="0.35">
      <c r="A66" s="1">
        <v>42064</v>
      </c>
      <c r="B66">
        <f t="shared" si="5"/>
        <v>9.2035971320497403</v>
      </c>
      <c r="C66">
        <f t="shared" ref="C66:C116" si="11">IF(Q66="","",Q66)</f>
        <v>3.2946976671489501</v>
      </c>
      <c r="D66">
        <f t="shared" ref="D66:D116" si="12">IF(R66="","",R66)</f>
        <v>4.9276364421489998</v>
      </c>
      <c r="E66">
        <f t="shared" ref="E66:E116" si="13">IF(S66="","",S66)</f>
        <v>3.5985934666702399</v>
      </c>
      <c r="F66">
        <f t="shared" ref="F66:F116" si="14">IF(T66="","",T66)</f>
        <v>0.28180161606533899</v>
      </c>
      <c r="G66">
        <f t="shared" ref="G66:G116" si="15">IF(U66="","",U66)</f>
        <v>4.6458348260836804</v>
      </c>
      <c r="H66">
        <f t="shared" si="6"/>
        <v>2</v>
      </c>
      <c r="I66">
        <f t="shared" si="7"/>
        <v>2.2511241037655401</v>
      </c>
      <c r="J66">
        <f t="shared" si="8"/>
        <v>0.40459302098404598</v>
      </c>
      <c r="K66">
        <f t="shared" si="9"/>
        <v>0.91488638817156298</v>
      </c>
      <c r="L66">
        <f t="shared" si="10"/>
        <v>0.49956045833445101</v>
      </c>
      <c r="O66">
        <v>754704000</v>
      </c>
      <c r="P66">
        <v>9.2035971320497403</v>
      </c>
      <c r="Q66">
        <v>3.2946976671489501</v>
      </c>
      <c r="R66">
        <v>4.9276364421489998</v>
      </c>
      <c r="S66">
        <v>3.5985934666702399</v>
      </c>
      <c r="T66">
        <v>0.28180161606533899</v>
      </c>
      <c r="U66">
        <v>4.6458348260836804</v>
      </c>
      <c r="V66">
        <v>2.2511241037655401</v>
      </c>
      <c r="W66">
        <v>0.40459302098404598</v>
      </c>
      <c r="X66">
        <v>0.91488638817156298</v>
      </c>
      <c r="Y66">
        <v>0.49956045833445101</v>
      </c>
    </row>
    <row r="67" spans="1:25" x14ac:dyDescent="0.35">
      <c r="A67" s="1">
        <v>42156</v>
      </c>
      <c r="B67">
        <f t="shared" ref="B67:B116" si="16">IF(P67="","",P67)</f>
        <v>6.8287515682994604</v>
      </c>
      <c r="C67">
        <f t="shared" si="11"/>
        <v>2.1919980942160402</v>
      </c>
      <c r="D67">
        <f t="shared" si="12"/>
        <v>3.4733762227359901</v>
      </c>
      <c r="E67">
        <f t="shared" si="13"/>
        <v>2.4304671885981399</v>
      </c>
      <c r="F67">
        <f t="shared" si="14"/>
        <v>-0.17224186533941899</v>
      </c>
      <c r="G67">
        <f t="shared" si="15"/>
        <v>3.6456180880754201</v>
      </c>
      <c r="H67">
        <f t="shared" ref="H67:H120" si="17">IF(A67="","",2)</f>
        <v>2</v>
      </c>
      <c r="I67">
        <f t="shared" ref="I67:I116" si="18">IF(V67="","",V67)</f>
        <v>1.50898486509358</v>
      </c>
      <c r="J67">
        <f t="shared" ref="J67:J116" si="19">IF(W67="","",W67)</f>
        <v>5.9999404442512498E-2</v>
      </c>
      <c r="K67">
        <f t="shared" ref="K67:K116" si="20">IF(X67="","",X67)</f>
        <v>0.46043006960499799</v>
      </c>
      <c r="L67">
        <f t="shared" ref="L67:L116" si="21">IF(Y67="","",Y67)</f>
        <v>0.13452099643691801</v>
      </c>
      <c r="O67">
        <v>762480000</v>
      </c>
      <c r="P67">
        <v>6.8287515682994604</v>
      </c>
      <c r="Q67">
        <v>2.1919980942160402</v>
      </c>
      <c r="R67">
        <v>3.4733762227359901</v>
      </c>
      <c r="S67">
        <v>2.4304671885981399</v>
      </c>
      <c r="T67">
        <v>-0.17224186533941899</v>
      </c>
      <c r="U67">
        <v>3.6456180880754201</v>
      </c>
      <c r="V67">
        <v>1.50898486509358</v>
      </c>
      <c r="W67">
        <v>5.9999404442512498E-2</v>
      </c>
      <c r="X67">
        <v>0.46043006960499799</v>
      </c>
      <c r="Y67">
        <v>0.13452099643691801</v>
      </c>
    </row>
    <row r="68" spans="1:25" x14ac:dyDescent="0.35">
      <c r="A68" s="1">
        <v>42248</v>
      </c>
      <c r="B68">
        <f t="shared" si="16"/>
        <v>3.7400155157844601</v>
      </c>
      <c r="C68">
        <f t="shared" si="11"/>
        <v>0.984679489036419</v>
      </c>
      <c r="D68">
        <f t="shared" si="12"/>
        <v>1.7461233184598</v>
      </c>
      <c r="E68">
        <f t="shared" si="13"/>
        <v>1.1263869338444401</v>
      </c>
      <c r="F68">
        <f t="shared" si="14"/>
        <v>-0.420242203016296</v>
      </c>
      <c r="G68">
        <f t="shared" si="15"/>
        <v>2.1663655214761</v>
      </c>
      <c r="H68">
        <f t="shared" si="17"/>
        <v>2</v>
      </c>
      <c r="I68">
        <f t="shared" si="18"/>
        <v>0.54375484868264201</v>
      </c>
      <c r="J68">
        <f t="shared" si="19"/>
        <v>0</v>
      </c>
      <c r="K68">
        <f t="shared" si="20"/>
        <v>0</v>
      </c>
      <c r="L68">
        <f t="shared" si="21"/>
        <v>0</v>
      </c>
      <c r="O68">
        <v>770428800</v>
      </c>
      <c r="P68">
        <v>3.7400155157844601</v>
      </c>
      <c r="Q68">
        <v>0.984679489036419</v>
      </c>
      <c r="R68">
        <v>1.7461233184598</v>
      </c>
      <c r="S68">
        <v>1.1263869338444401</v>
      </c>
      <c r="T68">
        <v>-0.420242203016296</v>
      </c>
      <c r="U68">
        <v>2.1663655214761</v>
      </c>
      <c r="V68">
        <v>0.54375484868264201</v>
      </c>
      <c r="W68">
        <v>0</v>
      </c>
      <c r="X68">
        <v>0</v>
      </c>
      <c r="Y68">
        <v>0</v>
      </c>
    </row>
    <row r="69" spans="1:25" x14ac:dyDescent="0.35">
      <c r="A69" s="1">
        <v>42339</v>
      </c>
      <c r="B69">
        <f t="shared" si="16"/>
        <v>0.88700610694408699</v>
      </c>
      <c r="C69">
        <f t="shared" si="11"/>
        <v>-0.33514934547305097</v>
      </c>
      <c r="D69">
        <f t="shared" si="12"/>
        <v>2.5962938265816902E-3</v>
      </c>
      <c r="E69">
        <f t="shared" si="13"/>
        <v>-0.27229366303031199</v>
      </c>
      <c r="F69">
        <f t="shared" si="14"/>
        <v>-0.95831569959209995</v>
      </c>
      <c r="G69">
        <f t="shared" si="15"/>
        <v>0.96091199341870304</v>
      </c>
      <c r="H69">
        <f t="shared" si="17"/>
        <v>2</v>
      </c>
      <c r="I69">
        <f t="shared" si="18"/>
        <v>0</v>
      </c>
      <c r="J69">
        <f t="shared" si="19"/>
        <v>0</v>
      </c>
      <c r="K69">
        <f t="shared" si="20"/>
        <v>0</v>
      </c>
      <c r="L69">
        <f t="shared" si="21"/>
        <v>0</v>
      </c>
      <c r="O69">
        <v>778377600</v>
      </c>
      <c r="P69">
        <v>0.88700610694408699</v>
      </c>
      <c r="Q69">
        <v>-0.33514934547305097</v>
      </c>
      <c r="R69">
        <v>2.5962938265816902E-3</v>
      </c>
      <c r="S69">
        <v>-0.27229366303031199</v>
      </c>
      <c r="T69">
        <v>-0.95831569959209995</v>
      </c>
      <c r="U69">
        <v>0.96091199341870304</v>
      </c>
      <c r="V69">
        <v>0</v>
      </c>
      <c r="W69">
        <v>0</v>
      </c>
      <c r="X69">
        <v>0</v>
      </c>
      <c r="Y69">
        <v>0</v>
      </c>
    </row>
    <row r="70" spans="1:25" x14ac:dyDescent="0.35">
      <c r="A70" s="1">
        <v>42430</v>
      </c>
      <c r="B70">
        <f t="shared" si="16"/>
        <v>0.97269087707970903</v>
      </c>
      <c r="C70">
        <f t="shared" si="11"/>
        <v>-0.54810749078401499</v>
      </c>
      <c r="D70">
        <f t="shared" si="12"/>
        <v>-0.12783115360931799</v>
      </c>
      <c r="E70">
        <f t="shared" si="13"/>
        <v>-0.46989254760242399</v>
      </c>
      <c r="F70">
        <f t="shared" si="14"/>
        <v>-1.32354925015877</v>
      </c>
      <c r="G70">
        <f t="shared" si="15"/>
        <v>1.19571809654947</v>
      </c>
      <c r="H70">
        <f t="shared" si="17"/>
        <v>2</v>
      </c>
      <c r="I70">
        <f t="shared" si="18"/>
        <v>0</v>
      </c>
      <c r="J70">
        <f t="shared" si="19"/>
        <v>0</v>
      </c>
      <c r="K70">
        <f t="shared" si="20"/>
        <v>0</v>
      </c>
      <c r="L70">
        <f t="shared" si="21"/>
        <v>0</v>
      </c>
      <c r="O70">
        <v>786240000</v>
      </c>
      <c r="P70">
        <v>0.97269087707970903</v>
      </c>
      <c r="Q70">
        <v>-0.54810749078401499</v>
      </c>
      <c r="R70">
        <v>-0.12783115360931799</v>
      </c>
      <c r="S70">
        <v>-0.46989254760242399</v>
      </c>
      <c r="T70">
        <v>-1.32354925015877</v>
      </c>
      <c r="U70">
        <v>1.19571809654947</v>
      </c>
      <c r="V70">
        <v>0</v>
      </c>
      <c r="W70">
        <v>0</v>
      </c>
      <c r="X70">
        <v>0</v>
      </c>
      <c r="Y70">
        <v>0</v>
      </c>
    </row>
    <row r="71" spans="1:25" x14ac:dyDescent="0.35">
      <c r="A71" s="1">
        <v>42522</v>
      </c>
      <c r="B71">
        <f t="shared" si="16"/>
        <v>-1.4067552323239301</v>
      </c>
      <c r="C71">
        <f t="shared" si="11"/>
        <v>-1.6357996095093601</v>
      </c>
      <c r="D71">
        <f t="shared" si="12"/>
        <v>-1.5725026373872</v>
      </c>
      <c r="E71">
        <f t="shared" si="13"/>
        <v>-1.6240198145501801</v>
      </c>
      <c r="F71">
        <f t="shared" si="14"/>
        <v>-1.75258733007297</v>
      </c>
      <c r="G71">
        <f t="shared" si="15"/>
        <v>0.180084692685784</v>
      </c>
      <c r="H71">
        <f t="shared" si="17"/>
        <v>2</v>
      </c>
      <c r="I71">
        <f t="shared" si="18"/>
        <v>0</v>
      </c>
      <c r="J71">
        <f t="shared" si="19"/>
        <v>0</v>
      </c>
      <c r="K71">
        <f t="shared" si="20"/>
        <v>0</v>
      </c>
      <c r="L71">
        <f t="shared" si="21"/>
        <v>0</v>
      </c>
      <c r="O71">
        <v>794016000</v>
      </c>
      <c r="P71">
        <v>-1.4067552323239301</v>
      </c>
      <c r="Q71">
        <v>-1.6357996095093601</v>
      </c>
      <c r="R71">
        <v>-1.5725026373872</v>
      </c>
      <c r="S71">
        <v>-1.6240198145501801</v>
      </c>
      <c r="T71">
        <v>-1.75258733007297</v>
      </c>
      <c r="U71">
        <v>0.180084692685784</v>
      </c>
      <c r="V71">
        <v>0</v>
      </c>
      <c r="W71">
        <v>0</v>
      </c>
      <c r="X71">
        <v>0</v>
      </c>
      <c r="Y71">
        <v>0</v>
      </c>
    </row>
    <row r="72" spans="1:25" x14ac:dyDescent="0.35">
      <c r="A72" s="1">
        <v>42614</v>
      </c>
      <c r="B72">
        <f t="shared" si="16"/>
        <v>-0.97065346292959598</v>
      </c>
      <c r="C72">
        <f t="shared" si="11"/>
        <v>-1.5879752256113699</v>
      </c>
      <c r="D72">
        <f t="shared" si="12"/>
        <v>-1.4173768512570599</v>
      </c>
      <c r="E72">
        <f t="shared" si="13"/>
        <v>-1.5562262524317101</v>
      </c>
      <c r="F72">
        <f t="shared" si="14"/>
        <v>-1.90274218214539</v>
      </c>
      <c r="G72">
        <f t="shared" si="15"/>
        <v>0.48536533088834399</v>
      </c>
      <c r="H72">
        <f t="shared" si="17"/>
        <v>2</v>
      </c>
      <c r="I72">
        <f t="shared" si="18"/>
        <v>0</v>
      </c>
      <c r="J72">
        <f t="shared" si="19"/>
        <v>0</v>
      </c>
      <c r="K72">
        <f t="shared" si="20"/>
        <v>0</v>
      </c>
      <c r="L72">
        <f t="shared" si="21"/>
        <v>0</v>
      </c>
      <c r="O72">
        <v>801964800</v>
      </c>
      <c r="P72">
        <v>-0.97065346292959598</v>
      </c>
      <c r="Q72">
        <v>-1.5879752256113699</v>
      </c>
      <c r="R72">
        <v>-1.4173768512570599</v>
      </c>
      <c r="S72">
        <v>-1.5562262524317101</v>
      </c>
      <c r="T72">
        <v>-1.90274218214539</v>
      </c>
      <c r="U72">
        <v>0.48536533088834399</v>
      </c>
      <c r="V72">
        <v>0</v>
      </c>
      <c r="W72">
        <v>0</v>
      </c>
      <c r="X72">
        <v>0</v>
      </c>
      <c r="Y72">
        <v>0</v>
      </c>
    </row>
    <row r="73" spans="1:25" x14ac:dyDescent="0.35">
      <c r="A73" s="1">
        <v>42705</v>
      </c>
      <c r="B73">
        <f t="shared" si="16"/>
        <v>-2.1496764396319001</v>
      </c>
      <c r="C73">
        <f t="shared" si="11"/>
        <v>-2.2206523685642701</v>
      </c>
      <c r="D73">
        <f t="shared" si="12"/>
        <v>-2.20103799754061</v>
      </c>
      <c r="E73">
        <f t="shared" si="13"/>
        <v>-2.2170020633258298</v>
      </c>
      <c r="F73">
        <f t="shared" si="14"/>
        <v>-2.2568423726882099</v>
      </c>
      <c r="G73">
        <f t="shared" si="15"/>
        <v>5.5804375147612703E-2</v>
      </c>
      <c r="H73">
        <f t="shared" si="17"/>
        <v>2</v>
      </c>
      <c r="I73">
        <f t="shared" si="18"/>
        <v>0</v>
      </c>
      <c r="J73">
        <f t="shared" si="19"/>
        <v>0</v>
      </c>
      <c r="K73">
        <f t="shared" si="20"/>
        <v>0</v>
      </c>
      <c r="L73">
        <f t="shared" si="21"/>
        <v>0</v>
      </c>
      <c r="O73">
        <v>809913600</v>
      </c>
      <c r="P73">
        <v>-2.1496764396319001</v>
      </c>
      <c r="Q73">
        <v>-2.2206523685642701</v>
      </c>
      <c r="R73">
        <v>-2.20103799754061</v>
      </c>
      <c r="S73">
        <v>-2.2170020633258298</v>
      </c>
      <c r="T73">
        <v>-2.2568423726882099</v>
      </c>
      <c r="U73">
        <v>5.5804375147612703E-2</v>
      </c>
      <c r="V73">
        <v>0</v>
      </c>
      <c r="W73">
        <v>0</v>
      </c>
      <c r="X73">
        <v>0</v>
      </c>
      <c r="Y73">
        <v>0</v>
      </c>
    </row>
    <row r="74" spans="1:25" x14ac:dyDescent="0.35">
      <c r="A74" s="1">
        <v>42795</v>
      </c>
      <c r="B74">
        <f t="shared" si="16"/>
        <v>-2.8872852887008902</v>
      </c>
      <c r="C74">
        <f t="shared" si="11"/>
        <v>-2.5476387056646601</v>
      </c>
      <c r="D74">
        <f t="shared" si="12"/>
        <v>-2.6415008670586602</v>
      </c>
      <c r="E74">
        <f t="shared" si="13"/>
        <v>-2.5651067926611102</v>
      </c>
      <c r="F74">
        <f t="shared" si="14"/>
        <v>-2.3744558896644898</v>
      </c>
      <c r="G74">
        <f t="shared" si="15"/>
        <v>-0.26704497739414201</v>
      </c>
      <c r="H74">
        <f t="shared" si="17"/>
        <v>2</v>
      </c>
      <c r="I74">
        <f t="shared" si="18"/>
        <v>0</v>
      </c>
      <c r="J74">
        <f t="shared" si="19"/>
        <v>0</v>
      </c>
      <c r="K74">
        <f t="shared" si="20"/>
        <v>0</v>
      </c>
      <c r="L74">
        <f t="shared" si="21"/>
        <v>0</v>
      </c>
      <c r="O74">
        <v>817776000</v>
      </c>
      <c r="P74">
        <v>-2.8872852887008902</v>
      </c>
      <c r="Q74">
        <v>-2.5476387056646601</v>
      </c>
      <c r="R74">
        <v>-2.6415008670586602</v>
      </c>
      <c r="S74">
        <v>-2.5651067926611102</v>
      </c>
      <c r="T74">
        <v>-2.3744558896644898</v>
      </c>
      <c r="U74">
        <v>-0.26704497739414201</v>
      </c>
      <c r="V74">
        <v>0</v>
      </c>
      <c r="W74">
        <v>0</v>
      </c>
      <c r="X74">
        <v>0</v>
      </c>
      <c r="Y74">
        <v>0</v>
      </c>
    </row>
    <row r="75" spans="1:25" x14ac:dyDescent="0.35">
      <c r="A75" s="1">
        <v>42887</v>
      </c>
      <c r="B75">
        <f t="shared" si="16"/>
        <v>-4.0579027510033603</v>
      </c>
      <c r="C75">
        <f t="shared" si="11"/>
        <v>-3.06252353580029</v>
      </c>
      <c r="D75">
        <f t="shared" si="12"/>
        <v>-3.3375990089892098</v>
      </c>
      <c r="E75">
        <f t="shared" si="13"/>
        <v>-3.1137160741447598</v>
      </c>
      <c r="F75">
        <f t="shared" si="14"/>
        <v>-2.5549883975516798</v>
      </c>
      <c r="G75">
        <f t="shared" si="15"/>
        <v>-0.78261061143751098</v>
      </c>
      <c r="H75">
        <f t="shared" si="17"/>
        <v>2</v>
      </c>
      <c r="I75">
        <f t="shared" si="18"/>
        <v>0</v>
      </c>
      <c r="J75">
        <f t="shared" si="19"/>
        <v>0</v>
      </c>
      <c r="K75">
        <f t="shared" si="20"/>
        <v>0</v>
      </c>
      <c r="L75">
        <f t="shared" si="21"/>
        <v>0</v>
      </c>
      <c r="O75">
        <v>825638400</v>
      </c>
      <c r="P75">
        <v>-4.0579027510033603</v>
      </c>
      <c r="Q75">
        <v>-3.06252353580029</v>
      </c>
      <c r="R75">
        <v>-3.3375990089892098</v>
      </c>
      <c r="S75">
        <v>-3.1137160741447598</v>
      </c>
      <c r="T75">
        <v>-2.5549883975516798</v>
      </c>
      <c r="U75">
        <v>-0.78261061143751098</v>
      </c>
      <c r="V75">
        <v>0</v>
      </c>
      <c r="W75">
        <v>0</v>
      </c>
      <c r="X75">
        <v>0</v>
      </c>
      <c r="Y75">
        <v>0</v>
      </c>
    </row>
    <row r="76" spans="1:25" x14ac:dyDescent="0.35">
      <c r="A76" s="1">
        <v>42979</v>
      </c>
      <c r="B76">
        <f t="shared" si="16"/>
        <v>-4.5629680847280296</v>
      </c>
      <c r="C76">
        <f t="shared" si="11"/>
        <v>-3.3879203101880702</v>
      </c>
      <c r="D76">
        <f t="shared" si="12"/>
        <v>-3.7126476278418199</v>
      </c>
      <c r="E76">
        <f t="shared" si="13"/>
        <v>-3.4483532359875699</v>
      </c>
      <c r="F76">
        <f t="shared" si="14"/>
        <v>-2.7887737481632602</v>
      </c>
      <c r="G76">
        <f t="shared" si="15"/>
        <v>-0.92387387967854395</v>
      </c>
      <c r="H76">
        <f t="shared" si="17"/>
        <v>2</v>
      </c>
      <c r="I76">
        <f t="shared" si="18"/>
        <v>0</v>
      </c>
      <c r="J76">
        <f t="shared" si="19"/>
        <v>0</v>
      </c>
      <c r="K76">
        <f t="shared" si="20"/>
        <v>0</v>
      </c>
      <c r="L76">
        <f t="shared" si="21"/>
        <v>0</v>
      </c>
      <c r="O76">
        <v>833587200</v>
      </c>
      <c r="P76">
        <v>-4.5629680847280296</v>
      </c>
      <c r="Q76">
        <v>-3.3879203101880702</v>
      </c>
      <c r="R76">
        <v>-3.7126476278418199</v>
      </c>
      <c r="S76">
        <v>-3.4483532359875699</v>
      </c>
      <c r="T76">
        <v>-2.7887737481632602</v>
      </c>
      <c r="U76">
        <v>-0.92387387967854395</v>
      </c>
      <c r="V76">
        <v>0</v>
      </c>
      <c r="W76">
        <v>0</v>
      </c>
      <c r="X76">
        <v>0</v>
      </c>
      <c r="Y76">
        <v>0</v>
      </c>
    </row>
    <row r="77" spans="1:25" x14ac:dyDescent="0.35">
      <c r="A77" s="1">
        <v>43070</v>
      </c>
      <c r="B77">
        <f t="shared" si="16"/>
        <v>-5.7696546210478203</v>
      </c>
      <c r="C77">
        <f t="shared" si="11"/>
        <v>-3.6511060837234401</v>
      </c>
      <c r="D77">
        <f t="shared" si="12"/>
        <v>-4.2365721377433196</v>
      </c>
      <c r="E77">
        <f t="shared" si="13"/>
        <v>-3.76006342940153</v>
      </c>
      <c r="F77">
        <f t="shared" si="14"/>
        <v>-2.5708767516713</v>
      </c>
      <c r="G77">
        <f t="shared" si="15"/>
        <v>-1.6656953860720101</v>
      </c>
      <c r="H77">
        <f t="shared" si="17"/>
        <v>2</v>
      </c>
      <c r="I77">
        <f t="shared" si="18"/>
        <v>0</v>
      </c>
      <c r="J77">
        <f t="shared" si="19"/>
        <v>0</v>
      </c>
      <c r="K77">
        <f t="shared" si="20"/>
        <v>0</v>
      </c>
      <c r="L77">
        <f t="shared" si="21"/>
        <v>0</v>
      </c>
      <c r="O77">
        <v>841536000</v>
      </c>
      <c r="P77">
        <v>-5.7696546210478203</v>
      </c>
      <c r="Q77">
        <v>-3.6511060837234401</v>
      </c>
      <c r="R77">
        <v>-4.2365721377433196</v>
      </c>
      <c r="S77">
        <v>-3.76006342940153</v>
      </c>
      <c r="T77">
        <v>-2.5708767516713</v>
      </c>
      <c r="U77">
        <v>-1.6656953860720101</v>
      </c>
      <c r="V77">
        <v>0</v>
      </c>
      <c r="W77">
        <v>0</v>
      </c>
      <c r="X77">
        <v>0</v>
      </c>
      <c r="Y77">
        <v>0</v>
      </c>
    </row>
    <row r="78" spans="1:25" x14ac:dyDescent="0.35">
      <c r="A78" s="1">
        <v>43160</v>
      </c>
      <c r="B78">
        <f t="shared" si="16"/>
        <v>-5.1467839995865301</v>
      </c>
      <c r="C78">
        <f t="shared" si="11"/>
        <v>-3.3577259522630301</v>
      </c>
      <c r="D78">
        <f t="shared" si="12"/>
        <v>-3.8521365059630699</v>
      </c>
      <c r="E78">
        <f t="shared" si="13"/>
        <v>-3.4497375407001698</v>
      </c>
      <c r="F78">
        <f t="shared" si="14"/>
        <v>-2.4455009333812199</v>
      </c>
      <c r="G78">
        <f t="shared" si="15"/>
        <v>-1.40663557258182</v>
      </c>
      <c r="H78">
        <f t="shared" si="17"/>
        <v>2</v>
      </c>
      <c r="I78">
        <f t="shared" si="18"/>
        <v>0</v>
      </c>
      <c r="J78">
        <f t="shared" si="19"/>
        <v>0</v>
      </c>
      <c r="K78">
        <f t="shared" si="20"/>
        <v>0</v>
      </c>
      <c r="L78">
        <f t="shared" si="21"/>
        <v>0</v>
      </c>
      <c r="O78">
        <v>849398400</v>
      </c>
      <c r="P78">
        <v>-5.1467839995865301</v>
      </c>
      <c r="Q78">
        <v>-3.3577259522630301</v>
      </c>
      <c r="R78">
        <v>-3.8521365059630699</v>
      </c>
      <c r="S78">
        <v>-3.4497375407001698</v>
      </c>
      <c r="T78">
        <v>-2.4455009333812199</v>
      </c>
      <c r="U78">
        <v>-1.40663557258182</v>
      </c>
      <c r="V78">
        <v>0</v>
      </c>
      <c r="W78">
        <v>0</v>
      </c>
      <c r="X78">
        <v>0</v>
      </c>
      <c r="Y78">
        <v>0</v>
      </c>
    </row>
    <row r="79" spans="1:25" x14ac:dyDescent="0.35">
      <c r="A79" s="1">
        <v>43252</v>
      </c>
      <c r="B79">
        <f t="shared" si="16"/>
        <v>-4.7646081026009499</v>
      </c>
      <c r="C79">
        <f t="shared" si="11"/>
        <v>-3.38006461001414</v>
      </c>
      <c r="D79">
        <f t="shared" si="12"/>
        <v>-3.7626865801708398</v>
      </c>
      <c r="E79">
        <f t="shared" si="13"/>
        <v>-3.4512719395939602</v>
      </c>
      <c r="F79">
        <f t="shared" si="14"/>
        <v>-2.6740980173945399</v>
      </c>
      <c r="G79">
        <f t="shared" si="15"/>
        <v>-1.0885885627762799</v>
      </c>
      <c r="H79">
        <f t="shared" si="17"/>
        <v>2</v>
      </c>
      <c r="I79">
        <f t="shared" si="18"/>
        <v>0</v>
      </c>
      <c r="J79">
        <f t="shared" si="19"/>
        <v>0</v>
      </c>
      <c r="K79">
        <f t="shared" si="20"/>
        <v>0</v>
      </c>
      <c r="L79">
        <f t="shared" si="21"/>
        <v>0</v>
      </c>
      <c r="O79">
        <v>857174400</v>
      </c>
      <c r="P79">
        <v>-4.7646081026009499</v>
      </c>
      <c r="Q79">
        <v>-3.38006461001414</v>
      </c>
      <c r="R79">
        <v>-3.7626865801708398</v>
      </c>
      <c r="S79">
        <v>-3.4512719395939602</v>
      </c>
      <c r="T79">
        <v>-2.6740980173945399</v>
      </c>
      <c r="U79">
        <v>-1.0885885627762799</v>
      </c>
      <c r="V79">
        <v>0</v>
      </c>
      <c r="W79">
        <v>0</v>
      </c>
      <c r="X79">
        <v>0</v>
      </c>
      <c r="Y79">
        <v>0</v>
      </c>
    </row>
    <row r="80" spans="1:25" x14ac:dyDescent="0.35">
      <c r="A80" s="1">
        <v>43344</v>
      </c>
      <c r="B80">
        <f t="shared" si="16"/>
        <v>-4.8550184830347298</v>
      </c>
      <c r="C80">
        <f t="shared" si="11"/>
        <v>-3.3290849862713299</v>
      </c>
      <c r="D80">
        <f t="shared" si="12"/>
        <v>-3.7507804288383602</v>
      </c>
      <c r="E80">
        <f t="shared" si="13"/>
        <v>-3.4075640300880798</v>
      </c>
      <c r="F80">
        <f t="shared" si="14"/>
        <v>-2.5510248696754201</v>
      </c>
      <c r="G80">
        <f t="shared" si="15"/>
        <v>-1.1997555591629301</v>
      </c>
      <c r="H80">
        <f t="shared" si="17"/>
        <v>2</v>
      </c>
      <c r="I80">
        <f t="shared" si="18"/>
        <v>0</v>
      </c>
      <c r="J80">
        <f t="shared" si="19"/>
        <v>0</v>
      </c>
      <c r="K80">
        <f t="shared" si="20"/>
        <v>0</v>
      </c>
      <c r="L80">
        <f t="shared" si="21"/>
        <v>0</v>
      </c>
      <c r="O80">
        <v>865123200</v>
      </c>
      <c r="P80">
        <v>-4.8550184830347298</v>
      </c>
      <c r="Q80">
        <v>-3.3290849862713299</v>
      </c>
      <c r="R80">
        <v>-3.7507804288383602</v>
      </c>
      <c r="S80">
        <v>-3.4075640300880798</v>
      </c>
      <c r="T80">
        <v>-2.5510248696754201</v>
      </c>
      <c r="U80">
        <v>-1.1997555591629301</v>
      </c>
      <c r="V80">
        <v>0</v>
      </c>
      <c r="W80">
        <v>0</v>
      </c>
      <c r="X80">
        <v>0</v>
      </c>
      <c r="Y80">
        <v>0</v>
      </c>
    </row>
    <row r="81" spans="1:25" x14ac:dyDescent="0.35">
      <c r="A81" s="1">
        <v>43435</v>
      </c>
      <c r="B81">
        <f t="shared" si="16"/>
        <v>-5.7766372109263404</v>
      </c>
      <c r="C81">
        <f t="shared" si="11"/>
        <v>-3.68264806805694</v>
      </c>
      <c r="D81">
        <f t="shared" si="12"/>
        <v>-4.2613270735351696</v>
      </c>
      <c r="E81">
        <f t="shared" si="13"/>
        <v>-3.7903423195060699</v>
      </c>
      <c r="F81">
        <f t="shared" si="14"/>
        <v>-2.6149413559968799</v>
      </c>
      <c r="G81">
        <f t="shared" si="15"/>
        <v>-1.6463857175382699</v>
      </c>
      <c r="H81">
        <f t="shared" si="17"/>
        <v>2</v>
      </c>
      <c r="I81">
        <f t="shared" si="18"/>
        <v>0</v>
      </c>
      <c r="J81">
        <f t="shared" si="19"/>
        <v>0</v>
      </c>
      <c r="K81">
        <f t="shared" si="20"/>
        <v>0</v>
      </c>
      <c r="L81">
        <f t="shared" si="21"/>
        <v>0</v>
      </c>
      <c r="O81">
        <v>873072000</v>
      </c>
      <c r="P81">
        <v>-5.7766372109263404</v>
      </c>
      <c r="Q81">
        <v>-3.68264806805694</v>
      </c>
      <c r="R81">
        <v>-4.2613270735351696</v>
      </c>
      <c r="S81">
        <v>-3.7903423195060699</v>
      </c>
      <c r="T81">
        <v>-2.6149413559968799</v>
      </c>
      <c r="U81">
        <v>-1.6463857175382699</v>
      </c>
      <c r="V81">
        <v>0</v>
      </c>
      <c r="W81">
        <v>0</v>
      </c>
      <c r="X81">
        <v>0</v>
      </c>
      <c r="Y81">
        <v>0</v>
      </c>
    </row>
    <row r="82" spans="1:25" x14ac:dyDescent="0.35">
      <c r="A82" s="1">
        <v>43525</v>
      </c>
      <c r="B82">
        <f t="shared" si="16"/>
        <v>-6.2212208676390004</v>
      </c>
      <c r="C82">
        <f t="shared" si="11"/>
        <v>-3.7322313035855599</v>
      </c>
      <c r="D82">
        <f t="shared" si="12"/>
        <v>-4.4200696386012197</v>
      </c>
      <c r="E82">
        <f t="shared" si="13"/>
        <v>-3.8602405002321798</v>
      </c>
      <c r="F82">
        <f t="shared" si="14"/>
        <v>-2.4631173385791598</v>
      </c>
      <c r="G82">
        <f t="shared" si="15"/>
        <v>-1.9569523000220601</v>
      </c>
      <c r="H82">
        <f t="shared" si="17"/>
        <v>2</v>
      </c>
      <c r="I82">
        <f t="shared" si="18"/>
        <v>0</v>
      </c>
      <c r="J82">
        <f t="shared" si="19"/>
        <v>0</v>
      </c>
      <c r="K82">
        <f t="shared" si="20"/>
        <v>0</v>
      </c>
      <c r="L82">
        <f t="shared" si="21"/>
        <v>0</v>
      </c>
      <c r="O82">
        <v>880934400</v>
      </c>
      <c r="P82">
        <v>-6.2212208676390004</v>
      </c>
      <c r="Q82">
        <v>-3.7322313035855599</v>
      </c>
      <c r="R82">
        <v>-4.4200696386012197</v>
      </c>
      <c r="S82">
        <v>-3.8602405002321798</v>
      </c>
      <c r="T82">
        <v>-2.4631173385791598</v>
      </c>
      <c r="U82">
        <v>-1.9569523000220601</v>
      </c>
      <c r="V82">
        <v>0</v>
      </c>
      <c r="W82">
        <v>0</v>
      </c>
      <c r="X82">
        <v>0</v>
      </c>
      <c r="Y82">
        <v>0</v>
      </c>
    </row>
    <row r="83" spans="1:25" x14ac:dyDescent="0.35">
      <c r="A83" s="1">
        <v>43617</v>
      </c>
      <c r="B83">
        <f t="shared" si="16"/>
        <v>-6.5383793929629297</v>
      </c>
      <c r="C83">
        <f t="shared" si="11"/>
        <v>-4.36836254782484</v>
      </c>
      <c r="D83">
        <f t="shared" si="12"/>
        <v>-4.96805199420601</v>
      </c>
      <c r="E83">
        <f t="shared" si="13"/>
        <v>-4.4799669181554798</v>
      </c>
      <c r="F83">
        <f t="shared" si="14"/>
        <v>-3.26188997669085</v>
      </c>
      <c r="G83">
        <f t="shared" si="15"/>
        <v>-1.70616201751513</v>
      </c>
      <c r="H83">
        <f t="shared" si="17"/>
        <v>2</v>
      </c>
      <c r="I83">
        <f t="shared" si="18"/>
        <v>0</v>
      </c>
      <c r="J83">
        <f t="shared" si="19"/>
        <v>0</v>
      </c>
      <c r="K83">
        <f t="shared" si="20"/>
        <v>0</v>
      </c>
      <c r="L83">
        <f t="shared" si="21"/>
        <v>0</v>
      </c>
      <c r="O83">
        <v>888710400</v>
      </c>
      <c r="P83">
        <v>-6.5383793929629297</v>
      </c>
      <c r="Q83">
        <v>-4.36836254782484</v>
      </c>
      <c r="R83">
        <v>-4.96805199420601</v>
      </c>
      <c r="S83">
        <v>-4.4799669181554798</v>
      </c>
      <c r="T83">
        <v>-3.26188997669085</v>
      </c>
      <c r="U83">
        <v>-1.70616201751513</v>
      </c>
      <c r="V83">
        <v>0</v>
      </c>
      <c r="W83">
        <v>0</v>
      </c>
      <c r="X83">
        <v>0</v>
      </c>
      <c r="Y83">
        <v>0</v>
      </c>
    </row>
    <row r="84" spans="1:25" x14ac:dyDescent="0.35">
      <c r="A84" s="1">
        <v>43709</v>
      </c>
      <c r="B84">
        <f t="shared" si="16"/>
        <v>-7.00382885048323</v>
      </c>
      <c r="C84">
        <f t="shared" si="11"/>
        <v>-4.3901105494201103</v>
      </c>
      <c r="D84">
        <f t="shared" si="12"/>
        <v>-5.1124179750388201</v>
      </c>
      <c r="E84">
        <f t="shared" si="13"/>
        <v>-4.5245345682314904</v>
      </c>
      <c r="F84">
        <f t="shared" si="14"/>
        <v>-3.0573984945451298</v>
      </c>
      <c r="G84">
        <f t="shared" si="15"/>
        <v>-2.0550194804936699</v>
      </c>
      <c r="H84">
        <f t="shared" si="17"/>
        <v>2</v>
      </c>
      <c r="I84">
        <f t="shared" si="18"/>
        <v>0</v>
      </c>
      <c r="J84">
        <f t="shared" si="19"/>
        <v>0</v>
      </c>
      <c r="K84">
        <f t="shared" si="20"/>
        <v>0</v>
      </c>
      <c r="L84">
        <f t="shared" si="21"/>
        <v>0</v>
      </c>
      <c r="O84">
        <v>896659200</v>
      </c>
      <c r="P84">
        <v>-7.00382885048323</v>
      </c>
      <c r="Q84">
        <v>-4.3901105494201103</v>
      </c>
      <c r="R84">
        <v>-5.1124179750388201</v>
      </c>
      <c r="S84">
        <v>-4.5245345682314904</v>
      </c>
      <c r="T84">
        <v>-3.0573984945451298</v>
      </c>
      <c r="U84">
        <v>-2.0550194804936699</v>
      </c>
      <c r="V84">
        <v>0</v>
      </c>
      <c r="W84">
        <v>0</v>
      </c>
      <c r="X84">
        <v>0</v>
      </c>
      <c r="Y84">
        <v>0</v>
      </c>
    </row>
    <row r="85" spans="1:25" x14ac:dyDescent="0.35">
      <c r="A85" s="1">
        <v>43800</v>
      </c>
      <c r="B85">
        <f t="shared" si="16"/>
        <v>-7.6014027573562801</v>
      </c>
      <c r="C85">
        <f t="shared" si="11"/>
        <v>-4.5177960508688901</v>
      </c>
      <c r="D85">
        <f t="shared" si="12"/>
        <v>-5.3699582830718002</v>
      </c>
      <c r="E85">
        <f t="shared" si="13"/>
        <v>-4.6763865178488899</v>
      </c>
      <c r="F85">
        <f t="shared" si="14"/>
        <v>-2.94549201620779</v>
      </c>
      <c r="G85">
        <f t="shared" si="15"/>
        <v>-2.4244662668639898</v>
      </c>
      <c r="H85">
        <f t="shared" si="17"/>
        <v>2</v>
      </c>
      <c r="I85">
        <f t="shared" si="18"/>
        <v>0</v>
      </c>
      <c r="J85">
        <f t="shared" si="19"/>
        <v>0</v>
      </c>
      <c r="K85">
        <f t="shared" si="20"/>
        <v>0</v>
      </c>
      <c r="L85">
        <f t="shared" si="21"/>
        <v>0</v>
      </c>
      <c r="O85">
        <v>904608000</v>
      </c>
      <c r="P85">
        <v>-7.6014027573562801</v>
      </c>
      <c r="Q85">
        <v>-4.5177960508688901</v>
      </c>
      <c r="R85">
        <v>-5.3699582830718002</v>
      </c>
      <c r="S85">
        <v>-4.6763865178488899</v>
      </c>
      <c r="T85">
        <v>-2.94549201620779</v>
      </c>
      <c r="U85">
        <v>-2.4244662668639898</v>
      </c>
      <c r="V85">
        <v>0</v>
      </c>
      <c r="W85">
        <v>0</v>
      </c>
      <c r="X85">
        <v>0</v>
      </c>
      <c r="Y85">
        <v>0</v>
      </c>
    </row>
    <row r="86" spans="1:25" x14ac:dyDescent="0.35">
      <c r="A86" s="1">
        <v>43891</v>
      </c>
      <c r="B86">
        <f t="shared" si="16"/>
        <v>-8.2340193346855095</v>
      </c>
      <c r="C86">
        <f t="shared" si="11"/>
        <v>-4.7800625241918704</v>
      </c>
      <c r="D86">
        <f t="shared" si="12"/>
        <v>-5.73457191067443</v>
      </c>
      <c r="E86">
        <f t="shared" si="13"/>
        <v>-4.9577001659678404</v>
      </c>
      <c r="F86">
        <f t="shared" si="14"/>
        <v>-3.0189202172760399</v>
      </c>
      <c r="G86">
        <f t="shared" si="15"/>
        <v>-2.7156516933983599</v>
      </c>
      <c r="H86">
        <f t="shared" si="17"/>
        <v>2</v>
      </c>
      <c r="I86">
        <f t="shared" si="18"/>
        <v>0</v>
      </c>
      <c r="J86">
        <f t="shared" si="19"/>
        <v>0</v>
      </c>
      <c r="K86">
        <f t="shared" si="20"/>
        <v>0</v>
      </c>
      <c r="L86">
        <f t="shared" si="21"/>
        <v>0</v>
      </c>
      <c r="O86">
        <v>912470400</v>
      </c>
      <c r="P86">
        <v>-8.2340193346855095</v>
      </c>
      <c r="Q86">
        <v>-4.7800625241918704</v>
      </c>
      <c r="R86">
        <v>-5.73457191067443</v>
      </c>
      <c r="S86">
        <v>-4.9577001659678404</v>
      </c>
      <c r="T86">
        <v>-3.0189202172760399</v>
      </c>
      <c r="U86">
        <v>-2.7156516933983599</v>
      </c>
      <c r="V86">
        <v>0</v>
      </c>
      <c r="W86">
        <v>0</v>
      </c>
      <c r="X86">
        <v>0</v>
      </c>
      <c r="Y86">
        <v>0</v>
      </c>
    </row>
    <row r="87" spans="1:25" x14ac:dyDescent="0.35">
      <c r="A87" s="1">
        <v>43983</v>
      </c>
      <c r="B87">
        <f t="shared" si="16"/>
        <v>-8.3649477447925307</v>
      </c>
      <c r="C87">
        <f t="shared" si="11"/>
        <v>-4.7188480363119796</v>
      </c>
      <c r="D87">
        <f t="shared" si="12"/>
        <v>-5.7264565811619104</v>
      </c>
      <c r="E87">
        <f t="shared" si="13"/>
        <v>-4.9063676231020699</v>
      </c>
      <c r="F87">
        <f t="shared" si="14"/>
        <v>-2.8597337496684001</v>
      </c>
      <c r="G87">
        <f t="shared" si="15"/>
        <v>-2.8667228314934898</v>
      </c>
      <c r="H87">
        <f t="shared" si="17"/>
        <v>2</v>
      </c>
      <c r="I87">
        <f t="shared" si="18"/>
        <v>0</v>
      </c>
      <c r="J87">
        <f t="shared" si="19"/>
        <v>0</v>
      </c>
      <c r="K87">
        <f t="shared" si="20"/>
        <v>0</v>
      </c>
      <c r="L87">
        <f t="shared" si="21"/>
        <v>0</v>
      </c>
      <c r="O87">
        <v>920246400</v>
      </c>
      <c r="P87">
        <v>-8.3649477447925307</v>
      </c>
      <c r="Q87">
        <v>-4.7188480363119796</v>
      </c>
      <c r="R87">
        <v>-5.7264565811619104</v>
      </c>
      <c r="S87">
        <v>-4.9063676231020699</v>
      </c>
      <c r="T87">
        <v>-2.8597337496684001</v>
      </c>
      <c r="U87">
        <v>-2.8667228314934898</v>
      </c>
      <c r="V87">
        <v>0</v>
      </c>
      <c r="W87">
        <v>0</v>
      </c>
      <c r="X87">
        <v>0</v>
      </c>
      <c r="Y87">
        <v>0</v>
      </c>
    </row>
    <row r="88" spans="1:25" x14ac:dyDescent="0.35">
      <c r="A88" s="1">
        <v>44075</v>
      </c>
      <c r="B88">
        <f t="shared" si="16"/>
        <v>-5.6112354862843903</v>
      </c>
      <c r="C88">
        <f t="shared" si="11"/>
        <v>-4.2025568467828798</v>
      </c>
      <c r="D88">
        <f t="shared" si="12"/>
        <v>-3.8112130978382099</v>
      </c>
      <c r="E88">
        <f t="shared" si="13"/>
        <v>-3.79125880347241</v>
      </c>
      <c r="F88">
        <f t="shared" si="14"/>
        <v>-2.2450477408356502</v>
      </c>
      <c r="G88">
        <f t="shared" si="15"/>
        <v>-1.56616535700255</v>
      </c>
      <c r="H88">
        <f t="shared" si="17"/>
        <v>2</v>
      </c>
      <c r="I88">
        <f t="shared" si="18"/>
        <v>0</v>
      </c>
      <c r="J88">
        <f t="shared" si="19"/>
        <v>0</v>
      </c>
      <c r="K88">
        <f t="shared" si="20"/>
        <v>0</v>
      </c>
      <c r="L88">
        <f t="shared" si="21"/>
        <v>0</v>
      </c>
      <c r="O88">
        <v>928195200</v>
      </c>
      <c r="P88">
        <v>-5.6112354862843903</v>
      </c>
      <c r="Q88">
        <v>-4.2025568467828798</v>
      </c>
      <c r="R88">
        <v>-3.8112130978382099</v>
      </c>
      <c r="S88">
        <v>-3.79125880347241</v>
      </c>
      <c r="T88">
        <v>-2.2450477408356502</v>
      </c>
      <c r="U88">
        <v>-1.56616535700255</v>
      </c>
      <c r="V88">
        <v>0</v>
      </c>
      <c r="W88">
        <v>0</v>
      </c>
      <c r="X88">
        <v>0</v>
      </c>
      <c r="Y88">
        <v>0</v>
      </c>
    </row>
    <row r="89" spans="1:25" x14ac:dyDescent="0.35">
      <c r="A89" s="1">
        <v>44166</v>
      </c>
      <c r="B89">
        <f t="shared" si="16"/>
        <v>-4.70593258549592</v>
      </c>
      <c r="C89">
        <f t="shared" si="11"/>
        <v>-3.39622114123677</v>
      </c>
      <c r="D89">
        <f t="shared" si="12"/>
        <v>-3.1644222009594598</v>
      </c>
      <c r="E89">
        <f t="shared" si="13"/>
        <v>-2.8676011816538902</v>
      </c>
      <c r="F89">
        <f t="shared" si="14"/>
        <v>-1.8525491802554901</v>
      </c>
      <c r="G89">
        <f t="shared" si="15"/>
        <v>-1.3118730207039599</v>
      </c>
      <c r="H89">
        <f t="shared" si="17"/>
        <v>2</v>
      </c>
      <c r="I89">
        <f t="shared" si="18"/>
        <v>0</v>
      </c>
      <c r="J89">
        <f t="shared" si="19"/>
        <v>0</v>
      </c>
      <c r="K89">
        <f t="shared" si="20"/>
        <v>0</v>
      </c>
      <c r="L89">
        <f t="shared" si="21"/>
        <v>0</v>
      </c>
      <c r="O89">
        <v>936144000</v>
      </c>
      <c r="P89">
        <v>-4.70593258549592</v>
      </c>
      <c r="Q89">
        <v>-3.39622114123677</v>
      </c>
      <c r="R89">
        <v>-3.1644222009594598</v>
      </c>
      <c r="S89">
        <v>-2.8676011816538902</v>
      </c>
      <c r="T89">
        <v>-1.8525491802554901</v>
      </c>
      <c r="U89">
        <v>-1.3118730207039599</v>
      </c>
      <c r="V89">
        <v>0</v>
      </c>
      <c r="W89">
        <v>0</v>
      </c>
      <c r="X89">
        <v>0</v>
      </c>
      <c r="Y89">
        <v>0</v>
      </c>
    </row>
    <row r="90" spans="1:25" x14ac:dyDescent="0.35">
      <c r="A90" s="1">
        <v>44256</v>
      </c>
      <c r="B90">
        <f t="shared" si="16"/>
        <v>-2.33545471608682</v>
      </c>
      <c r="C90">
        <f t="shared" si="11"/>
        <v>-2.7497558511692599</v>
      </c>
      <c r="D90">
        <f t="shared" si="12"/>
        <v>-1.4297631945923801</v>
      </c>
      <c r="E90">
        <f t="shared" si="13"/>
        <v>-0.67113363336828602</v>
      </c>
      <c r="F90">
        <f t="shared" si="14"/>
        <v>-1.6322710534448901</v>
      </c>
      <c r="G90">
        <f t="shared" si="15"/>
        <v>0.20250785885253</v>
      </c>
      <c r="H90">
        <f t="shared" si="17"/>
        <v>2</v>
      </c>
      <c r="I90">
        <f t="shared" si="18"/>
        <v>0</v>
      </c>
      <c r="J90">
        <f t="shared" si="19"/>
        <v>0</v>
      </c>
      <c r="K90">
        <f t="shared" si="20"/>
        <v>0</v>
      </c>
      <c r="L90">
        <f t="shared" si="21"/>
        <v>0</v>
      </c>
      <c r="O90">
        <v>944006400</v>
      </c>
      <c r="P90">
        <v>-2.33545471608682</v>
      </c>
      <c r="Q90">
        <v>-2.7497558511692599</v>
      </c>
      <c r="R90">
        <v>-1.4297631945923801</v>
      </c>
      <c r="S90">
        <v>-0.67113363336828602</v>
      </c>
      <c r="T90">
        <v>-1.6322710534448901</v>
      </c>
      <c r="U90">
        <v>0.20250785885253</v>
      </c>
      <c r="V90">
        <v>0</v>
      </c>
      <c r="W90">
        <v>0</v>
      </c>
      <c r="X90">
        <v>0</v>
      </c>
      <c r="Y90">
        <v>0</v>
      </c>
    </row>
    <row r="91" spans="1:25" x14ac:dyDescent="0.35">
      <c r="A91" s="1">
        <v>44348</v>
      </c>
      <c r="B91">
        <f t="shared" si="16"/>
        <v>-2.6346518016547198</v>
      </c>
      <c r="C91">
        <f t="shared" si="11"/>
        <v>-2.5312742126461401</v>
      </c>
      <c r="D91">
        <f t="shared" si="12"/>
        <v>-1.9973120341750299</v>
      </c>
      <c r="E91">
        <f t="shared" si="13"/>
        <v>-2.1729515492626201</v>
      </c>
      <c r="F91">
        <f t="shared" si="14"/>
        <v>-1.7172304440435999</v>
      </c>
      <c r="G91">
        <f t="shared" si="15"/>
        <v>-0.28008159013142098</v>
      </c>
      <c r="H91">
        <f t="shared" si="17"/>
        <v>2</v>
      </c>
      <c r="I91">
        <f t="shared" si="18"/>
        <v>0</v>
      </c>
      <c r="J91">
        <f t="shared" si="19"/>
        <v>0</v>
      </c>
      <c r="K91">
        <f t="shared" si="20"/>
        <v>0</v>
      </c>
      <c r="L91">
        <f t="shared" si="21"/>
        <v>0</v>
      </c>
      <c r="O91">
        <v>951868800</v>
      </c>
      <c r="P91">
        <v>-2.6346518016547198</v>
      </c>
      <c r="Q91">
        <v>-2.5312742126461401</v>
      </c>
      <c r="R91">
        <v>-1.9973120341750299</v>
      </c>
      <c r="S91">
        <v>-2.1729515492626201</v>
      </c>
      <c r="T91">
        <v>-1.7172304440435999</v>
      </c>
      <c r="U91">
        <v>-0.28008159013142098</v>
      </c>
      <c r="V91">
        <v>0</v>
      </c>
      <c r="W91">
        <v>0</v>
      </c>
      <c r="X91">
        <v>0</v>
      </c>
      <c r="Y91">
        <v>0</v>
      </c>
    </row>
    <row r="92" spans="1:25" x14ac:dyDescent="0.35">
      <c r="A92" s="1">
        <v>44440</v>
      </c>
      <c r="B92">
        <f t="shared" si="16"/>
        <v>-1.5229571694836599</v>
      </c>
      <c r="C92">
        <f t="shared" si="11"/>
        <v>-2.1435249289072602</v>
      </c>
      <c r="D92">
        <f t="shared" si="12"/>
        <v>-0.93789304610845903</v>
      </c>
      <c r="E92">
        <f t="shared" si="13"/>
        <v>-0.85343610837307404</v>
      </c>
      <c r="F92">
        <f t="shared" si="14"/>
        <v>-1.70478410000187</v>
      </c>
      <c r="G92">
        <f t="shared" si="15"/>
        <v>0.76689105389343204</v>
      </c>
      <c r="H92">
        <f t="shared" si="17"/>
        <v>2</v>
      </c>
      <c r="I92">
        <f t="shared" si="18"/>
        <v>0</v>
      </c>
      <c r="J92">
        <f t="shared" si="19"/>
        <v>0</v>
      </c>
      <c r="K92">
        <f t="shared" si="20"/>
        <v>0</v>
      </c>
      <c r="L92">
        <f t="shared" si="21"/>
        <v>0</v>
      </c>
      <c r="O92">
        <v>959817600</v>
      </c>
      <c r="P92">
        <v>-1.5229571694836599</v>
      </c>
      <c r="Q92">
        <v>-2.1435249289072602</v>
      </c>
      <c r="R92">
        <v>-0.93789304610845903</v>
      </c>
      <c r="S92">
        <v>-0.85343610837307404</v>
      </c>
      <c r="T92">
        <v>-1.70478410000187</v>
      </c>
      <c r="U92">
        <v>0.76689105389343204</v>
      </c>
      <c r="V92">
        <v>0</v>
      </c>
      <c r="W92">
        <v>0</v>
      </c>
      <c r="X92">
        <v>0</v>
      </c>
      <c r="Y92">
        <v>0</v>
      </c>
    </row>
    <row r="93" spans="1:25" x14ac:dyDescent="0.35">
      <c r="A93" s="1">
        <v>44531</v>
      </c>
      <c r="B93">
        <f t="shared" si="16"/>
        <v>3.8732754143330703E-2</v>
      </c>
      <c r="C93">
        <f t="shared" si="11"/>
        <v>-2.0159752315391102</v>
      </c>
      <c r="D93">
        <f t="shared" si="12"/>
        <v>0.291998449156678</v>
      </c>
      <c r="E93">
        <f t="shared" si="13"/>
        <v>0.15196321514414901</v>
      </c>
      <c r="F93">
        <f t="shared" si="14"/>
        <v>-1.6368847028539999</v>
      </c>
      <c r="G93">
        <f t="shared" si="15"/>
        <v>1.9288831520106999</v>
      </c>
      <c r="H93">
        <f t="shared" si="17"/>
        <v>2</v>
      </c>
      <c r="I93">
        <f t="shared" si="18"/>
        <v>0</v>
      </c>
      <c r="J93">
        <f t="shared" si="19"/>
        <v>0</v>
      </c>
      <c r="K93">
        <f t="shared" si="20"/>
        <v>0</v>
      </c>
      <c r="L93">
        <f t="shared" si="21"/>
        <v>0</v>
      </c>
      <c r="O93">
        <v>967766400</v>
      </c>
      <c r="P93">
        <v>3.8732754143330703E-2</v>
      </c>
      <c r="Q93">
        <v>-2.0159752315391102</v>
      </c>
      <c r="R93">
        <v>0.291998449156678</v>
      </c>
      <c r="S93">
        <v>0.15196321514414901</v>
      </c>
      <c r="T93">
        <v>-1.6368847028539999</v>
      </c>
      <c r="U93">
        <v>1.9288831520106999</v>
      </c>
      <c r="V93">
        <v>0</v>
      </c>
      <c r="W93">
        <v>0</v>
      </c>
      <c r="X93">
        <v>0</v>
      </c>
      <c r="Y93">
        <v>0</v>
      </c>
    </row>
    <row r="94" spans="1:25" x14ac:dyDescent="0.35">
      <c r="A94" s="1">
        <v>44621</v>
      </c>
      <c r="B94">
        <f t="shared" si="16"/>
        <v>0.38159226262215301</v>
      </c>
      <c r="C94">
        <f t="shared" si="11"/>
        <v>-1.8583262998830601</v>
      </c>
      <c r="D94">
        <f t="shared" si="12"/>
        <v>0.33061564878398497</v>
      </c>
      <c r="E94">
        <f t="shared" si="13"/>
        <v>-6.2732978594748495E-2</v>
      </c>
      <c r="F94">
        <f t="shared" si="14"/>
        <v>-1.7498391322633799</v>
      </c>
      <c r="G94">
        <f t="shared" si="15"/>
        <v>2.0804547810473899</v>
      </c>
      <c r="H94">
        <f t="shared" si="17"/>
        <v>2</v>
      </c>
      <c r="I94">
        <f t="shared" si="18"/>
        <v>0</v>
      </c>
      <c r="J94">
        <f t="shared" si="19"/>
        <v>0</v>
      </c>
      <c r="K94">
        <f t="shared" si="20"/>
        <v>0</v>
      </c>
      <c r="L94">
        <f t="shared" si="21"/>
        <v>0</v>
      </c>
      <c r="O94">
        <v>975628800</v>
      </c>
      <c r="P94">
        <v>0.38159226262215301</v>
      </c>
      <c r="Q94">
        <v>-1.8583262998830601</v>
      </c>
      <c r="R94">
        <v>0.33061564878398497</v>
      </c>
      <c r="S94">
        <v>-6.2732978594748495E-2</v>
      </c>
      <c r="T94">
        <v>-1.7498391322633799</v>
      </c>
      <c r="U94">
        <v>2.0804547810473899</v>
      </c>
      <c r="V94">
        <v>0</v>
      </c>
      <c r="W94">
        <v>0</v>
      </c>
      <c r="X94">
        <v>0</v>
      </c>
      <c r="Y94">
        <v>0</v>
      </c>
    </row>
    <row r="95" spans="1:25" x14ac:dyDescent="0.35">
      <c r="A95" s="1">
        <v>44713</v>
      </c>
      <c r="B95">
        <f t="shared" si="16"/>
        <v>1.4341663884123499</v>
      </c>
      <c r="C95">
        <f t="shared" si="11"/>
        <v>-1.65112670593988</v>
      </c>
      <c r="D95">
        <f t="shared" si="12"/>
        <v>0.98744708513056101</v>
      </c>
      <c r="E95">
        <f t="shared" si="13"/>
        <v>0.20037733005174699</v>
      </c>
      <c r="F95">
        <f t="shared" si="14"/>
        <v>-1.7728922802746601</v>
      </c>
      <c r="G95">
        <f t="shared" si="15"/>
        <v>2.7603393654052399</v>
      </c>
      <c r="H95">
        <f t="shared" si="17"/>
        <v>2</v>
      </c>
      <c r="I95">
        <f t="shared" si="18"/>
        <v>0</v>
      </c>
      <c r="J95">
        <f t="shared" si="19"/>
        <v>0</v>
      </c>
      <c r="K95">
        <f t="shared" si="20"/>
        <v>0</v>
      </c>
      <c r="L95">
        <f t="shared" si="21"/>
        <v>0</v>
      </c>
      <c r="O95">
        <v>983404800</v>
      </c>
      <c r="P95">
        <v>1.4341663884123499</v>
      </c>
      <c r="Q95">
        <v>-1.65112670593988</v>
      </c>
      <c r="R95">
        <v>0.98744708513056101</v>
      </c>
      <c r="S95">
        <v>0.20037733005174699</v>
      </c>
      <c r="T95">
        <v>-1.7728922802746601</v>
      </c>
      <c r="U95">
        <v>2.7603393654052399</v>
      </c>
      <c r="V95">
        <v>0</v>
      </c>
      <c r="W95">
        <v>0</v>
      </c>
      <c r="X95">
        <v>0</v>
      </c>
      <c r="Y95">
        <v>0</v>
      </c>
    </row>
    <row r="96" spans="1:25" x14ac:dyDescent="0.35">
      <c r="A96" s="1">
        <v>44805</v>
      </c>
      <c r="B96">
        <f t="shared" si="16"/>
        <v>2.8265534371930299</v>
      </c>
      <c r="C96">
        <f t="shared" si="11"/>
        <v>-1.2056828987630801</v>
      </c>
      <c r="D96">
        <f t="shared" si="12"/>
        <v>2.03343590708797</v>
      </c>
      <c r="E96">
        <f t="shared" si="13"/>
        <v>0.69429101020788597</v>
      </c>
      <c r="F96">
        <f t="shared" si="14"/>
        <v>-1.6070343155100599</v>
      </c>
      <c r="G96">
        <f t="shared" si="15"/>
        <v>3.6404702225980499</v>
      </c>
      <c r="H96">
        <f t="shared" si="17"/>
        <v>2</v>
      </c>
      <c r="I96">
        <f t="shared" si="18"/>
        <v>0.258297949122821</v>
      </c>
      <c r="J96">
        <f t="shared" si="19"/>
        <v>0</v>
      </c>
      <c r="K96">
        <f t="shared" si="20"/>
        <v>1.04487209649899E-2</v>
      </c>
      <c r="L96">
        <f t="shared" si="21"/>
        <v>0</v>
      </c>
      <c r="O96">
        <v>991353600</v>
      </c>
      <c r="P96">
        <v>2.8265534371930299</v>
      </c>
      <c r="Q96">
        <v>-1.2056828987630801</v>
      </c>
      <c r="R96">
        <v>2.03343590708797</v>
      </c>
      <c r="S96">
        <v>0.69429101020788597</v>
      </c>
      <c r="T96">
        <v>-1.6070343155100599</v>
      </c>
      <c r="U96">
        <v>3.6404702225980499</v>
      </c>
      <c r="V96">
        <v>0.258297949122821</v>
      </c>
      <c r="W96">
        <v>0</v>
      </c>
      <c r="X96">
        <v>1.04487209649899E-2</v>
      </c>
      <c r="Y96">
        <v>0</v>
      </c>
    </row>
    <row r="97" spans="1:25" x14ac:dyDescent="0.35">
      <c r="A97" s="1">
        <v>44896</v>
      </c>
      <c r="B97">
        <f t="shared" si="16"/>
        <v>3.0294350537236499</v>
      </c>
      <c r="C97">
        <f t="shared" si="11"/>
        <v>-1.4062059935396001</v>
      </c>
      <c r="D97">
        <f t="shared" si="12"/>
        <v>1.9010994255134499</v>
      </c>
      <c r="E97">
        <f t="shared" si="13"/>
        <v>0.34123283687717998</v>
      </c>
      <c r="F97">
        <f t="shared" si="14"/>
        <v>-1.5517009860434201</v>
      </c>
      <c r="G97">
        <f t="shared" si="15"/>
        <v>3.4528004115568902</v>
      </c>
      <c r="H97">
        <f t="shared" si="17"/>
        <v>2</v>
      </c>
      <c r="I97">
        <f t="shared" si="18"/>
        <v>0.32169845428864202</v>
      </c>
      <c r="J97">
        <f t="shared" si="19"/>
        <v>0</v>
      </c>
      <c r="K97">
        <f t="shared" si="20"/>
        <v>0</v>
      </c>
      <c r="L97">
        <f t="shared" si="21"/>
        <v>0</v>
      </c>
      <c r="O97">
        <v>999302400</v>
      </c>
      <c r="P97">
        <v>3.0294350537236499</v>
      </c>
      <c r="Q97">
        <v>-1.4062059935396001</v>
      </c>
      <c r="R97">
        <v>1.9010994255134499</v>
      </c>
      <c r="S97">
        <v>0.34123283687717998</v>
      </c>
      <c r="T97">
        <v>-1.5517009860434201</v>
      </c>
      <c r="U97">
        <v>3.4528004115568902</v>
      </c>
      <c r="V97">
        <v>0.32169845428864202</v>
      </c>
      <c r="W97">
        <v>0</v>
      </c>
      <c r="X97">
        <v>0</v>
      </c>
      <c r="Y97">
        <v>0</v>
      </c>
    </row>
    <row r="98" spans="1:25" x14ac:dyDescent="0.35">
      <c r="A98" s="1">
        <v>44986</v>
      </c>
      <c r="B98">
        <f t="shared" si="16"/>
        <v>3.3015859492297301</v>
      </c>
      <c r="C98">
        <f t="shared" si="11"/>
        <v>-1.57525016363842</v>
      </c>
      <c r="D98">
        <f t="shared" si="12"/>
        <v>1.75551699493139</v>
      </c>
      <c r="E98">
        <f t="shared" si="13"/>
        <v>-0.17658410655839901</v>
      </c>
      <c r="F98">
        <f t="shared" si="14"/>
        <v>-1.47251551766031</v>
      </c>
      <c r="G98">
        <f t="shared" si="15"/>
        <v>3.2280325125917102</v>
      </c>
      <c r="H98">
        <f t="shared" si="17"/>
        <v>2</v>
      </c>
      <c r="I98">
        <f t="shared" si="18"/>
        <v>0.40674560913429197</v>
      </c>
      <c r="J98">
        <f t="shared" si="19"/>
        <v>0</v>
      </c>
      <c r="K98">
        <f t="shared" si="20"/>
        <v>0</v>
      </c>
      <c r="L98">
        <f t="shared" si="21"/>
        <v>0</v>
      </c>
      <c r="O98">
        <v>1007164800</v>
      </c>
      <c r="P98">
        <v>3.3015859492297301</v>
      </c>
      <c r="Q98">
        <v>-1.57525016363842</v>
      </c>
      <c r="R98">
        <v>1.75551699493139</v>
      </c>
      <c r="S98">
        <v>-0.17658410655839901</v>
      </c>
      <c r="T98">
        <v>-1.47251551766031</v>
      </c>
      <c r="U98">
        <v>3.2280325125917102</v>
      </c>
      <c r="V98">
        <v>0.40674560913429197</v>
      </c>
      <c r="W98">
        <v>0</v>
      </c>
      <c r="X98">
        <v>0</v>
      </c>
      <c r="Y98">
        <v>0</v>
      </c>
    </row>
    <row r="99" spans="1:25" x14ac:dyDescent="0.35">
      <c r="A99" s="1">
        <v>45078</v>
      </c>
      <c r="B99">
        <f t="shared" si="16"/>
        <v>3.2144354907900401</v>
      </c>
      <c r="C99">
        <f t="shared" si="11"/>
        <v>-2.0906258485373499</v>
      </c>
      <c r="D99">
        <f t="shared" si="12"/>
        <v>1.1512629739920699</v>
      </c>
      <c r="E99">
        <f t="shared" si="13"/>
        <v>-0.67109129088997999</v>
      </c>
      <c r="F99">
        <f t="shared" si="14"/>
        <v>-1.39498122293091</v>
      </c>
      <c r="G99">
        <f t="shared" si="15"/>
        <v>2.5462441969229799</v>
      </c>
      <c r="H99">
        <f t="shared" si="17"/>
        <v>2</v>
      </c>
      <c r="I99">
        <f t="shared" si="18"/>
        <v>0.379511090871887</v>
      </c>
      <c r="J99">
        <f t="shared" si="19"/>
        <v>0</v>
      </c>
      <c r="K99">
        <f t="shared" si="20"/>
        <v>0</v>
      </c>
      <c r="L99">
        <f t="shared" si="21"/>
        <v>0</v>
      </c>
      <c r="O99">
        <v>1014940800</v>
      </c>
      <c r="P99">
        <v>3.2144354907900401</v>
      </c>
      <c r="Q99">
        <v>-2.0906258485373499</v>
      </c>
      <c r="R99">
        <v>1.1512629739920699</v>
      </c>
      <c r="S99">
        <v>-0.67109129088997999</v>
      </c>
      <c r="T99">
        <v>-1.39498122293091</v>
      </c>
      <c r="U99">
        <v>2.5462441969229799</v>
      </c>
      <c r="V99">
        <v>0.379511090871887</v>
      </c>
      <c r="W99">
        <v>0</v>
      </c>
      <c r="X99">
        <v>0</v>
      </c>
      <c r="Y99">
        <v>0</v>
      </c>
    </row>
    <row r="100" spans="1:25" x14ac:dyDescent="0.35">
      <c r="A100" s="1">
        <v>45170</v>
      </c>
      <c r="B100">
        <f t="shared" si="16"/>
        <v>2.40821968267747</v>
      </c>
      <c r="C100">
        <f t="shared" si="11"/>
        <v>-1.8610052967988899</v>
      </c>
      <c r="D100">
        <f t="shared" si="12"/>
        <v>0.61839362755579697</v>
      </c>
      <c r="E100">
        <f t="shared" si="13"/>
        <v>-0.77076302783649797</v>
      </c>
      <c r="F100">
        <f t="shared" si="14"/>
        <v>-1.19599835556445</v>
      </c>
      <c r="G100">
        <f t="shared" si="15"/>
        <v>1.81439198312026</v>
      </c>
      <c r="H100">
        <f t="shared" si="17"/>
        <v>2</v>
      </c>
      <c r="I100">
        <f t="shared" si="18"/>
        <v>0.12756865083670799</v>
      </c>
      <c r="J100">
        <f t="shared" si="19"/>
        <v>0</v>
      </c>
      <c r="K100">
        <f t="shared" si="20"/>
        <v>0</v>
      </c>
      <c r="L100">
        <f t="shared" si="21"/>
        <v>0</v>
      </c>
      <c r="O100">
        <v>1022889600</v>
      </c>
      <c r="P100">
        <v>2.40821968267747</v>
      </c>
      <c r="Q100">
        <v>-1.8610052967988899</v>
      </c>
      <c r="R100">
        <v>0.61839362755579697</v>
      </c>
      <c r="S100">
        <v>-0.77076302783649797</v>
      </c>
      <c r="T100">
        <v>-1.19599835556445</v>
      </c>
      <c r="U100">
        <v>1.81439198312026</v>
      </c>
      <c r="V100">
        <v>0.12756865083670799</v>
      </c>
      <c r="W100">
        <v>0</v>
      </c>
      <c r="X100">
        <v>0</v>
      </c>
      <c r="Y100">
        <v>0</v>
      </c>
    </row>
    <row r="101" spans="1:25" x14ac:dyDescent="0.35">
      <c r="A101" s="1">
        <v>45261</v>
      </c>
      <c r="B101">
        <f t="shared" si="16"/>
        <v>1.4108269104990701</v>
      </c>
      <c r="C101">
        <f t="shared" si="11"/>
        <v>-1.8840200912893299</v>
      </c>
      <c r="D101">
        <f t="shared" si="12"/>
        <v>0.26789922386291998</v>
      </c>
      <c r="E101">
        <f t="shared" si="13"/>
        <v>-1.4675993033657999</v>
      </c>
      <c r="F101">
        <f t="shared" si="14"/>
        <v>-0.99771879541436803</v>
      </c>
      <c r="G101">
        <f t="shared" si="15"/>
        <v>1.2656180192773001</v>
      </c>
      <c r="H101">
        <f t="shared" si="17"/>
        <v>2</v>
      </c>
      <c r="I101">
        <f t="shared" si="18"/>
        <v>0</v>
      </c>
      <c r="J101">
        <f t="shared" si="19"/>
        <v>0</v>
      </c>
      <c r="K101">
        <f t="shared" si="20"/>
        <v>0</v>
      </c>
      <c r="L101">
        <f t="shared" si="21"/>
        <v>0</v>
      </c>
      <c r="O101">
        <v>1030838400</v>
      </c>
      <c r="P101">
        <v>1.4108269104990701</v>
      </c>
      <c r="Q101">
        <v>-1.8840200912893299</v>
      </c>
      <c r="R101">
        <v>0.26789922386291998</v>
      </c>
      <c r="S101">
        <v>-1.4675993033657999</v>
      </c>
      <c r="T101">
        <v>-0.99771879541436803</v>
      </c>
      <c r="U101">
        <v>1.2656180192773001</v>
      </c>
      <c r="V101">
        <v>0</v>
      </c>
      <c r="W101">
        <v>0</v>
      </c>
      <c r="X101">
        <v>0</v>
      </c>
      <c r="Y101">
        <v>0</v>
      </c>
    </row>
    <row r="102" spans="1:25" x14ac:dyDescent="0.35">
      <c r="A102" s="1">
        <v>45352</v>
      </c>
      <c r="B102">
        <f t="shared" si="16"/>
        <v>1.1934770297767401</v>
      </c>
      <c r="C102">
        <f t="shared" si="11"/>
        <v>-2.2271064311319999</v>
      </c>
      <c r="D102">
        <f t="shared" si="12"/>
        <v>2.1073444018642699E-3</v>
      </c>
      <c r="E102">
        <f t="shared" si="13"/>
        <v>-1.4715842677208499</v>
      </c>
      <c r="F102">
        <f t="shared" si="14"/>
        <v>-0.90489327874966696</v>
      </c>
      <c r="G102">
        <f t="shared" si="15"/>
        <v>0.90700062315154095</v>
      </c>
      <c r="H102">
        <f t="shared" si="17"/>
        <v>2</v>
      </c>
      <c r="I102">
        <f t="shared" si="18"/>
        <v>0</v>
      </c>
      <c r="J102">
        <f t="shared" si="19"/>
        <v>0</v>
      </c>
      <c r="K102">
        <f t="shared" si="20"/>
        <v>0</v>
      </c>
      <c r="L102">
        <f t="shared" si="21"/>
        <v>0</v>
      </c>
      <c r="O102">
        <v>1038700800</v>
      </c>
      <c r="P102">
        <v>1.1934770297767401</v>
      </c>
      <c r="Q102">
        <v>-2.2271064311319999</v>
      </c>
      <c r="R102">
        <v>2.1073444018642699E-3</v>
      </c>
      <c r="S102">
        <v>-1.4715842677208499</v>
      </c>
      <c r="T102">
        <v>-0.90489327874966696</v>
      </c>
      <c r="U102">
        <v>0.90700062315154095</v>
      </c>
      <c r="V102">
        <v>0</v>
      </c>
      <c r="W102">
        <v>0</v>
      </c>
      <c r="X102">
        <v>0</v>
      </c>
      <c r="Y102">
        <v>0</v>
      </c>
    </row>
    <row r="103" spans="1:25" x14ac:dyDescent="0.35">
      <c r="A103" s="1"/>
      <c r="B103">
        <f t="shared" si="16"/>
        <v>1.45742915829174</v>
      </c>
      <c r="C103">
        <f t="shared" si="11"/>
        <v>-2.60948344578886</v>
      </c>
      <c r="D103">
        <f t="shared" si="12"/>
        <v>-7.8913433398308794E-2</v>
      </c>
      <c r="E103">
        <f t="shared" si="13"/>
        <v>-2.1885813082651202</v>
      </c>
      <c r="F103">
        <f t="shared" si="14"/>
        <v>-0.88517321457674403</v>
      </c>
      <c r="G103">
        <f t="shared" si="15"/>
        <v>0.80625978117845098</v>
      </c>
      <c r="H103" t="str">
        <f t="shared" si="17"/>
        <v/>
      </c>
      <c r="I103">
        <f t="shared" si="18"/>
        <v>0</v>
      </c>
      <c r="J103">
        <f t="shared" si="19"/>
        <v>0</v>
      </c>
      <c r="K103">
        <f t="shared" si="20"/>
        <v>0</v>
      </c>
      <c r="L103">
        <f t="shared" si="21"/>
        <v>0</v>
      </c>
      <c r="O103">
        <v>1046476800</v>
      </c>
      <c r="P103">
        <v>1.45742915829174</v>
      </c>
      <c r="Q103">
        <v>-2.60948344578886</v>
      </c>
      <c r="R103">
        <v>-7.8913433398308794E-2</v>
      </c>
      <c r="S103">
        <v>-2.1885813082651202</v>
      </c>
      <c r="T103">
        <v>-0.88517321457674403</v>
      </c>
      <c r="U103">
        <v>0.80625978117845098</v>
      </c>
      <c r="V103">
        <v>0</v>
      </c>
      <c r="W103">
        <v>0</v>
      </c>
      <c r="X103">
        <v>0</v>
      </c>
      <c r="Y103">
        <v>0</v>
      </c>
    </row>
    <row r="104" spans="1:25" x14ac:dyDescent="0.35">
      <c r="A104" s="1"/>
      <c r="B104">
        <f t="shared" si="16"/>
        <v>1.2398340369268701</v>
      </c>
      <c r="C104">
        <f t="shared" si="11"/>
        <v>-2.5698393230733898</v>
      </c>
      <c r="D104">
        <f t="shared" si="12"/>
        <v>-0.28656567989219001</v>
      </c>
      <c r="E104">
        <f t="shared" si="13"/>
        <v>-2.8846016775428698</v>
      </c>
      <c r="F104">
        <f t="shared" si="14"/>
        <v>-0.64405453984180705</v>
      </c>
      <c r="G104">
        <f t="shared" si="15"/>
        <v>0.35748885994962598</v>
      </c>
      <c r="H104" t="str">
        <f t="shared" si="17"/>
        <v/>
      </c>
      <c r="I104">
        <f t="shared" si="18"/>
        <v>0</v>
      </c>
      <c r="J104">
        <f t="shared" si="19"/>
        <v>0</v>
      </c>
      <c r="K104">
        <f t="shared" si="20"/>
        <v>0</v>
      </c>
      <c r="L104">
        <f t="shared" si="21"/>
        <v>0</v>
      </c>
      <c r="O104">
        <v>1054425600</v>
      </c>
      <c r="P104">
        <v>1.2398340369268701</v>
      </c>
      <c r="Q104">
        <v>-2.5698393230733898</v>
      </c>
      <c r="R104">
        <v>-0.28656567989219001</v>
      </c>
      <c r="S104">
        <v>-2.8846016775428698</v>
      </c>
      <c r="T104">
        <v>-0.64405453984180705</v>
      </c>
      <c r="U104">
        <v>0.35748885994962598</v>
      </c>
      <c r="V104">
        <v>0</v>
      </c>
      <c r="W104">
        <v>0</v>
      </c>
      <c r="X104">
        <v>0</v>
      </c>
      <c r="Y104">
        <v>0</v>
      </c>
    </row>
    <row r="105" spans="1:25" x14ac:dyDescent="0.35">
      <c r="A105" s="1"/>
      <c r="B105">
        <f t="shared" si="16"/>
        <v>0.20336636136139799</v>
      </c>
      <c r="C105">
        <f t="shared" si="11"/>
        <v>-2.70593607403248</v>
      </c>
      <c r="D105">
        <f t="shared" si="12"/>
        <v>-0.92047053090070796</v>
      </c>
      <c r="E105">
        <f t="shared" si="13"/>
        <v>-3.64479877584054</v>
      </c>
      <c r="F105">
        <f t="shared" si="14"/>
        <v>-0.19219718355236701</v>
      </c>
      <c r="G105">
        <f t="shared" si="15"/>
        <v>-0.72827334734833205</v>
      </c>
      <c r="H105" t="str">
        <f t="shared" si="17"/>
        <v/>
      </c>
      <c r="I105">
        <f t="shared" si="18"/>
        <v>0</v>
      </c>
      <c r="J105">
        <f t="shared" si="19"/>
        <v>0</v>
      </c>
      <c r="K105">
        <f t="shared" si="20"/>
        <v>0</v>
      </c>
      <c r="L105">
        <f t="shared" si="21"/>
        <v>0</v>
      </c>
      <c r="O105">
        <v>1062374400</v>
      </c>
      <c r="P105">
        <v>0.20336636136139799</v>
      </c>
      <c r="Q105">
        <v>-2.70593607403248</v>
      </c>
      <c r="R105">
        <v>-0.92047053090070796</v>
      </c>
      <c r="S105">
        <v>-3.64479877584054</v>
      </c>
      <c r="T105">
        <v>-0.19219718355236701</v>
      </c>
      <c r="U105">
        <v>-0.72827334734833205</v>
      </c>
      <c r="V105">
        <v>0</v>
      </c>
      <c r="W105">
        <v>0</v>
      </c>
      <c r="X105">
        <v>0</v>
      </c>
      <c r="Y105">
        <v>0</v>
      </c>
    </row>
    <row r="106" spans="1:25" x14ac:dyDescent="0.35">
      <c r="A106" s="1"/>
      <c r="B106">
        <f t="shared" si="16"/>
        <v>-1.5440997606114499</v>
      </c>
      <c r="C106">
        <f t="shared" si="11"/>
        <v>-2.83628844382421</v>
      </c>
      <c r="D106">
        <f t="shared" si="12"/>
        <v>-2.6348573252029501</v>
      </c>
      <c r="E106">
        <f t="shared" si="13"/>
        <v>-5.3810500668436498</v>
      </c>
      <c r="F106">
        <f t="shared" si="14"/>
        <v>9.3559919096621799E-2</v>
      </c>
      <c r="G106">
        <f t="shared" si="15"/>
        <v>-2.7284172442995498</v>
      </c>
      <c r="H106" t="str">
        <f t="shared" si="17"/>
        <v/>
      </c>
      <c r="I106">
        <f t="shared" si="18"/>
        <v>0</v>
      </c>
      <c r="J106">
        <f t="shared" si="19"/>
        <v>0</v>
      </c>
      <c r="K106">
        <f t="shared" si="20"/>
        <v>0</v>
      </c>
      <c r="L106">
        <f t="shared" si="21"/>
        <v>0</v>
      </c>
      <c r="O106">
        <v>1070236800</v>
      </c>
      <c r="P106">
        <v>-1.5440997606114499</v>
      </c>
      <c r="Q106">
        <v>-2.83628844382421</v>
      </c>
      <c r="R106">
        <v>-2.6348573252029501</v>
      </c>
      <c r="S106">
        <v>-5.3810500668436498</v>
      </c>
      <c r="T106">
        <v>9.3559919096621799E-2</v>
      </c>
      <c r="U106">
        <v>-2.7284172442995498</v>
      </c>
      <c r="V106">
        <v>0</v>
      </c>
      <c r="W106">
        <v>0</v>
      </c>
      <c r="X106">
        <v>0</v>
      </c>
      <c r="Y106">
        <v>0</v>
      </c>
    </row>
    <row r="107" spans="1:25" x14ac:dyDescent="0.35">
      <c r="A107" s="1"/>
      <c r="B107">
        <f t="shared" si="16"/>
        <v>-1.6409121448431501</v>
      </c>
      <c r="C107">
        <f t="shared" si="11"/>
        <v>-2.9887303679649699</v>
      </c>
      <c r="D107">
        <f t="shared" si="12"/>
        <v>-2.9151832517756899</v>
      </c>
      <c r="E107">
        <f t="shared" si="13"/>
        <v>-6.0452103990197301</v>
      </c>
      <c r="F107">
        <f t="shared" si="14"/>
        <v>0.198054462922893</v>
      </c>
      <c r="G107">
        <f t="shared" si="15"/>
        <v>-3.1132377146985601</v>
      </c>
      <c r="H107" t="str">
        <f t="shared" si="17"/>
        <v/>
      </c>
      <c r="I107">
        <f t="shared" si="18"/>
        <v>0</v>
      </c>
      <c r="J107">
        <f t="shared" si="19"/>
        <v>0</v>
      </c>
      <c r="K107">
        <f t="shared" si="20"/>
        <v>0</v>
      </c>
      <c r="L107">
        <f t="shared" si="21"/>
        <v>0</v>
      </c>
      <c r="O107">
        <v>1078099200</v>
      </c>
      <c r="P107">
        <v>-1.6409121448431501</v>
      </c>
      <c r="Q107">
        <v>-2.9887303679649699</v>
      </c>
      <c r="R107">
        <v>-2.9151832517756899</v>
      </c>
      <c r="S107">
        <v>-6.0452103990197301</v>
      </c>
      <c r="T107">
        <v>0.198054462922893</v>
      </c>
      <c r="U107">
        <v>-3.1132377146985601</v>
      </c>
      <c r="V107">
        <v>0</v>
      </c>
      <c r="W107">
        <v>0</v>
      </c>
      <c r="X107">
        <v>0</v>
      </c>
      <c r="Y107">
        <v>0</v>
      </c>
    </row>
    <row r="108" spans="1:25" x14ac:dyDescent="0.35">
      <c r="A108" s="1"/>
      <c r="B108">
        <f t="shared" si="16"/>
        <v>-0.52004334979292899</v>
      </c>
      <c r="C108">
        <f t="shared" si="11"/>
        <v>-2.0771191137426901</v>
      </c>
      <c r="D108">
        <f t="shared" si="12"/>
        <v>-1.7013858556802099</v>
      </c>
      <c r="E108">
        <f t="shared" si="13"/>
        <v>-4.6367203902601597</v>
      </c>
      <c r="F108">
        <f t="shared" si="14"/>
        <v>0.87072322070387098</v>
      </c>
      <c r="G108">
        <f t="shared" si="15"/>
        <v>-2.5721090763840699</v>
      </c>
      <c r="H108" t="str">
        <f t="shared" si="17"/>
        <v/>
      </c>
      <c r="I108">
        <f t="shared" si="18"/>
        <v>0</v>
      </c>
      <c r="J108">
        <f t="shared" si="19"/>
        <v>0</v>
      </c>
      <c r="K108">
        <f t="shared" si="20"/>
        <v>0</v>
      </c>
      <c r="L108">
        <f t="shared" si="21"/>
        <v>0</v>
      </c>
      <c r="O108">
        <v>1086048000</v>
      </c>
      <c r="P108">
        <v>-0.52004334979292899</v>
      </c>
      <c r="Q108">
        <v>-2.0771191137426901</v>
      </c>
      <c r="R108">
        <v>-1.7013858556802099</v>
      </c>
      <c r="S108">
        <v>-4.6367203902601597</v>
      </c>
      <c r="T108">
        <v>0.87072322070387098</v>
      </c>
      <c r="U108">
        <v>-2.5721090763840699</v>
      </c>
      <c r="V108">
        <v>0</v>
      </c>
      <c r="W108">
        <v>0</v>
      </c>
      <c r="X108">
        <v>0</v>
      </c>
      <c r="Y108">
        <v>0</v>
      </c>
    </row>
    <row r="109" spans="1:25" x14ac:dyDescent="0.35">
      <c r="B109">
        <f t="shared" si="16"/>
        <v>-0.26283520984012498</v>
      </c>
      <c r="C109">
        <f t="shared" si="11"/>
        <v>-1.6803123303907801</v>
      </c>
      <c r="D109">
        <f t="shared" si="12"/>
        <v>-1.6886580432661</v>
      </c>
      <c r="E109">
        <f t="shared" si="13"/>
        <v>-4.4193649716107899</v>
      </c>
      <c r="F109">
        <f t="shared" si="14"/>
        <v>1.0963975552123999</v>
      </c>
      <c r="G109">
        <f t="shared" si="15"/>
        <v>-2.7850555984784902</v>
      </c>
      <c r="H109" t="str">
        <f t="shared" si="17"/>
        <v/>
      </c>
      <c r="I109">
        <f t="shared" si="18"/>
        <v>0</v>
      </c>
      <c r="J109">
        <f t="shared" si="19"/>
        <v>0</v>
      </c>
      <c r="K109">
        <f t="shared" si="20"/>
        <v>0</v>
      </c>
      <c r="L109">
        <f t="shared" si="21"/>
        <v>0</v>
      </c>
      <c r="O109">
        <v>1093996800</v>
      </c>
      <c r="P109">
        <v>-0.26283520984012498</v>
      </c>
      <c r="Q109">
        <v>-1.6803123303907801</v>
      </c>
      <c r="R109">
        <v>-1.6886580432661</v>
      </c>
      <c r="S109">
        <v>-4.4193649716107899</v>
      </c>
      <c r="T109">
        <v>1.0963975552123999</v>
      </c>
      <c r="U109">
        <v>-2.7850555984784902</v>
      </c>
      <c r="V109">
        <v>0</v>
      </c>
      <c r="W109">
        <v>0</v>
      </c>
      <c r="X109">
        <v>0</v>
      </c>
      <c r="Y109">
        <v>0</v>
      </c>
    </row>
    <row r="110" spans="1:25" x14ac:dyDescent="0.35">
      <c r="B110">
        <f t="shared" si="16"/>
        <v>-0.40856352490604703</v>
      </c>
      <c r="C110">
        <f t="shared" si="11"/>
        <v>-1.48297632765934</v>
      </c>
      <c r="D110">
        <f t="shared" si="12"/>
        <v>-1.9085999111418901</v>
      </c>
      <c r="E110">
        <f t="shared" si="13"/>
        <v>-4.7245976617179801</v>
      </c>
      <c r="F110">
        <f t="shared" si="14"/>
        <v>1.1858502747749</v>
      </c>
      <c r="G110">
        <f t="shared" si="15"/>
        <v>-3.0944501859167701</v>
      </c>
      <c r="H110" t="str">
        <f t="shared" si="17"/>
        <v/>
      </c>
      <c r="I110">
        <f t="shared" si="18"/>
        <v>0</v>
      </c>
      <c r="J110">
        <f t="shared" si="19"/>
        <v>0</v>
      </c>
      <c r="K110">
        <f t="shared" si="20"/>
        <v>0</v>
      </c>
      <c r="L110">
        <f t="shared" si="21"/>
        <v>0</v>
      </c>
      <c r="O110">
        <v>1101859200</v>
      </c>
      <c r="P110">
        <v>-0.40856352490604703</v>
      </c>
      <c r="Q110">
        <v>-1.48297632765934</v>
      </c>
      <c r="R110">
        <v>-1.9085999111418901</v>
      </c>
      <c r="S110">
        <v>-4.7245976617179801</v>
      </c>
      <c r="T110">
        <v>1.1858502747749</v>
      </c>
      <c r="U110">
        <v>-3.0944501859167701</v>
      </c>
      <c r="V110">
        <v>0</v>
      </c>
      <c r="W110">
        <v>0</v>
      </c>
      <c r="X110">
        <v>0</v>
      </c>
      <c r="Y110">
        <v>0</v>
      </c>
    </row>
    <row r="111" spans="1:25" x14ac:dyDescent="0.35">
      <c r="B111">
        <f t="shared" si="16"/>
        <v>-0.83054075979901898</v>
      </c>
      <c r="C111">
        <f t="shared" si="11"/>
        <v>-1.3743818556558001</v>
      </c>
      <c r="D111">
        <f t="shared" si="12"/>
        <v>-2.1854320697321601</v>
      </c>
      <c r="E111">
        <f t="shared" si="13"/>
        <v>-5.1219364959543503</v>
      </c>
      <c r="F111">
        <f t="shared" si="14"/>
        <v>1.37336035999916</v>
      </c>
      <c r="G111">
        <f t="shared" si="15"/>
        <v>-3.5587924297313198</v>
      </c>
      <c r="H111" t="str">
        <f t="shared" si="17"/>
        <v/>
      </c>
      <c r="I111">
        <f t="shared" si="18"/>
        <v>0</v>
      </c>
      <c r="J111">
        <f t="shared" si="19"/>
        <v>0</v>
      </c>
      <c r="K111">
        <f t="shared" si="20"/>
        <v>0</v>
      </c>
      <c r="L111">
        <f t="shared" si="21"/>
        <v>0</v>
      </c>
      <c r="O111">
        <v>1109635200</v>
      </c>
      <c r="P111">
        <v>-0.83054075979901898</v>
      </c>
      <c r="Q111">
        <v>-1.3743818556558001</v>
      </c>
      <c r="R111">
        <v>-2.1854320697321601</v>
      </c>
      <c r="S111">
        <v>-5.1219364959543503</v>
      </c>
      <c r="T111">
        <v>1.37336035999916</v>
      </c>
      <c r="U111">
        <v>-3.5587924297313198</v>
      </c>
      <c r="V111">
        <v>0</v>
      </c>
      <c r="W111">
        <v>0</v>
      </c>
      <c r="X111">
        <v>0</v>
      </c>
      <c r="Y111">
        <v>0</v>
      </c>
    </row>
    <row r="112" spans="1:25" x14ac:dyDescent="0.35">
      <c r="B112">
        <f t="shared" si="16"/>
        <v>0.80402975085074102</v>
      </c>
      <c r="C112">
        <f t="shared" si="11"/>
        <v>-0.15483625024766101</v>
      </c>
      <c r="D112">
        <f t="shared" si="12"/>
        <v>-0.32590910499389703</v>
      </c>
      <c r="E112">
        <f t="shared" si="13"/>
        <v>-3.2464952161067502</v>
      </c>
      <c r="F112">
        <f t="shared" si="14"/>
        <v>2.03163358954889</v>
      </c>
      <c r="G112">
        <f t="shared" si="15"/>
        <v>-2.35754269454277</v>
      </c>
      <c r="H112" t="str">
        <f t="shared" si="17"/>
        <v/>
      </c>
      <c r="I112">
        <f t="shared" si="18"/>
        <v>0</v>
      </c>
      <c r="J112">
        <f t="shared" si="19"/>
        <v>0</v>
      </c>
      <c r="K112">
        <f t="shared" si="20"/>
        <v>0</v>
      </c>
      <c r="L112">
        <f t="shared" si="21"/>
        <v>0</v>
      </c>
      <c r="O112">
        <v>1117584000</v>
      </c>
      <c r="P112">
        <v>0.80402975085074102</v>
      </c>
      <c r="Q112">
        <v>-0.15483625024766101</v>
      </c>
      <c r="R112">
        <v>-0.32590910499389703</v>
      </c>
      <c r="S112">
        <v>-3.2464952161067502</v>
      </c>
      <c r="T112">
        <v>2.03163358954889</v>
      </c>
      <c r="U112">
        <v>-2.35754269454277</v>
      </c>
      <c r="V112">
        <v>0</v>
      </c>
      <c r="W112">
        <v>0</v>
      </c>
      <c r="X112">
        <v>0</v>
      </c>
      <c r="Y112">
        <v>0</v>
      </c>
    </row>
    <row r="113" spans="2:25" x14ac:dyDescent="0.35">
      <c r="B113">
        <f t="shared" si="16"/>
        <v>0.47778440351773299</v>
      </c>
      <c r="C113">
        <f t="shared" si="11"/>
        <v>0.23655199704857399</v>
      </c>
      <c r="D113">
        <f t="shared" si="12"/>
        <v>-0.29795271788876398</v>
      </c>
      <c r="E113">
        <f t="shared" si="13"/>
        <v>-3.4324444686240798</v>
      </c>
      <c r="F113">
        <f t="shared" si="14"/>
        <v>2.3948604650109702</v>
      </c>
      <c r="G113">
        <f t="shared" si="15"/>
        <v>-2.6928131828997199</v>
      </c>
      <c r="H113" t="str">
        <f t="shared" si="17"/>
        <v/>
      </c>
      <c r="I113">
        <f t="shared" si="18"/>
        <v>0</v>
      </c>
      <c r="J113">
        <f t="shared" si="19"/>
        <v>0</v>
      </c>
      <c r="K113">
        <f t="shared" si="20"/>
        <v>0</v>
      </c>
      <c r="L113">
        <f t="shared" si="21"/>
        <v>0</v>
      </c>
      <c r="O113">
        <v>1125532800</v>
      </c>
      <c r="P113">
        <v>0.47778440351773299</v>
      </c>
      <c r="Q113">
        <v>0.23655199704857399</v>
      </c>
      <c r="R113">
        <v>-0.29795271788876398</v>
      </c>
      <c r="S113">
        <v>-3.4324444686240798</v>
      </c>
      <c r="T113">
        <v>2.3948604650109702</v>
      </c>
      <c r="U113">
        <v>-2.6928131828997199</v>
      </c>
      <c r="V113">
        <v>0</v>
      </c>
      <c r="W113">
        <v>0</v>
      </c>
      <c r="X113">
        <v>0</v>
      </c>
      <c r="Y113">
        <v>0</v>
      </c>
    </row>
    <row r="114" spans="2:25" x14ac:dyDescent="0.35">
      <c r="B114">
        <f t="shared" si="16"/>
        <v>1.2626081987821001</v>
      </c>
      <c r="C114">
        <f t="shared" si="11"/>
        <v>1.30962536363497</v>
      </c>
      <c r="D114">
        <f t="shared" si="12"/>
        <v>0.30945219119596101</v>
      </c>
      <c r="E114">
        <f t="shared" si="13"/>
        <v>-2.8262827436287798</v>
      </c>
      <c r="F114">
        <f t="shared" si="14"/>
        <v>2.9479508721930099</v>
      </c>
      <c r="G114">
        <f t="shared" si="15"/>
        <v>-2.6384986809970301</v>
      </c>
      <c r="H114" t="str">
        <f t="shared" si="17"/>
        <v/>
      </c>
      <c r="I114">
        <f t="shared" si="18"/>
        <v>0</v>
      </c>
      <c r="J114">
        <f t="shared" si="19"/>
        <v>0</v>
      </c>
      <c r="K114">
        <f t="shared" si="20"/>
        <v>0</v>
      </c>
      <c r="L114">
        <f t="shared" si="21"/>
        <v>0</v>
      </c>
      <c r="O114">
        <v>1133395200</v>
      </c>
      <c r="P114">
        <v>1.2626081987821001</v>
      </c>
      <c r="Q114">
        <v>1.30962536363497</v>
      </c>
      <c r="R114">
        <v>0.30945219119596101</v>
      </c>
      <c r="S114">
        <v>-2.8262827436287798</v>
      </c>
      <c r="T114">
        <v>2.9479508721930099</v>
      </c>
      <c r="U114">
        <v>-2.6384986809970301</v>
      </c>
      <c r="V114">
        <v>0</v>
      </c>
      <c r="W114">
        <v>0</v>
      </c>
      <c r="X114">
        <v>0</v>
      </c>
      <c r="Y114">
        <v>0</v>
      </c>
    </row>
    <row r="115" spans="2:25" x14ac:dyDescent="0.35">
      <c r="B115">
        <f t="shared" si="16"/>
        <v>1.4087226049933099</v>
      </c>
      <c r="C115">
        <f t="shared" si="11"/>
        <v>2.18441696725053</v>
      </c>
      <c r="D115">
        <f t="shared" si="12"/>
        <v>0.83285386677620399</v>
      </c>
      <c r="E115">
        <f t="shared" si="13"/>
        <v>-2.11164601385883</v>
      </c>
      <c r="F115">
        <f t="shared" si="14"/>
        <v>3.1116785178187798</v>
      </c>
      <c r="G115">
        <f t="shared" si="15"/>
        <v>-2.27882465104256</v>
      </c>
      <c r="H115" t="str">
        <f t="shared" si="17"/>
        <v/>
      </c>
      <c r="I115">
        <f t="shared" si="18"/>
        <v>0</v>
      </c>
      <c r="J115">
        <f t="shared" si="19"/>
        <v>5.7630302265790898E-2</v>
      </c>
      <c r="K115">
        <f t="shared" si="20"/>
        <v>0</v>
      </c>
      <c r="L115">
        <f t="shared" si="21"/>
        <v>0</v>
      </c>
      <c r="O115">
        <v>1141171200</v>
      </c>
      <c r="P115">
        <v>1.4087226049933099</v>
      </c>
      <c r="Q115">
        <v>2.18441696725053</v>
      </c>
      <c r="R115">
        <v>0.83285386677620399</v>
      </c>
      <c r="S115">
        <v>-2.11164601385883</v>
      </c>
      <c r="T115">
        <v>3.1116785178187798</v>
      </c>
      <c r="U115">
        <v>-2.27882465104256</v>
      </c>
      <c r="V115">
        <v>0</v>
      </c>
      <c r="W115">
        <v>5.7630302265790898E-2</v>
      </c>
      <c r="X115">
        <v>0</v>
      </c>
      <c r="Y115">
        <v>0</v>
      </c>
    </row>
    <row r="116" spans="2:25" x14ac:dyDescent="0.35">
      <c r="B116">
        <f t="shared" si="16"/>
        <v>2.4356947122046502</v>
      </c>
      <c r="C116">
        <f t="shared" si="11"/>
        <v>3.3853409593534001</v>
      </c>
      <c r="D116">
        <f t="shared" si="12"/>
        <v>1.8585696753744601</v>
      </c>
      <c r="E116">
        <f t="shared" si="13"/>
        <v>-1.3815658900801699</v>
      </c>
      <c r="F116">
        <f t="shared" si="14"/>
        <v>3.6676103244965299</v>
      </c>
      <c r="G116">
        <f t="shared" si="15"/>
        <v>-1.8090406491220501</v>
      </c>
      <c r="H116" t="str">
        <f t="shared" si="17"/>
        <v/>
      </c>
      <c r="I116">
        <f t="shared" si="18"/>
        <v>0.13615459756395401</v>
      </c>
      <c r="J116">
        <f t="shared" si="19"/>
        <v>0.43291904979793799</v>
      </c>
      <c r="K116">
        <f t="shared" si="20"/>
        <v>0</v>
      </c>
      <c r="L116">
        <f t="shared" si="21"/>
        <v>0</v>
      </c>
      <c r="O116">
        <v>1149120000</v>
      </c>
      <c r="P116">
        <v>2.4356947122046502</v>
      </c>
      <c r="Q116">
        <v>3.3853409593534001</v>
      </c>
      <c r="R116">
        <v>1.8585696753744601</v>
      </c>
      <c r="S116">
        <v>-1.3815658900801699</v>
      </c>
      <c r="T116">
        <v>3.6676103244965299</v>
      </c>
      <c r="U116">
        <v>-1.8090406491220501</v>
      </c>
      <c r="V116">
        <v>0.13615459756395401</v>
      </c>
      <c r="W116">
        <v>0.43291904979793799</v>
      </c>
      <c r="X116">
        <v>0</v>
      </c>
      <c r="Y116">
        <v>0</v>
      </c>
    </row>
    <row r="117" spans="2:25" x14ac:dyDescent="0.35">
      <c r="H117" t="str">
        <f t="shared" si="17"/>
        <v/>
      </c>
      <c r="O117">
        <v>1157068800</v>
      </c>
      <c r="P117">
        <v>2.3352541821464801</v>
      </c>
      <c r="Q117">
        <v>3.2522027836991598</v>
      </c>
      <c r="R117">
        <v>1.6395780860401601</v>
      </c>
      <c r="S117">
        <v>-1.5256816049530999</v>
      </c>
      <c r="T117">
        <v>3.79907731707809</v>
      </c>
      <c r="U117">
        <v>-2.15949923103791</v>
      </c>
      <c r="V117">
        <v>0.10476693192077401</v>
      </c>
      <c r="W117">
        <v>0.39131336990598597</v>
      </c>
      <c r="X117">
        <v>0</v>
      </c>
      <c r="Y117">
        <v>0</v>
      </c>
    </row>
    <row r="118" spans="2:25" x14ac:dyDescent="0.35">
      <c r="H118" t="str">
        <f t="shared" si="17"/>
        <v/>
      </c>
      <c r="O118">
        <v>1164931200</v>
      </c>
      <c r="P118">
        <v>2.8849831728350699</v>
      </c>
      <c r="Q118">
        <v>3.7059290302847501</v>
      </c>
      <c r="R118">
        <v>1.9364401188160301</v>
      </c>
      <c r="S118">
        <v>-0.64945091278073297</v>
      </c>
      <c r="T118">
        <v>3.9460003186306598</v>
      </c>
      <c r="U118">
        <v>-2.00956019981462</v>
      </c>
      <c r="V118">
        <v>0.27655724151096001</v>
      </c>
      <c r="W118">
        <v>0.53310282196398495</v>
      </c>
      <c r="X118">
        <v>0</v>
      </c>
      <c r="Y118">
        <v>0</v>
      </c>
    </row>
    <row r="119" spans="2:25" x14ac:dyDescent="0.35">
      <c r="H119" t="str">
        <f t="shared" si="17"/>
        <v/>
      </c>
      <c r="O119">
        <v>1172707200</v>
      </c>
      <c r="P119">
        <v>2.8952603761091402</v>
      </c>
      <c r="Q119">
        <v>3.8552433463140301</v>
      </c>
      <c r="R119">
        <v>2.1493242457572102</v>
      </c>
      <c r="S119">
        <v>-0.36680723464931198</v>
      </c>
      <c r="T119">
        <v>3.9707191551742</v>
      </c>
      <c r="U119">
        <v>-1.8213949094169699</v>
      </c>
      <c r="V119">
        <v>0.27976886753410601</v>
      </c>
      <c r="W119">
        <v>0.57976354572313404</v>
      </c>
      <c r="X119">
        <v>4.6663826799129303E-2</v>
      </c>
      <c r="Y119">
        <v>0</v>
      </c>
    </row>
    <row r="120" spans="2:25" x14ac:dyDescent="0.35">
      <c r="H120" t="str">
        <f t="shared" si="17"/>
        <v/>
      </c>
      <c r="O120">
        <v>1180656000</v>
      </c>
      <c r="P120">
        <v>4.4316404839601304</v>
      </c>
      <c r="Q120">
        <v>4.7930156962607802</v>
      </c>
      <c r="R120">
        <v>3.5122630056592801</v>
      </c>
      <c r="S120">
        <v>0.94027629598187101</v>
      </c>
      <c r="T120">
        <v>4.3512552314441004</v>
      </c>
      <c r="U120">
        <v>-0.83899222578480004</v>
      </c>
      <c r="V120">
        <v>0.75988765123754198</v>
      </c>
      <c r="W120">
        <v>0.87281740508149497</v>
      </c>
      <c r="X120">
        <v>0.47258218926852602</v>
      </c>
      <c r="Y120">
        <v>0</v>
      </c>
    </row>
    <row r="121" spans="2:25" x14ac:dyDescent="0.35">
      <c r="O121">
        <v>1188604800</v>
      </c>
      <c r="P121">
        <v>4.6184736822730699</v>
      </c>
      <c r="Q121">
        <v>5.6156349511466699</v>
      </c>
      <c r="R121">
        <v>3.3481027761212001</v>
      </c>
      <c r="S121">
        <v>1.74891323970886</v>
      </c>
      <c r="T121">
        <v>4.5377255293840504</v>
      </c>
      <c r="U121">
        <v>-1.1896227532628401</v>
      </c>
      <c r="V121">
        <v>0.818273025710335</v>
      </c>
      <c r="W121">
        <v>1.12988592223333</v>
      </c>
      <c r="X121">
        <v>0.42128211753787498</v>
      </c>
      <c r="Y121">
        <v>0</v>
      </c>
    </row>
    <row r="122" spans="2:25" x14ac:dyDescent="0.35">
      <c r="O122">
        <v>1196467200</v>
      </c>
      <c r="P122">
        <v>3.9360380900580401</v>
      </c>
      <c r="Q122">
        <v>6.4992307464727297</v>
      </c>
      <c r="R122">
        <v>2.7502959716481601</v>
      </c>
      <c r="S122">
        <v>1.7649235916161801</v>
      </c>
      <c r="T122">
        <v>4.7233951825080203</v>
      </c>
      <c r="U122">
        <v>-1.97309921085986</v>
      </c>
      <c r="V122">
        <v>0.60501190314313602</v>
      </c>
      <c r="W122">
        <v>1.40600960827273</v>
      </c>
      <c r="X122">
        <v>0.234467491140049</v>
      </c>
      <c r="Y122">
        <v>0</v>
      </c>
    </row>
    <row r="123" spans="2:25" x14ac:dyDescent="0.35">
      <c r="O123">
        <v>1204329600</v>
      </c>
      <c r="P123">
        <v>3.9216146043905802</v>
      </c>
      <c r="Q123">
        <v>6.9877257498088996</v>
      </c>
      <c r="R123">
        <v>2.9459305966971101</v>
      </c>
      <c r="S123">
        <v>1.8680720157497199</v>
      </c>
      <c r="T123">
        <v>4.5632634011779398</v>
      </c>
      <c r="U123">
        <v>-1.61733280448082</v>
      </c>
      <c r="V123">
        <v>0.60050456387205597</v>
      </c>
      <c r="W123">
        <v>1.55866429681528</v>
      </c>
      <c r="X123">
        <v>0.29560331146784802</v>
      </c>
      <c r="Y123">
        <v>0</v>
      </c>
    </row>
    <row r="124" spans="2:25" x14ac:dyDescent="0.35">
      <c r="O124">
        <v>1212278400</v>
      </c>
      <c r="P124">
        <v>5.9315949445940896</v>
      </c>
      <c r="Q124">
        <v>7.70377550979482</v>
      </c>
      <c r="R124">
        <v>4.1721354129874602</v>
      </c>
      <c r="S124">
        <v>3.02186149170296</v>
      </c>
      <c r="T124">
        <v>4.6769669366228204</v>
      </c>
      <c r="U124">
        <v>-0.50483152363535599</v>
      </c>
      <c r="V124">
        <v>1.2286234201856501</v>
      </c>
      <c r="W124">
        <v>1.7824298468108799</v>
      </c>
      <c r="X124">
        <v>0.67879231655857997</v>
      </c>
      <c r="Y124">
        <v>0.31933171615717598</v>
      </c>
    </row>
    <row r="125" spans="2:25" x14ac:dyDescent="0.35">
      <c r="O125">
        <v>1220227200</v>
      </c>
      <c r="P125">
        <v>7.3547106965834104</v>
      </c>
      <c r="Q125">
        <v>8.2609562292256999</v>
      </c>
      <c r="R125">
        <v>5.1056168434233502</v>
      </c>
      <c r="S125">
        <v>3.78636420348117</v>
      </c>
      <c r="T125">
        <v>4.88860708390773</v>
      </c>
      <c r="U125">
        <v>0.21700975951563201</v>
      </c>
      <c r="V125">
        <v>1.67334709268232</v>
      </c>
      <c r="W125">
        <v>1.95654882163303</v>
      </c>
      <c r="X125">
        <v>0.97050526356979805</v>
      </c>
      <c r="Y125">
        <v>0.55823881358786498</v>
      </c>
    </row>
    <row r="126" spans="2:25" x14ac:dyDescent="0.35">
      <c r="O126">
        <v>1228089600</v>
      </c>
      <c r="P126">
        <v>7.4122913959791896</v>
      </c>
      <c r="Q126">
        <v>8.9906433885980199</v>
      </c>
      <c r="R126">
        <v>5.9680944227246302</v>
      </c>
      <c r="S126">
        <v>4.0882263846827396</v>
      </c>
      <c r="T126">
        <v>5.0089129928070903</v>
      </c>
      <c r="U126">
        <v>0.95918142991754396</v>
      </c>
      <c r="V126">
        <v>1.6913410612435</v>
      </c>
      <c r="W126">
        <v>2.1845760589368801</v>
      </c>
      <c r="X126">
        <v>1.24002950710145</v>
      </c>
      <c r="Y126">
        <v>0.65257074521335701</v>
      </c>
    </row>
    <row r="127" spans="2:25" x14ac:dyDescent="0.35">
      <c r="O127">
        <v>1235865600</v>
      </c>
      <c r="P127">
        <v>8.7844434513447993</v>
      </c>
      <c r="Q127">
        <v>9.6299499881477502</v>
      </c>
      <c r="R127">
        <v>6.9066829303380599</v>
      </c>
      <c r="S127">
        <v>5.1475648044810898</v>
      </c>
      <c r="T127">
        <v>5.4888857832260198</v>
      </c>
      <c r="U127">
        <v>1.4177971471120501</v>
      </c>
      <c r="V127">
        <v>2.1201385785452498</v>
      </c>
      <c r="W127">
        <v>2.3843593712961701</v>
      </c>
      <c r="X127">
        <v>1.53333841573064</v>
      </c>
      <c r="Y127">
        <v>0.98361400140033906</v>
      </c>
    </row>
    <row r="128" spans="2:25" x14ac:dyDescent="0.35">
      <c r="O128">
        <v>1243814400</v>
      </c>
      <c r="P128">
        <v>9.7122909201529009</v>
      </c>
      <c r="Q128">
        <v>9.3847733700556706</v>
      </c>
      <c r="R128">
        <v>8.5000222284383593</v>
      </c>
      <c r="S128">
        <v>5.8684362897846798</v>
      </c>
      <c r="T128">
        <v>5.6341602135658597</v>
      </c>
      <c r="U128">
        <v>2.8658620148725</v>
      </c>
      <c r="V128">
        <v>2.4100909125477799</v>
      </c>
      <c r="W128">
        <v>2.3077416781424001</v>
      </c>
      <c r="X128">
        <v>2.0312569463869901</v>
      </c>
      <c r="Y128">
        <v>1.2088863405577099</v>
      </c>
    </row>
    <row r="129" spans="15:25" x14ac:dyDescent="0.35">
      <c r="O129">
        <v>1251763200</v>
      </c>
      <c r="P129">
        <v>10.0889590073142</v>
      </c>
      <c r="Q129">
        <v>9.1532665239249393</v>
      </c>
      <c r="R129">
        <v>9.4615457077764002</v>
      </c>
      <c r="S129">
        <v>6.7498933398747596</v>
      </c>
      <c r="T129">
        <v>5.9290229779123997</v>
      </c>
      <c r="U129">
        <v>3.5325227298640001</v>
      </c>
      <c r="V129">
        <v>2.5</v>
      </c>
      <c r="W129">
        <v>2.2353957887265401</v>
      </c>
      <c r="X129">
        <v>2.3317330336801199</v>
      </c>
      <c r="Y129">
        <v>1.4843416687108599</v>
      </c>
    </row>
    <row r="130" spans="15:25" x14ac:dyDescent="0.35">
      <c r="O130">
        <v>1259625600</v>
      </c>
      <c r="P130">
        <v>10.017763724333401</v>
      </c>
      <c r="Q130">
        <v>9.4824089802940392</v>
      </c>
      <c r="R130">
        <v>10.050240373839101</v>
      </c>
      <c r="S130">
        <v>6.4382946895336097</v>
      </c>
      <c r="T130">
        <v>6.4908137652708797</v>
      </c>
      <c r="U130">
        <v>3.5594266085682502</v>
      </c>
      <c r="V130">
        <v>2.5</v>
      </c>
      <c r="W130">
        <v>2.3382528063418899</v>
      </c>
      <c r="X130">
        <v>2.5</v>
      </c>
      <c r="Y130">
        <v>1.3869670904792499</v>
      </c>
    </row>
    <row r="131" spans="15:25" x14ac:dyDescent="0.35">
      <c r="O131">
        <v>1267401600</v>
      </c>
      <c r="P131">
        <v>8.5426640112856909</v>
      </c>
      <c r="Q131">
        <v>8.5216862969162701</v>
      </c>
      <c r="R131">
        <v>9.2501753145036005</v>
      </c>
      <c r="S131">
        <v>7.2012291483501203</v>
      </c>
      <c r="T131">
        <v>5.8418212847919397</v>
      </c>
      <c r="U131">
        <v>3.4083540297116599</v>
      </c>
      <c r="V131">
        <v>2.0445825035267799</v>
      </c>
      <c r="W131">
        <v>2.0380269677863398</v>
      </c>
      <c r="X131">
        <v>2.2656797857823698</v>
      </c>
      <c r="Y131">
        <v>1.6253841088594101</v>
      </c>
    </row>
    <row r="132" spans="15:25" x14ac:dyDescent="0.35">
      <c r="O132">
        <v>1275350400</v>
      </c>
      <c r="P132">
        <v>6.9124364843018</v>
      </c>
      <c r="Q132">
        <v>7.8814832003420303</v>
      </c>
      <c r="R132">
        <v>7.8697321345619002</v>
      </c>
      <c r="S132">
        <v>6.6704279694701603</v>
      </c>
      <c r="T132">
        <v>5.4791565543834002</v>
      </c>
      <c r="U132">
        <v>2.3905755801785</v>
      </c>
      <c r="V132">
        <v>1.5351364013443101</v>
      </c>
      <c r="W132">
        <v>1.8379635001068799</v>
      </c>
      <c r="X132">
        <v>1.83429129205059</v>
      </c>
      <c r="Y132">
        <v>1.45950874045943</v>
      </c>
    </row>
    <row r="133" spans="15:25" x14ac:dyDescent="0.35">
      <c r="O133">
        <v>1283299200</v>
      </c>
      <c r="P133">
        <v>5.5674279253757897</v>
      </c>
      <c r="Q133">
        <v>6.8050142045624202</v>
      </c>
      <c r="R133">
        <v>7.2199421512765598</v>
      </c>
      <c r="S133">
        <v>5.5407406697866799</v>
      </c>
      <c r="T133">
        <v>4.9864064860961799</v>
      </c>
      <c r="U133">
        <v>2.2335356651803902</v>
      </c>
      <c r="V133">
        <v>1.11482122667993</v>
      </c>
      <c r="W133">
        <v>1.50156693892576</v>
      </c>
      <c r="X133">
        <v>1.63123192227392</v>
      </c>
      <c r="Y133">
        <v>1.1064814593083401</v>
      </c>
    </row>
    <row r="134" spans="15:25" x14ac:dyDescent="0.35">
      <c r="O134">
        <v>1291161600</v>
      </c>
      <c r="P134">
        <v>6.0842312261306501</v>
      </c>
      <c r="Q134">
        <v>6.8555409898141502</v>
      </c>
      <c r="R134">
        <v>7.6628870292185596</v>
      </c>
      <c r="S134">
        <v>4.9937875349405703</v>
      </c>
      <c r="T134">
        <v>5.2377809702539997</v>
      </c>
      <c r="U134">
        <v>2.4251060589645599</v>
      </c>
      <c r="V134">
        <v>1.27632225816583</v>
      </c>
      <c r="W134">
        <v>1.51735655931692</v>
      </c>
      <c r="X134">
        <v>1.7696521966308001</v>
      </c>
      <c r="Y134">
        <v>0.93555860466892904</v>
      </c>
    </row>
    <row r="135" spans="15:25" x14ac:dyDescent="0.35">
      <c r="O135">
        <v>1298937600</v>
      </c>
      <c r="P135">
        <v>5.5036810459156698</v>
      </c>
      <c r="Q135">
        <v>6.09097043560035</v>
      </c>
      <c r="R135">
        <v>6.4292587056019697</v>
      </c>
      <c r="S135">
        <v>4.1836504427811603</v>
      </c>
      <c r="T135">
        <v>4.7563946906871504</v>
      </c>
      <c r="U135">
        <v>1.67286401491482</v>
      </c>
      <c r="V135">
        <v>1.0949003268486499</v>
      </c>
      <c r="W135">
        <v>1.2784282611251101</v>
      </c>
      <c r="X135">
        <v>1.38414334550062</v>
      </c>
      <c r="Y135">
        <v>0.68239076336911098</v>
      </c>
    </row>
    <row r="136" spans="15:25" x14ac:dyDescent="0.35">
      <c r="O136">
        <v>1306886400</v>
      </c>
      <c r="P136">
        <v>7.0793225173266601</v>
      </c>
      <c r="Q136">
        <v>6.4157531020273497</v>
      </c>
      <c r="R136">
        <v>7.5950921115015504</v>
      </c>
      <c r="S136">
        <v>5.5867475912739302</v>
      </c>
      <c r="T136">
        <v>4.7775363510252102</v>
      </c>
      <c r="U136">
        <v>2.8175557604763601</v>
      </c>
      <c r="V136">
        <v>1.5872882866645801</v>
      </c>
      <c r="W136">
        <v>1.3799228443835501</v>
      </c>
      <c r="X136">
        <v>1.7484662848442301</v>
      </c>
      <c r="Y136">
        <v>1.1208586222731001</v>
      </c>
    </row>
    <row r="137" spans="15:25" x14ac:dyDescent="0.35">
      <c r="O137">
        <v>1314835200</v>
      </c>
      <c r="P137">
        <v>8.2062726219024604</v>
      </c>
      <c r="Q137">
        <v>6.0643371424966199</v>
      </c>
      <c r="R137">
        <v>7.9159064472909302</v>
      </c>
      <c r="S137">
        <v>6.5536940751028103</v>
      </c>
      <c r="T137">
        <v>4.37365398298342</v>
      </c>
      <c r="U137">
        <v>3.5422524643075102</v>
      </c>
      <c r="V137">
        <v>1.93946019434452</v>
      </c>
      <c r="W137">
        <v>1.2701053570301899</v>
      </c>
      <c r="X137">
        <v>1.8487207647784201</v>
      </c>
      <c r="Y137">
        <v>1.4230293984696301</v>
      </c>
    </row>
    <row r="138" spans="15:25" x14ac:dyDescent="0.35">
      <c r="O138">
        <v>1322697600</v>
      </c>
      <c r="P138">
        <v>8.2210661135763292</v>
      </c>
      <c r="Q138">
        <v>5.4974839506557496</v>
      </c>
      <c r="R138">
        <v>7.38224540556413</v>
      </c>
      <c r="S138">
        <v>6.2793241421539898</v>
      </c>
      <c r="T138">
        <v>4.0394083115223696</v>
      </c>
      <c r="U138">
        <v>3.34283709404178</v>
      </c>
      <c r="V138">
        <v>1.9440831604926001</v>
      </c>
      <c r="W138">
        <v>1.0929637345799199</v>
      </c>
      <c r="X138">
        <v>1.68195168923879</v>
      </c>
      <c r="Y138">
        <v>1.33728879442312</v>
      </c>
    </row>
    <row r="139" spans="15:25" x14ac:dyDescent="0.35">
      <c r="O139">
        <v>1330560000</v>
      </c>
      <c r="P139">
        <v>8.9845861183012197</v>
      </c>
      <c r="Q139">
        <v>4.6272123787011399</v>
      </c>
      <c r="R139">
        <v>7.7070642763498096</v>
      </c>
      <c r="S139">
        <v>7.2315569317799602</v>
      </c>
      <c r="T139">
        <v>3.5272888211389599</v>
      </c>
      <c r="U139">
        <v>4.1797754552108604</v>
      </c>
      <c r="V139">
        <v>2.18268316196913</v>
      </c>
      <c r="W139">
        <v>0.82100386834410699</v>
      </c>
      <c r="X139">
        <v>1.7834575863593201</v>
      </c>
      <c r="Y139">
        <v>1.6348615411812399</v>
      </c>
    </row>
    <row r="140" spans="15:25" x14ac:dyDescent="0.35">
      <c r="O140">
        <v>1338508800</v>
      </c>
      <c r="P140">
        <v>9.7351682067277494</v>
      </c>
      <c r="Q140">
        <v>3.9303111239413302</v>
      </c>
      <c r="R140">
        <v>8.2812576860698908</v>
      </c>
      <c r="S140">
        <v>8.0898366020910792</v>
      </c>
      <c r="T140">
        <v>3.1369378009280799</v>
      </c>
      <c r="U140">
        <v>5.1443198851418197</v>
      </c>
      <c r="V140">
        <v>2.4172400646024199</v>
      </c>
      <c r="W140">
        <v>0.60322222623166599</v>
      </c>
      <c r="X140">
        <v>1.9628930268968401</v>
      </c>
      <c r="Y140">
        <v>1.90307393815346</v>
      </c>
    </row>
    <row r="141" spans="15:25" x14ac:dyDescent="0.35">
      <c r="O141">
        <v>1346457600</v>
      </c>
      <c r="P141">
        <v>8.5553797642890004</v>
      </c>
      <c r="Q141">
        <v>2.9956589198249199</v>
      </c>
      <c r="R141">
        <v>7.6809363473426799</v>
      </c>
      <c r="S141">
        <v>7.6944321698871097</v>
      </c>
      <c r="T141">
        <v>2.5587282864544001</v>
      </c>
      <c r="U141">
        <v>5.1222080608882798</v>
      </c>
      <c r="V141">
        <v>2.04855617634031</v>
      </c>
      <c r="W141">
        <v>0.31114341244528698</v>
      </c>
      <c r="X141">
        <v>1.7752926085445899</v>
      </c>
      <c r="Y141">
        <v>1.7795100530897201</v>
      </c>
    </row>
    <row r="142" spans="15:25" x14ac:dyDescent="0.35">
      <c r="O142">
        <v>1354320000</v>
      </c>
      <c r="P142">
        <v>7.7742745109309501</v>
      </c>
      <c r="Q142">
        <v>2.7384796449978399</v>
      </c>
      <c r="R142">
        <v>6.8457066486196299</v>
      </c>
      <c r="S142">
        <v>6.20021528871965</v>
      </c>
      <c r="T142">
        <v>2.4708555553535798</v>
      </c>
      <c r="U142">
        <v>4.3748510932660496</v>
      </c>
      <c r="V142">
        <v>1.80446078466592</v>
      </c>
      <c r="W142">
        <v>0.230774889061823</v>
      </c>
      <c r="X142">
        <v>1.5142833276936301</v>
      </c>
      <c r="Y142">
        <v>1.31256727772489</v>
      </c>
    </row>
    <row r="143" spans="15:25" x14ac:dyDescent="0.35">
      <c r="O143">
        <v>1362096000</v>
      </c>
      <c r="P143">
        <v>6.4265062965459796</v>
      </c>
      <c r="Q143">
        <v>2.0392845495004601</v>
      </c>
      <c r="R143">
        <v>5.9042510835888402</v>
      </c>
      <c r="S143">
        <v>5.8789777850484803</v>
      </c>
      <c r="T143">
        <v>2.01277946945652</v>
      </c>
      <c r="U143">
        <v>3.89147161413233</v>
      </c>
      <c r="V143">
        <v>1.38328321767062</v>
      </c>
      <c r="W143">
        <v>1.22764217188941E-2</v>
      </c>
      <c r="X143">
        <v>1.2200784636215101</v>
      </c>
      <c r="Y143">
        <v>1.2121805578276501</v>
      </c>
    </row>
    <row r="144" spans="15:25" x14ac:dyDescent="0.35">
      <c r="O144">
        <v>1370044800</v>
      </c>
      <c r="P144">
        <v>3.7213082787995</v>
      </c>
      <c r="Q144">
        <v>1.3256775109350001</v>
      </c>
      <c r="R144">
        <v>4.0593771996953896</v>
      </c>
      <c r="S144">
        <v>4.6368053889013998</v>
      </c>
      <c r="T144">
        <v>1.57344895547996</v>
      </c>
      <c r="U144">
        <v>2.4859282442154398</v>
      </c>
      <c r="V144">
        <v>0.53790883712484405</v>
      </c>
      <c r="W144">
        <v>0</v>
      </c>
      <c r="X144">
        <v>0.64355537490480996</v>
      </c>
      <c r="Y144">
        <v>0.82400168403168705</v>
      </c>
    </row>
    <row r="145" spans="15:25" x14ac:dyDescent="0.35">
      <c r="O145">
        <v>1377993600</v>
      </c>
      <c r="P145">
        <v>2.99223584018161</v>
      </c>
      <c r="Q145">
        <v>0.61092627276966505</v>
      </c>
      <c r="R145">
        <v>3.77133677781638</v>
      </c>
      <c r="S145">
        <v>4.3957014072937302</v>
      </c>
      <c r="T145">
        <v>1.31054658656962</v>
      </c>
      <c r="U145">
        <v>2.4607901912467698</v>
      </c>
      <c r="V145">
        <v>0.310073700056754</v>
      </c>
      <c r="W145">
        <v>0</v>
      </c>
      <c r="X145">
        <v>0.55354274306761997</v>
      </c>
      <c r="Y145">
        <v>0.74865668977929201</v>
      </c>
    </row>
    <row r="146" spans="15:25" x14ac:dyDescent="0.35">
      <c r="O146">
        <v>1385856000</v>
      </c>
      <c r="P146">
        <v>1.4206375155900099</v>
      </c>
      <c r="Q146">
        <v>-1.42037073211621E-2</v>
      </c>
      <c r="R146">
        <v>2.4465112404144</v>
      </c>
      <c r="S146">
        <v>2.12347594875065</v>
      </c>
      <c r="T146">
        <v>0.86397034947794304</v>
      </c>
      <c r="U146">
        <v>1.58254089093647</v>
      </c>
      <c r="V146">
        <v>0</v>
      </c>
      <c r="W146">
        <v>0</v>
      </c>
      <c r="X146">
        <v>0.13953476262950101</v>
      </c>
      <c r="Y146">
        <v>3.8586233984578597E-2</v>
      </c>
    </row>
    <row r="147" spans="15:25" x14ac:dyDescent="0.35">
      <c r="O147">
        <v>1393632000</v>
      </c>
      <c r="P147">
        <v>2.2821969051292701</v>
      </c>
      <c r="Q147">
        <v>-0.30218155733943702</v>
      </c>
      <c r="R147">
        <v>2.0608159290258001</v>
      </c>
      <c r="S147">
        <v>2.9774631154887801</v>
      </c>
      <c r="T147">
        <v>0.63401823100617805</v>
      </c>
      <c r="U147">
        <v>1.42679769801962</v>
      </c>
      <c r="V147">
        <v>8.8186532852895294E-2</v>
      </c>
      <c r="W147">
        <v>0</v>
      </c>
      <c r="X147">
        <v>1.90049778205632E-2</v>
      </c>
      <c r="Y147">
        <v>0.30545722359024402</v>
      </c>
    </row>
    <row r="148" spans="15:25" x14ac:dyDescent="0.35">
      <c r="O148">
        <v>1401580800</v>
      </c>
      <c r="P148">
        <v>3.51429094644566</v>
      </c>
      <c r="Q148">
        <v>-0.45916715727073099</v>
      </c>
      <c r="R148">
        <v>2.5841569145074401</v>
      </c>
      <c r="S148">
        <v>3.3349230120493001</v>
      </c>
      <c r="T148">
        <v>0.38991627632856302</v>
      </c>
      <c r="U148">
        <v>2.1942406381788802</v>
      </c>
      <c r="V148">
        <v>0.47321592076426799</v>
      </c>
      <c r="W148">
        <v>0</v>
      </c>
      <c r="X148">
        <v>0.18254903578357601</v>
      </c>
      <c r="Y148">
        <v>0.417163441265405</v>
      </c>
    </row>
    <row r="149" spans="15:25" x14ac:dyDescent="0.35">
      <c r="O149">
        <v>1409529600</v>
      </c>
      <c r="P149">
        <v>3.8072827962101199</v>
      </c>
      <c r="Q149">
        <v>-0.96003030172797199</v>
      </c>
      <c r="R149">
        <v>2.51922879393164</v>
      </c>
      <c r="S149">
        <v>3.95077724806375</v>
      </c>
      <c r="T149">
        <v>-9.0115341144362295E-3</v>
      </c>
      <c r="U149">
        <v>2.5282403280460799</v>
      </c>
      <c r="V149">
        <v>0.56477587381566097</v>
      </c>
      <c r="W149">
        <v>0</v>
      </c>
      <c r="X149">
        <v>0.162258998103639</v>
      </c>
      <c r="Y149">
        <v>0.60961789001992095</v>
      </c>
    </row>
    <row r="150" spans="15:25" x14ac:dyDescent="0.35">
      <c r="O150">
        <v>1417392000</v>
      </c>
      <c r="P150">
        <v>3.8842336062779901</v>
      </c>
      <c r="Q150">
        <v>-1.03374987022617</v>
      </c>
      <c r="R150">
        <v>2.0488797474664602</v>
      </c>
      <c r="S150">
        <v>2.5679085836207101</v>
      </c>
      <c r="T150">
        <v>-0.18841808515716299</v>
      </c>
      <c r="U150">
        <v>2.2372978326236201</v>
      </c>
      <c r="V150">
        <v>0.58882300196187198</v>
      </c>
      <c r="W150">
        <v>0</v>
      </c>
      <c r="X150">
        <v>1.5274921083268099E-2</v>
      </c>
      <c r="Y150">
        <v>0.17747143238147201</v>
      </c>
    </row>
    <row r="151" spans="15:25" x14ac:dyDescent="0.35">
      <c r="O151">
        <v>1425168000</v>
      </c>
      <c r="P151">
        <v>5.2584338221733598</v>
      </c>
      <c r="Q151">
        <v>-1.2712956516887</v>
      </c>
      <c r="R151">
        <v>0.86779671544465697</v>
      </c>
      <c r="S151">
        <v>1.56228994458281</v>
      </c>
      <c r="T151">
        <v>-0.681570985022387</v>
      </c>
      <c r="U151">
        <v>1.5493677004670501</v>
      </c>
      <c r="V151">
        <v>1.01826056942917</v>
      </c>
      <c r="W151">
        <v>0</v>
      </c>
      <c r="X151">
        <v>0</v>
      </c>
      <c r="Y151">
        <v>0</v>
      </c>
    </row>
    <row r="152" spans="15:25" x14ac:dyDescent="0.35">
      <c r="O152">
        <v>1433116800</v>
      </c>
      <c r="P152">
        <v>4.50070216525517</v>
      </c>
      <c r="Q152">
        <v>-1.1911845712906599</v>
      </c>
      <c r="R152">
        <v>-0.387503779453299</v>
      </c>
      <c r="S152">
        <v>0.57472888306708203</v>
      </c>
      <c r="T152">
        <v>-0.80593289887974995</v>
      </c>
      <c r="U152">
        <v>0.41842911942644501</v>
      </c>
      <c r="V152">
        <v>0.78146942664224095</v>
      </c>
      <c r="W152">
        <v>0</v>
      </c>
      <c r="X152">
        <v>0</v>
      </c>
      <c r="Y152">
        <v>0</v>
      </c>
    </row>
    <row r="153" spans="15:25" x14ac:dyDescent="0.35">
      <c r="O153">
        <v>1441065600</v>
      </c>
      <c r="P153">
        <v>4.0856549840848899</v>
      </c>
      <c r="Q153">
        <v>-1.2358238389054801</v>
      </c>
      <c r="R153">
        <v>-0.49189240100000597</v>
      </c>
      <c r="S153">
        <v>0.199339026182238</v>
      </c>
      <c r="T153">
        <v>-0.81592848839820298</v>
      </c>
      <c r="U153">
        <v>0.32403608739819001</v>
      </c>
      <c r="V153">
        <v>0.65176718252652699</v>
      </c>
      <c r="W153">
        <v>0</v>
      </c>
      <c r="X153">
        <v>0</v>
      </c>
      <c r="Y153">
        <v>0</v>
      </c>
    </row>
    <row r="154" spans="15:25" x14ac:dyDescent="0.35">
      <c r="O154">
        <v>1448928000</v>
      </c>
      <c r="P154">
        <v>4.83472986813209</v>
      </c>
      <c r="Q154">
        <v>-1.24574932231199</v>
      </c>
      <c r="R154">
        <v>-0.33550260209389898</v>
      </c>
      <c r="S154">
        <v>-0.671124129816982</v>
      </c>
      <c r="T154">
        <v>-0.97354157130574104</v>
      </c>
      <c r="U154">
        <v>0.638038969211847</v>
      </c>
      <c r="V154">
        <v>0.88585308379127803</v>
      </c>
      <c r="W154">
        <v>0</v>
      </c>
      <c r="X154">
        <v>0</v>
      </c>
      <c r="Y154">
        <v>0</v>
      </c>
    </row>
    <row r="155" spans="15:25" x14ac:dyDescent="0.35">
      <c r="O155">
        <v>1456790400</v>
      </c>
      <c r="P155">
        <v>2.7692357541300701</v>
      </c>
      <c r="Q155">
        <v>-1.5930040288823599</v>
      </c>
      <c r="R155">
        <v>-2.5897560655565899</v>
      </c>
      <c r="S155">
        <v>-1.79850159575267</v>
      </c>
      <c r="T155">
        <v>-1.60944332566473</v>
      </c>
      <c r="U155">
        <v>-0.98031273989186196</v>
      </c>
      <c r="V155">
        <v>0.24038617316564601</v>
      </c>
      <c r="W155">
        <v>0</v>
      </c>
      <c r="X155">
        <v>0</v>
      </c>
      <c r="Y155">
        <v>0</v>
      </c>
    </row>
    <row r="156" spans="15:25" x14ac:dyDescent="0.35">
      <c r="O156">
        <v>1464739200</v>
      </c>
      <c r="P156">
        <v>4.0749998673061798</v>
      </c>
      <c r="Q156">
        <v>-1.11033190819811</v>
      </c>
      <c r="R156">
        <v>-1.8971792580190501</v>
      </c>
      <c r="S156">
        <v>-1.21800733546115</v>
      </c>
      <c r="T156">
        <v>-1.50535763821061</v>
      </c>
      <c r="U156">
        <v>-0.39182161980843799</v>
      </c>
      <c r="V156">
        <v>0.64843745853318002</v>
      </c>
      <c r="W156">
        <v>0</v>
      </c>
      <c r="X156">
        <v>0</v>
      </c>
      <c r="Y156">
        <v>0</v>
      </c>
    </row>
    <row r="157" spans="15:25" x14ac:dyDescent="0.35">
      <c r="O157">
        <v>1472688000</v>
      </c>
      <c r="P157">
        <v>4.1893308436984897</v>
      </c>
      <c r="Q157">
        <v>-1.0479472172459401</v>
      </c>
      <c r="R157">
        <v>-1.4335895468409501</v>
      </c>
      <c r="S157">
        <v>-1.15885428661029</v>
      </c>
      <c r="T157">
        <v>-1.29771934207104</v>
      </c>
      <c r="U157">
        <v>-0.13587020476991399</v>
      </c>
      <c r="V157">
        <v>0.68416588865577899</v>
      </c>
      <c r="W157">
        <v>0</v>
      </c>
      <c r="X157">
        <v>0</v>
      </c>
      <c r="Y157">
        <v>0</v>
      </c>
    </row>
    <row r="158" spans="15:25" x14ac:dyDescent="0.35">
      <c r="O158">
        <v>1480550400</v>
      </c>
      <c r="P158">
        <v>4.7701064141535401</v>
      </c>
      <c r="Q158">
        <v>-0.36117676165323997</v>
      </c>
      <c r="R158">
        <v>-1.04577004915573</v>
      </c>
      <c r="S158">
        <v>-1.6276925177228501</v>
      </c>
      <c r="T158">
        <v>-0.80029075750113998</v>
      </c>
      <c r="U158">
        <v>-0.245479291654598</v>
      </c>
      <c r="V158">
        <v>0.86565825442298205</v>
      </c>
      <c r="W158">
        <v>0</v>
      </c>
      <c r="X158">
        <v>0</v>
      </c>
      <c r="Y158">
        <v>0</v>
      </c>
    </row>
    <row r="159" spans="15:25" x14ac:dyDescent="0.35">
      <c r="O159">
        <v>1488326400</v>
      </c>
      <c r="P159">
        <v>5.7224941006874399</v>
      </c>
      <c r="Q159">
        <v>-0.17570434043070399</v>
      </c>
      <c r="R159">
        <v>-0.12597594714257099</v>
      </c>
      <c r="S159">
        <v>-1.3754710386058999</v>
      </c>
      <c r="T159">
        <v>-0.93040731125571097</v>
      </c>
      <c r="U159">
        <v>0.80443136411312099</v>
      </c>
      <c r="V159">
        <v>1.16327940646482</v>
      </c>
      <c r="W159">
        <v>0</v>
      </c>
      <c r="X159">
        <v>0</v>
      </c>
      <c r="Y159">
        <v>0</v>
      </c>
    </row>
    <row r="160" spans="15:25" x14ac:dyDescent="0.35">
      <c r="O160">
        <v>1496275200</v>
      </c>
      <c r="P160">
        <v>4.8674954591558697</v>
      </c>
      <c r="Q160">
        <v>8.3803256880015803E-2</v>
      </c>
      <c r="R160">
        <v>-0.39924980120732201</v>
      </c>
      <c r="S160">
        <v>-0.32329209232761302</v>
      </c>
      <c r="T160">
        <v>-0.69055205380936802</v>
      </c>
      <c r="U160">
        <v>0.29130225260204101</v>
      </c>
      <c r="V160">
        <v>0.896092330986209</v>
      </c>
      <c r="W160">
        <v>0</v>
      </c>
      <c r="X160">
        <v>0</v>
      </c>
      <c r="Y160">
        <v>0</v>
      </c>
    </row>
    <row r="161" spans="15:25" x14ac:dyDescent="0.35">
      <c r="O161">
        <v>1504224000</v>
      </c>
      <c r="P161">
        <v>3.4958648548021101</v>
      </c>
      <c r="Q161">
        <v>-0.11321859557724701</v>
      </c>
      <c r="R161">
        <v>-0.77351560142097497</v>
      </c>
      <c r="S161">
        <v>-1.15580852200174</v>
      </c>
      <c r="T161">
        <v>-0.84181284006866497</v>
      </c>
      <c r="U161">
        <v>6.8297238647649694E-2</v>
      </c>
      <c r="V161">
        <v>0.46745776712565801</v>
      </c>
      <c r="W161">
        <v>0</v>
      </c>
      <c r="X161">
        <v>0</v>
      </c>
      <c r="Y161">
        <v>0</v>
      </c>
    </row>
    <row r="162" spans="15:25" x14ac:dyDescent="0.35">
      <c r="O162">
        <v>1512086400</v>
      </c>
      <c r="P162">
        <v>2.69344063693431</v>
      </c>
      <c r="Q162">
        <v>6.4157732548764695E-2</v>
      </c>
      <c r="R162">
        <v>-1.0823426138101899</v>
      </c>
      <c r="S162">
        <v>-1.3072669681814599</v>
      </c>
      <c r="T162">
        <v>-0.785034970451155</v>
      </c>
      <c r="U162">
        <v>-0.297307643359077</v>
      </c>
      <c r="V162">
        <v>0.21670019904196999</v>
      </c>
      <c r="W162">
        <v>0</v>
      </c>
      <c r="X162">
        <v>0</v>
      </c>
      <c r="Y162">
        <v>0</v>
      </c>
    </row>
    <row r="163" spans="15:25" x14ac:dyDescent="0.35">
      <c r="O163">
        <v>1519862400</v>
      </c>
      <c r="P163">
        <v>2.7448622332769999</v>
      </c>
      <c r="Q163">
        <v>-0.208897274559532</v>
      </c>
      <c r="R163">
        <v>-1.8668613521828701</v>
      </c>
      <c r="S163">
        <v>-1.8484207445841201</v>
      </c>
      <c r="T163">
        <v>-1.01816555403346</v>
      </c>
      <c r="U163">
        <v>-0.84869579814944895</v>
      </c>
      <c r="V163">
        <v>0.23276944789906101</v>
      </c>
      <c r="W163">
        <v>0</v>
      </c>
      <c r="X163">
        <v>0</v>
      </c>
      <c r="Y163">
        <v>0</v>
      </c>
    </row>
    <row r="164" spans="15:25" x14ac:dyDescent="0.35">
      <c r="O164">
        <v>1527811200</v>
      </c>
      <c r="P164">
        <v>3.6537517158634198</v>
      </c>
      <c r="Q164">
        <v>0.17583781418436401</v>
      </c>
      <c r="R164">
        <v>-0.51941560804894804</v>
      </c>
      <c r="S164">
        <v>-0.16310111629416599</v>
      </c>
      <c r="T164">
        <v>-0.82378823469511497</v>
      </c>
      <c r="U164">
        <v>0.304372626646084</v>
      </c>
      <c r="V164">
        <v>0.51679741120732003</v>
      </c>
      <c r="W164">
        <v>0</v>
      </c>
      <c r="X164">
        <v>0</v>
      </c>
      <c r="Y164">
        <v>0</v>
      </c>
    </row>
    <row r="165" spans="15:25" x14ac:dyDescent="0.35">
      <c r="O165">
        <v>1535760000</v>
      </c>
      <c r="P165">
        <v>3.4838585929439501</v>
      </c>
      <c r="Q165">
        <v>0.28161610411928101</v>
      </c>
      <c r="R165">
        <v>-0.13379289003938599</v>
      </c>
      <c r="S165">
        <v>0.54469853322092299</v>
      </c>
      <c r="T165">
        <v>-0.75925962552832904</v>
      </c>
      <c r="U165">
        <v>0.625466735488864</v>
      </c>
      <c r="V165">
        <v>0.46370581029498398</v>
      </c>
      <c r="W165">
        <v>0</v>
      </c>
      <c r="X165">
        <v>0</v>
      </c>
      <c r="Y165">
        <v>0</v>
      </c>
    </row>
    <row r="166" spans="15:25" x14ac:dyDescent="0.35">
      <c r="O166">
        <v>1543622400</v>
      </c>
      <c r="P166">
        <v>3.01861005008214</v>
      </c>
      <c r="Q166">
        <v>0.80351601212493795</v>
      </c>
      <c r="R166">
        <v>-0.227517422220127</v>
      </c>
      <c r="S166">
        <v>-1.56075830287364E-2</v>
      </c>
      <c r="T166">
        <v>-0.50458726685958699</v>
      </c>
      <c r="U166">
        <v>0.27706984463936501</v>
      </c>
      <c r="V166">
        <v>0.31831564065066997</v>
      </c>
      <c r="W166">
        <v>0</v>
      </c>
      <c r="X166">
        <v>0</v>
      </c>
      <c r="Y166">
        <v>0</v>
      </c>
    </row>
    <row r="167" spans="15:25" x14ac:dyDescent="0.35">
      <c r="O167">
        <v>1551398400</v>
      </c>
      <c r="P167">
        <v>3.5701620308553701</v>
      </c>
      <c r="Q167">
        <v>-5.2107327971459803E-2</v>
      </c>
      <c r="R167">
        <v>-0.18949278251267901</v>
      </c>
      <c r="S167">
        <v>0.12178172969962001</v>
      </c>
      <c r="T167">
        <v>-1.3088694363992801</v>
      </c>
      <c r="U167">
        <v>1.11937665388651</v>
      </c>
      <c r="V167">
        <v>0.49067563464230302</v>
      </c>
      <c r="W167">
        <v>0</v>
      </c>
      <c r="X167">
        <v>0</v>
      </c>
      <c r="Y167">
        <v>0</v>
      </c>
    </row>
    <row r="168" spans="15:25" x14ac:dyDescent="0.35">
      <c r="O168">
        <v>1559347200</v>
      </c>
      <c r="P168">
        <v>4.1890177747110799</v>
      </c>
      <c r="Q168">
        <v>0.487174437233867</v>
      </c>
      <c r="R168">
        <v>0.87729124886122101</v>
      </c>
      <c r="S168">
        <v>1.67285373427703</v>
      </c>
      <c r="T168">
        <v>-0.97758484236263299</v>
      </c>
      <c r="U168">
        <v>1.8548760912237501</v>
      </c>
      <c r="V168">
        <v>0.68406805459721198</v>
      </c>
      <c r="W168">
        <v>0</v>
      </c>
      <c r="X168">
        <v>0</v>
      </c>
      <c r="Y168">
        <v>0</v>
      </c>
    </row>
    <row r="169" spans="15:25" x14ac:dyDescent="0.35">
      <c r="O169">
        <v>1567296000</v>
      </c>
      <c r="P169">
        <v>5.0307644902005704</v>
      </c>
      <c r="Q169">
        <v>0.87965663708300601</v>
      </c>
      <c r="R169">
        <v>1.54771903258731</v>
      </c>
      <c r="S169">
        <v>1.92648537765718</v>
      </c>
      <c r="T169">
        <v>-0.53322547839814205</v>
      </c>
      <c r="U169">
        <v>2.0809445109853399</v>
      </c>
      <c r="V169">
        <v>0.94711390318767696</v>
      </c>
      <c r="W169">
        <v>0</v>
      </c>
      <c r="X169">
        <v>0</v>
      </c>
      <c r="Y169">
        <v>0</v>
      </c>
    </row>
    <row r="170" spans="15:25" x14ac:dyDescent="0.35">
      <c r="O170">
        <v>1575158400</v>
      </c>
      <c r="P170">
        <v>4.0878686690438997</v>
      </c>
      <c r="Q170">
        <v>1.0268369908417601</v>
      </c>
      <c r="R170">
        <v>0.64676186784374501</v>
      </c>
      <c r="S170">
        <v>0.80154790104177598</v>
      </c>
      <c r="T170">
        <v>-0.215653919826722</v>
      </c>
      <c r="U170">
        <v>0.862415787670339</v>
      </c>
      <c r="V170">
        <v>0.65245895907621898</v>
      </c>
      <c r="W170">
        <v>0</v>
      </c>
      <c r="X170">
        <v>0</v>
      </c>
      <c r="Y170">
        <v>0</v>
      </c>
    </row>
    <row r="171" spans="15:25" x14ac:dyDescent="0.35">
      <c r="O171">
        <v>1583020800</v>
      </c>
      <c r="P171">
        <v>6.8683549789254297</v>
      </c>
      <c r="Q171">
        <v>2.0567951750720499</v>
      </c>
      <c r="R171">
        <v>1.77260905541947</v>
      </c>
      <c r="S171">
        <v>1.0286385899050901</v>
      </c>
      <c r="T171">
        <v>0.129173471845102</v>
      </c>
      <c r="U171">
        <v>1.64343558357425</v>
      </c>
      <c r="V171">
        <v>1.5213609309142</v>
      </c>
      <c r="W171">
        <v>1.7748492210016599E-2</v>
      </c>
      <c r="X171">
        <v>0</v>
      </c>
      <c r="Y171">
        <v>0</v>
      </c>
    </row>
    <row r="172" spans="15:25" x14ac:dyDescent="0.35">
      <c r="O172">
        <v>1590969600</v>
      </c>
      <c r="P172">
        <v>19.788227230722999</v>
      </c>
      <c r="Q172">
        <v>8.3476248002850504</v>
      </c>
      <c r="R172">
        <v>11.864586047342099</v>
      </c>
      <c r="S172">
        <v>4.4157455459031398</v>
      </c>
      <c r="T172">
        <v>2.2826339663603998</v>
      </c>
      <c r="U172">
        <v>9.5819520809815195</v>
      </c>
      <c r="V172">
        <v>2.5</v>
      </c>
      <c r="W172">
        <v>1.98363275008908</v>
      </c>
      <c r="X172">
        <v>2.5</v>
      </c>
      <c r="Y172">
        <v>0.75492048309473003</v>
      </c>
    </row>
    <row r="173" spans="15:25" x14ac:dyDescent="0.35">
      <c r="O173">
        <v>1598918400</v>
      </c>
      <c r="P173">
        <v>22.025668659432199</v>
      </c>
      <c r="Q173">
        <v>10.366147590208</v>
      </c>
      <c r="R173">
        <v>13.6205470134026</v>
      </c>
      <c r="S173">
        <v>5.3762771521285799</v>
      </c>
      <c r="T173">
        <v>3.1610160348833198</v>
      </c>
      <c r="U173">
        <v>10.4595309785191</v>
      </c>
      <c r="V173">
        <v>2.5</v>
      </c>
      <c r="W173">
        <v>2.5</v>
      </c>
      <c r="X173">
        <v>2.5</v>
      </c>
      <c r="Y173">
        <v>1.0550866100401799</v>
      </c>
    </row>
    <row r="174" spans="15:25" x14ac:dyDescent="0.35">
      <c r="O174">
        <v>1606780800</v>
      </c>
      <c r="P174">
        <v>23.6386489180802</v>
      </c>
      <c r="Q174">
        <v>11.135453313286099</v>
      </c>
      <c r="R174">
        <v>14.6786405965432</v>
      </c>
      <c r="S174">
        <v>5.7771634751842003</v>
      </c>
      <c r="T174">
        <v>3.86094189863574</v>
      </c>
      <c r="U174">
        <v>10.8176986979073</v>
      </c>
      <c r="V174">
        <v>2.5</v>
      </c>
      <c r="W174">
        <v>2.5</v>
      </c>
      <c r="X174">
        <v>2.5</v>
      </c>
      <c r="Y174">
        <v>1.1803635859950601</v>
      </c>
    </row>
    <row r="175" spans="15:25" x14ac:dyDescent="0.35">
      <c r="O175">
        <v>1614556800</v>
      </c>
      <c r="P175">
        <v>20.045094276776702</v>
      </c>
      <c r="Q175">
        <v>9.8814934410819895</v>
      </c>
      <c r="R175">
        <v>11.4330329858944</v>
      </c>
      <c r="S175">
        <v>3.9427528868773498</v>
      </c>
      <c r="T175">
        <v>3.19319191091226</v>
      </c>
      <c r="U175">
        <v>8.2398410749819995</v>
      </c>
      <c r="V175">
        <v>2.5</v>
      </c>
      <c r="W175">
        <v>2.4629667003381202</v>
      </c>
      <c r="X175">
        <v>2.5</v>
      </c>
      <c r="Y175">
        <v>0.60711027714917298</v>
      </c>
    </row>
    <row r="176" spans="15:25" x14ac:dyDescent="0.35">
      <c r="O176">
        <v>1622505600</v>
      </c>
      <c r="P176">
        <v>11.4488723590023</v>
      </c>
      <c r="Q176">
        <v>6.07992956750922</v>
      </c>
      <c r="R176">
        <v>5.4789000003601496</v>
      </c>
      <c r="S176">
        <v>0.68848636598653201</v>
      </c>
      <c r="T176">
        <v>1.5430939095254601</v>
      </c>
      <c r="U176">
        <v>3.9358060908345101</v>
      </c>
      <c r="V176">
        <v>2.5</v>
      </c>
      <c r="W176">
        <v>1.27497798984663</v>
      </c>
      <c r="X176">
        <v>1.08715625011255</v>
      </c>
      <c r="Y176">
        <v>0</v>
      </c>
    </row>
    <row r="177" spans="15:25" x14ac:dyDescent="0.35">
      <c r="O177">
        <v>1630454400</v>
      </c>
      <c r="P177">
        <v>7.7143542285050399</v>
      </c>
      <c r="Q177">
        <v>4.5829972326212003</v>
      </c>
      <c r="R177">
        <v>2.9200408484326101</v>
      </c>
      <c r="S177">
        <v>-1.06982896832131</v>
      </c>
      <c r="T177">
        <v>1.0273913966894499</v>
      </c>
      <c r="U177">
        <v>1.8926494517429699</v>
      </c>
      <c r="V177">
        <v>1.7857356964078299</v>
      </c>
      <c r="W177">
        <v>0.80718663519412504</v>
      </c>
      <c r="X177">
        <v>0.28751276513519203</v>
      </c>
      <c r="Y177">
        <v>0</v>
      </c>
    </row>
    <row r="178" spans="15:25" x14ac:dyDescent="0.35">
      <c r="O178">
        <v>1638316800</v>
      </c>
      <c r="P178">
        <v>4.8816635898819003</v>
      </c>
      <c r="Q178">
        <v>3.4083687229856401</v>
      </c>
      <c r="R178">
        <v>1.09815032572426</v>
      </c>
      <c r="S178">
        <v>-2.66087053845864</v>
      </c>
      <c r="T178">
        <v>0.33270649455137102</v>
      </c>
      <c r="U178">
        <v>0.765443831172681</v>
      </c>
      <c r="V178">
        <v>0.90051987183809201</v>
      </c>
      <c r="W178">
        <v>0.440115225933012</v>
      </c>
      <c r="X178">
        <v>0</v>
      </c>
      <c r="Y178">
        <v>0</v>
      </c>
    </row>
    <row r="179" spans="15:25" x14ac:dyDescent="0.35">
      <c r="O179">
        <v>1646092800</v>
      </c>
      <c r="P179">
        <v>2.0266952227467301</v>
      </c>
      <c r="Q179">
        <v>2.2573699721750602</v>
      </c>
      <c r="R179">
        <v>-2.0146435452334099</v>
      </c>
      <c r="S179">
        <v>-4.5425119372519802</v>
      </c>
      <c r="T179">
        <v>-0.48231701921964099</v>
      </c>
      <c r="U179">
        <v>-1.53232652601399</v>
      </c>
      <c r="V179">
        <v>8.3422571083523502E-3</v>
      </c>
      <c r="W179">
        <v>8.0428116304706102E-2</v>
      </c>
      <c r="X179">
        <v>0</v>
      </c>
      <c r="Y179">
        <v>0</v>
      </c>
    </row>
    <row r="180" spans="15:25" x14ac:dyDescent="0.35">
      <c r="O180">
        <v>1654041600</v>
      </c>
      <c r="P180">
        <v>0.17286639733753301</v>
      </c>
      <c r="Q180">
        <v>1.96961621160533</v>
      </c>
      <c r="R180">
        <v>-4.2990862692572698</v>
      </c>
      <c r="S180">
        <v>-5.9514021183786996</v>
      </c>
      <c r="T180">
        <v>-0.61619558977887501</v>
      </c>
      <c r="U180">
        <v>-3.6828906794786098</v>
      </c>
      <c r="V180">
        <v>0</v>
      </c>
      <c r="W180">
        <v>0</v>
      </c>
      <c r="X180">
        <v>0</v>
      </c>
      <c r="Y180">
        <v>0</v>
      </c>
    </row>
    <row r="181" spans="15:25" x14ac:dyDescent="0.35">
      <c r="O181">
        <v>1661990400</v>
      </c>
      <c r="P181">
        <v>-0.228842012134786</v>
      </c>
      <c r="Q181">
        <v>1.7115607652309499</v>
      </c>
      <c r="R181">
        <v>-4.4979132602626697</v>
      </c>
      <c r="S181">
        <v>-5.5548145571921701</v>
      </c>
      <c r="T181">
        <v>-0.863092927450679</v>
      </c>
      <c r="U181">
        <v>-3.6348203328122</v>
      </c>
      <c r="V181">
        <v>0</v>
      </c>
      <c r="W181">
        <v>0</v>
      </c>
      <c r="X181">
        <v>0</v>
      </c>
      <c r="Y181">
        <v>0</v>
      </c>
    </row>
    <row r="182" spans="15:25" x14ac:dyDescent="0.35">
      <c r="O182">
        <v>1669852800</v>
      </c>
      <c r="P182">
        <v>-1.9756051015681499</v>
      </c>
      <c r="Q182">
        <v>1.0233731994544899</v>
      </c>
      <c r="R182">
        <v>-5.2347739179491297</v>
      </c>
      <c r="S182">
        <v>-6.1383644527833496</v>
      </c>
      <c r="T182">
        <v>-1.5081960608762699</v>
      </c>
      <c r="U182">
        <v>-3.7265778570730901</v>
      </c>
      <c r="V182">
        <v>0</v>
      </c>
      <c r="W182">
        <v>0</v>
      </c>
      <c r="X182">
        <v>0</v>
      </c>
      <c r="Y182">
        <v>0</v>
      </c>
    </row>
    <row r="183" spans="15:25" x14ac:dyDescent="0.35">
      <c r="O183">
        <v>1677628800</v>
      </c>
      <c r="P183">
        <v>-5.4146546783225098</v>
      </c>
      <c r="Q183">
        <v>-0.75028099801311299</v>
      </c>
      <c r="R183">
        <v>-7.28947455475019</v>
      </c>
      <c r="S183">
        <v>-7.2244151695800198</v>
      </c>
      <c r="T183">
        <v>-2.4621632817883001</v>
      </c>
      <c r="U183">
        <v>-4.8273112729621301</v>
      </c>
      <c r="V183">
        <v>0</v>
      </c>
      <c r="W183">
        <v>0</v>
      </c>
      <c r="X183">
        <v>0</v>
      </c>
      <c r="Y183">
        <v>0</v>
      </c>
    </row>
    <row r="184" spans="15:25" x14ac:dyDescent="0.35">
      <c r="O184">
        <v>1685577600</v>
      </c>
      <c r="P184">
        <v>-8.5712867543828892</v>
      </c>
      <c r="Q184">
        <v>-2.7739493938896902</v>
      </c>
      <c r="R184">
        <v>-9.6089014910486608</v>
      </c>
      <c r="S184">
        <v>-7.6639437702608602</v>
      </c>
      <c r="T184">
        <v>-3.4540924167684701</v>
      </c>
      <c r="U184">
        <v>-6.1548090742804398</v>
      </c>
      <c r="V184">
        <v>0</v>
      </c>
      <c r="W184">
        <v>0</v>
      </c>
      <c r="X184">
        <v>0</v>
      </c>
      <c r="Y184">
        <v>0</v>
      </c>
    </row>
    <row r="185" spans="15:25" x14ac:dyDescent="0.35">
      <c r="O185">
        <v>1693526400</v>
      </c>
      <c r="P185">
        <v>-11.027899311237499</v>
      </c>
      <c r="Q185">
        <v>-4.5135407311689804</v>
      </c>
      <c r="R185">
        <v>-11.3515820638828</v>
      </c>
      <c r="S185">
        <v>-8.9057266921616094</v>
      </c>
      <c r="T185">
        <v>-4.3800644583965198</v>
      </c>
      <c r="U185">
        <v>-6.9715176054864996</v>
      </c>
      <c r="V185">
        <v>0</v>
      </c>
      <c r="W185">
        <v>0</v>
      </c>
      <c r="X185">
        <v>0</v>
      </c>
      <c r="Y185">
        <v>0</v>
      </c>
    </row>
    <row r="186" spans="15:25" x14ac:dyDescent="0.35">
      <c r="O186">
        <v>1701388800</v>
      </c>
      <c r="P186">
        <v>-12.5896063957102</v>
      </c>
      <c r="Q186">
        <v>-5.9967660891629802</v>
      </c>
      <c r="R186">
        <v>-11.4653035255928</v>
      </c>
      <c r="S186">
        <v>-9.0656849839199403</v>
      </c>
      <c r="T186">
        <v>-5.3274863501718004</v>
      </c>
      <c r="U186">
        <v>-6.1378171754212296</v>
      </c>
      <c r="V186">
        <v>0</v>
      </c>
      <c r="W186">
        <v>0</v>
      </c>
      <c r="X186">
        <v>0</v>
      </c>
      <c r="Y186">
        <v>0</v>
      </c>
    </row>
    <row r="187" spans="15:25" x14ac:dyDescent="0.35">
      <c r="O187">
        <v>1709251200</v>
      </c>
      <c r="P187">
        <v>-15.7526439116177</v>
      </c>
      <c r="Q187">
        <v>-7.6086668077935098</v>
      </c>
      <c r="R187">
        <v>-14.5957384907794</v>
      </c>
      <c r="S187">
        <v>-11.7019389339125</v>
      </c>
      <c r="T187">
        <v>-6.1943932559011499</v>
      </c>
      <c r="U187">
        <v>-8.40134523487853</v>
      </c>
      <c r="V187">
        <v>0</v>
      </c>
      <c r="W187">
        <v>0</v>
      </c>
      <c r="X187">
        <v>0</v>
      </c>
      <c r="Y187">
        <v>0</v>
      </c>
    </row>
    <row r="188" spans="15:25" x14ac:dyDescent="0.35">
      <c r="O188">
        <v>1717200000</v>
      </c>
      <c r="P188">
        <v>-15.736230536000001</v>
      </c>
      <c r="Q188">
        <v>-8.09989392134597</v>
      </c>
      <c r="R188">
        <v>-14.602308371646499</v>
      </c>
      <c r="S188">
        <v>-11.0516147173149</v>
      </c>
      <c r="T188">
        <v>-6.5903288067316197</v>
      </c>
      <c r="U188">
        <v>-8.0119795649151193</v>
      </c>
      <c r="V188">
        <v>0</v>
      </c>
      <c r="W188">
        <v>0</v>
      </c>
      <c r="X188">
        <v>0</v>
      </c>
      <c r="Y188">
        <v>0</v>
      </c>
    </row>
    <row r="189" spans="15:25" x14ac:dyDescent="0.35">
      <c r="O189">
        <v>1725148800</v>
      </c>
      <c r="P189">
        <v>-16.273129588762401</v>
      </c>
      <c r="Q189">
        <v>-8.7183101876115892</v>
      </c>
      <c r="R189">
        <v>-14.9092035475585</v>
      </c>
      <c r="S189">
        <v>-10.3661487236947</v>
      </c>
      <c r="T189">
        <v>-6.9090776646802396</v>
      </c>
      <c r="U189">
        <v>-8.0001258828785602</v>
      </c>
      <c r="V189">
        <v>0</v>
      </c>
      <c r="W189">
        <v>0</v>
      </c>
      <c r="X189">
        <v>0</v>
      </c>
      <c r="Y189">
        <v>0</v>
      </c>
    </row>
    <row r="190" spans="15:25" x14ac:dyDescent="0.35">
      <c r="O190">
        <v>1733011200</v>
      </c>
      <c r="P190">
        <v>-17.4383475217669</v>
      </c>
      <c r="Q190">
        <v>-9.2537435625495696</v>
      </c>
      <c r="R190">
        <v>-15.258110172564701</v>
      </c>
      <c r="S190">
        <v>-10.5500907611904</v>
      </c>
      <c r="T190">
        <v>-7.1008659834649803</v>
      </c>
      <c r="U190">
        <v>-8.1572441890999592</v>
      </c>
      <c r="V190">
        <v>0</v>
      </c>
      <c r="W190">
        <v>0</v>
      </c>
      <c r="X190">
        <v>0</v>
      </c>
      <c r="Y19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3297C-C6F9-43C7-89F7-2959DF011FAF}">
  <sheetPr>
    <tabColor rgb="FFFF0000"/>
  </sheetPr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70"/>
  <sheetViews>
    <sheetView topLeftCell="B1" workbookViewId="0">
      <selection activeCell="O1" sqref="O1:Y191"/>
    </sheetView>
  </sheetViews>
  <sheetFormatPr baseColWidth="10" defaultColWidth="9.1796875" defaultRowHeight="14.5" x14ac:dyDescent="0.35"/>
  <cols>
    <col min="1" max="1" width="7.6328125" bestFit="1" customWidth="1"/>
    <col min="2" max="6" width="12.453125" bestFit="1" customWidth="1"/>
    <col min="7" max="7" width="16.1796875" bestFit="1" customWidth="1"/>
    <col min="8" max="8" width="9.26953125" bestFit="1" customWidth="1"/>
    <col min="9" max="11" width="11.81640625" bestFit="1" customWidth="1"/>
    <col min="12" max="12" width="14.36328125" bestFit="1" customWidth="1"/>
    <col min="14" max="14" width="43.90625" bestFit="1" customWidth="1"/>
    <col min="15" max="15" width="11" bestFit="1" customWidth="1"/>
    <col min="16" max="18" width="12.453125" bestFit="1" customWidth="1"/>
    <col min="19" max="19" width="13.7265625" bestFit="1" customWidth="1"/>
    <col min="20" max="21" width="12.453125" bestFit="1" customWidth="1"/>
    <col min="22" max="24" width="11.81640625" bestFit="1" customWidth="1"/>
    <col min="25" max="25" width="14.36328125" bestFit="1" customWidth="1"/>
  </cols>
  <sheetData>
    <row r="1" spans="1:25" x14ac:dyDescent="0.35">
      <c r="B1" t="s">
        <v>4</v>
      </c>
      <c r="C1" t="s">
        <v>5</v>
      </c>
      <c r="D1" t="s">
        <v>6</v>
      </c>
      <c r="E1" t="s">
        <v>7</v>
      </c>
      <c r="F1" t="s">
        <v>16</v>
      </c>
      <c r="G1" t="s">
        <v>17</v>
      </c>
      <c r="H1" t="s">
        <v>8</v>
      </c>
      <c r="I1" t="s">
        <v>20</v>
      </c>
      <c r="J1" t="s">
        <v>21</v>
      </c>
      <c r="K1" t="s">
        <v>22</v>
      </c>
      <c r="L1" t="s">
        <v>23</v>
      </c>
      <c r="N1" s="4" t="s">
        <v>35</v>
      </c>
      <c r="O1" s="4" t="s">
        <v>24</v>
      </c>
      <c r="P1" s="4" t="s">
        <v>0</v>
      </c>
      <c r="Q1" s="4" t="s">
        <v>1</v>
      </c>
      <c r="R1" s="4" t="s">
        <v>2</v>
      </c>
      <c r="S1" s="4" t="s">
        <v>3</v>
      </c>
      <c r="T1" s="4" t="s">
        <v>14</v>
      </c>
      <c r="U1" s="4" t="s">
        <v>15</v>
      </c>
      <c r="V1" s="4" t="s">
        <v>20</v>
      </c>
      <c r="W1" s="4" t="s">
        <v>21</v>
      </c>
      <c r="X1" s="4" t="s">
        <v>22</v>
      </c>
      <c r="Y1" s="4" t="s">
        <v>23</v>
      </c>
    </row>
    <row r="2" spans="1:25" x14ac:dyDescent="0.35">
      <c r="A2" s="1">
        <v>28460</v>
      </c>
      <c r="B2">
        <f>IF(P2="","",P2)</f>
        <v>4.8084267290613303</v>
      </c>
      <c r="C2">
        <f t="shared" ref="C2:C65" si="0">IF(Q2="","",Q2)</f>
        <v>1.1542506502801499</v>
      </c>
      <c r="D2">
        <f t="shared" ref="D2:D65" si="1">IF(R2="","",R2)</f>
        <v>2.1640911197557702</v>
      </c>
      <c r="E2">
        <f t="shared" ref="E2:E65" si="2">IF(S2="","",S2)</f>
        <v>1.3421856062983599</v>
      </c>
      <c r="F2">
        <f t="shared" ref="F2:F65" si="3">IF(T2="","",T2)</f>
        <v>-0.708981706797849</v>
      </c>
      <c r="G2">
        <f t="shared" ref="G2:G65" si="4">IF(U2="","",U2)</f>
        <v>2.8730728265534502</v>
      </c>
      <c r="H2" s="6">
        <f t="shared" ref="H2:H65" si="5">IF(A2="","",2)</f>
        <v>2</v>
      </c>
      <c r="I2">
        <f>IF(V2="","",V2)</f>
        <v>0.87763335283166599</v>
      </c>
      <c r="J2">
        <f t="shared" ref="J2:J65" si="6">IF(W2="","",W2)</f>
        <v>0</v>
      </c>
      <c r="K2">
        <f t="shared" ref="K2:K65" si="7">IF(X2="","",X2)</f>
        <v>5.1278474923678499E-2</v>
      </c>
      <c r="L2">
        <f t="shared" ref="L2:L65" si="8">IF(Y2="","",Y2)</f>
        <v>0</v>
      </c>
      <c r="N2" s="4" t="s">
        <v>45</v>
      </c>
      <c r="O2" s="5">
        <v>249782400</v>
      </c>
      <c r="P2" s="4">
        <v>4.8084267290613303</v>
      </c>
      <c r="Q2" s="4">
        <v>1.1542506502801499</v>
      </c>
      <c r="R2" s="4">
        <v>2.1640911197557702</v>
      </c>
      <c r="S2" s="4">
        <v>1.3421856062983599</v>
      </c>
      <c r="T2" s="4">
        <v>-0.708981706797849</v>
      </c>
      <c r="U2" s="4">
        <v>2.8730728265534502</v>
      </c>
      <c r="V2" s="4">
        <v>0.87763335283166599</v>
      </c>
      <c r="W2" s="4">
        <v>0</v>
      </c>
      <c r="X2" s="4">
        <v>5.1278474923678499E-2</v>
      </c>
      <c r="Y2" s="4">
        <v>0</v>
      </c>
    </row>
    <row r="3" spans="1:25" x14ac:dyDescent="0.35">
      <c r="A3" s="1">
        <v>28550</v>
      </c>
      <c r="B3">
        <f t="shared" ref="B3:B66" si="9">IF(P3="","",P3)</f>
        <v>6.6742208427646297</v>
      </c>
      <c r="C3">
        <f t="shared" si="0"/>
        <v>1.88357076221942</v>
      </c>
      <c r="D3">
        <f t="shared" si="1"/>
        <v>3.2074785931864902</v>
      </c>
      <c r="E3">
        <f t="shared" si="2"/>
        <v>2.1299547877222</v>
      </c>
      <c r="F3">
        <f t="shared" si="3"/>
        <v>-0.55913972820865399</v>
      </c>
      <c r="G3">
        <f t="shared" si="4"/>
        <v>3.7666183213950402</v>
      </c>
      <c r="H3" s="6">
        <f t="shared" si="5"/>
        <v>2</v>
      </c>
      <c r="I3">
        <f t="shared" ref="I3:I66" si="10">IF(V3="","",V3)</f>
        <v>1.4606940133639501</v>
      </c>
      <c r="J3">
        <f t="shared" si="6"/>
        <v>0</v>
      </c>
      <c r="K3">
        <f t="shared" si="7"/>
        <v>0.37733706037077902</v>
      </c>
      <c r="L3">
        <f t="shared" si="8"/>
        <v>4.06108711631867E-2</v>
      </c>
      <c r="N3" s="4" t="s">
        <v>34</v>
      </c>
      <c r="O3" s="5">
        <v>257558400</v>
      </c>
      <c r="P3" s="4">
        <v>6.6742208427646297</v>
      </c>
      <c r="Q3" s="4">
        <v>1.88357076221942</v>
      </c>
      <c r="R3" s="4">
        <v>3.2074785931864902</v>
      </c>
      <c r="S3" s="4">
        <v>2.1299547877222</v>
      </c>
      <c r="T3" s="4">
        <v>-0.55913972820865399</v>
      </c>
      <c r="U3" s="4">
        <v>3.7666183213950402</v>
      </c>
      <c r="V3" s="4">
        <v>1.4606940133639501</v>
      </c>
      <c r="W3" s="4">
        <v>0</v>
      </c>
      <c r="X3" s="4">
        <v>0.37733706037077902</v>
      </c>
      <c r="Y3" s="4">
        <v>4.06108711631867E-2</v>
      </c>
    </row>
    <row r="4" spans="1:25" x14ac:dyDescent="0.35">
      <c r="A4" s="1">
        <v>28642</v>
      </c>
      <c r="B4">
        <f t="shared" si="9"/>
        <v>4.3513981317721502</v>
      </c>
      <c r="C4">
        <f t="shared" si="0"/>
        <v>0.97200970234620299</v>
      </c>
      <c r="D4">
        <f t="shared" si="1"/>
        <v>1.9059119348981799</v>
      </c>
      <c r="E4">
        <f t="shared" si="2"/>
        <v>1.1458122784017699</v>
      </c>
      <c r="F4">
        <f t="shared" si="3"/>
        <v>-0.75111084058658095</v>
      </c>
      <c r="G4">
        <f t="shared" si="4"/>
        <v>2.6570227754847102</v>
      </c>
      <c r="H4" s="6">
        <f t="shared" si="5"/>
        <v>2</v>
      </c>
      <c r="I4">
        <f t="shared" si="10"/>
        <v>0.73481191617879804</v>
      </c>
      <c r="J4">
        <f t="shared" si="6"/>
        <v>0</v>
      </c>
      <c r="K4">
        <f t="shared" si="7"/>
        <v>0</v>
      </c>
      <c r="L4">
        <f t="shared" si="8"/>
        <v>0</v>
      </c>
      <c r="O4" s="5">
        <v>265507200</v>
      </c>
      <c r="P4" s="4">
        <v>4.3513981317721502</v>
      </c>
      <c r="Q4" s="4">
        <v>0.97200970234620299</v>
      </c>
      <c r="R4" s="4">
        <v>1.9059119348981799</v>
      </c>
      <c r="S4" s="4">
        <v>1.1458122784017699</v>
      </c>
      <c r="T4" s="4">
        <v>-0.75111084058658095</v>
      </c>
      <c r="U4" s="4">
        <v>2.6570227754847102</v>
      </c>
      <c r="V4" s="4">
        <v>0.73481191617879804</v>
      </c>
      <c r="W4" s="4">
        <v>0</v>
      </c>
      <c r="X4" s="4">
        <v>0</v>
      </c>
      <c r="Y4" s="4">
        <v>0</v>
      </c>
    </row>
    <row r="5" spans="1:25" x14ac:dyDescent="0.35">
      <c r="A5" s="1">
        <v>28734</v>
      </c>
      <c r="B5">
        <f t="shared" si="9"/>
        <v>1.0892817250779701</v>
      </c>
      <c r="C5">
        <f t="shared" si="0"/>
        <v>-0.246746352973959</v>
      </c>
      <c r="D5">
        <f t="shared" si="1"/>
        <v>0.12246826407931</v>
      </c>
      <c r="E5">
        <f t="shared" si="2"/>
        <v>-0.178034180195555</v>
      </c>
      <c r="F5">
        <f t="shared" si="3"/>
        <v>-0.92797536091528399</v>
      </c>
      <c r="G5">
        <f t="shared" si="4"/>
        <v>1.0504436249946101</v>
      </c>
      <c r="H5" s="6">
        <f t="shared" si="5"/>
        <v>2</v>
      </c>
      <c r="I5">
        <f t="shared" si="10"/>
        <v>0</v>
      </c>
      <c r="J5">
        <f t="shared" si="6"/>
        <v>0</v>
      </c>
      <c r="K5">
        <f t="shared" si="7"/>
        <v>0</v>
      </c>
      <c r="L5">
        <f t="shared" si="8"/>
        <v>0</v>
      </c>
      <c r="O5" s="5">
        <v>273456000</v>
      </c>
      <c r="P5" s="4">
        <v>1.0892817250779701</v>
      </c>
      <c r="Q5" s="4">
        <v>-0.246746352973959</v>
      </c>
      <c r="R5" s="4">
        <v>0.12246826407931</v>
      </c>
      <c r="S5" s="4">
        <v>-0.178034180195555</v>
      </c>
      <c r="T5" s="4">
        <v>-0.92797536091528399</v>
      </c>
      <c r="U5" s="4">
        <v>1.0504436249946101</v>
      </c>
      <c r="V5" s="4">
        <v>0</v>
      </c>
      <c r="W5" s="4">
        <v>0</v>
      </c>
      <c r="X5" s="4">
        <v>0</v>
      </c>
      <c r="Y5" s="4">
        <v>0</v>
      </c>
    </row>
    <row r="6" spans="1:25" x14ac:dyDescent="0.35">
      <c r="A6" s="1">
        <v>28825</v>
      </c>
      <c r="B6">
        <f t="shared" si="9"/>
        <v>1.64257395826653</v>
      </c>
      <c r="C6">
        <f t="shared" si="0"/>
        <v>5.20076015203682E-2</v>
      </c>
      <c r="D6">
        <f t="shared" si="1"/>
        <v>0.49156449254032603</v>
      </c>
      <c r="E6">
        <f t="shared" si="2"/>
        <v>0.13381072535861499</v>
      </c>
      <c r="F6">
        <f t="shared" si="3"/>
        <v>-0.75900824393324495</v>
      </c>
      <c r="G6">
        <f t="shared" si="4"/>
        <v>1.2505727364735999</v>
      </c>
      <c r="H6" s="6">
        <f t="shared" si="5"/>
        <v>2</v>
      </c>
      <c r="I6">
        <f t="shared" si="10"/>
        <v>0</v>
      </c>
      <c r="J6">
        <f t="shared" si="6"/>
        <v>0</v>
      </c>
      <c r="K6">
        <f t="shared" si="7"/>
        <v>0</v>
      </c>
      <c r="L6">
        <f t="shared" si="8"/>
        <v>0</v>
      </c>
      <c r="O6" s="5">
        <v>281318400</v>
      </c>
      <c r="P6" s="4">
        <v>1.64257395826653</v>
      </c>
      <c r="Q6" s="4">
        <v>5.20076015203682E-2</v>
      </c>
      <c r="R6" s="4">
        <v>0.49156449254032603</v>
      </c>
      <c r="S6" s="4">
        <v>0.13381072535861499</v>
      </c>
      <c r="T6" s="4">
        <v>-0.75900824393324495</v>
      </c>
      <c r="U6" s="4">
        <v>1.2505727364735999</v>
      </c>
      <c r="V6" s="4">
        <v>0</v>
      </c>
      <c r="W6" s="4">
        <v>0</v>
      </c>
      <c r="X6" s="4">
        <v>0</v>
      </c>
      <c r="Y6" s="4">
        <v>0</v>
      </c>
    </row>
    <row r="7" spans="1:25" x14ac:dyDescent="0.35">
      <c r="A7" s="1">
        <v>28915</v>
      </c>
      <c r="B7">
        <f t="shared" si="9"/>
        <v>-0.73096699438306001</v>
      </c>
      <c r="C7">
        <f t="shared" si="0"/>
        <v>-0.69018418108569102</v>
      </c>
      <c r="D7">
        <f t="shared" si="1"/>
        <v>-0.70145461098256701</v>
      </c>
      <c r="E7">
        <f t="shared" si="2"/>
        <v>-0.69228164876595999</v>
      </c>
      <c r="F7">
        <f t="shared" si="3"/>
        <v>-0.66938938200922704</v>
      </c>
      <c r="G7">
        <f t="shared" si="4"/>
        <v>-3.2065228973312897E-2</v>
      </c>
      <c r="H7" s="6">
        <f t="shared" si="5"/>
        <v>2</v>
      </c>
      <c r="I7">
        <f t="shared" si="10"/>
        <v>0</v>
      </c>
      <c r="J7">
        <f t="shared" si="6"/>
        <v>0</v>
      </c>
      <c r="K7">
        <f t="shared" si="7"/>
        <v>0</v>
      </c>
      <c r="L7">
        <f t="shared" si="8"/>
        <v>0</v>
      </c>
      <c r="O7" s="5">
        <v>289094400</v>
      </c>
      <c r="P7" s="4">
        <v>-0.73096699438306001</v>
      </c>
      <c r="Q7" s="4">
        <v>-0.69018418108569102</v>
      </c>
      <c r="R7" s="4">
        <v>-0.70145461098256701</v>
      </c>
      <c r="S7" s="4">
        <v>-0.69228164876595999</v>
      </c>
      <c r="T7" s="4">
        <v>-0.66938938200922704</v>
      </c>
      <c r="U7" s="4">
        <v>-3.2065228973312897E-2</v>
      </c>
      <c r="V7" s="4">
        <v>0</v>
      </c>
      <c r="W7" s="4">
        <v>0</v>
      </c>
      <c r="X7" s="4">
        <v>0</v>
      </c>
      <c r="Y7" s="4">
        <v>0</v>
      </c>
    </row>
    <row r="8" spans="1:25" x14ac:dyDescent="0.35">
      <c r="A8" s="1">
        <v>29007</v>
      </c>
      <c r="B8">
        <f t="shared" si="9"/>
        <v>-1.0833669923840601</v>
      </c>
      <c r="C8">
        <f t="shared" si="0"/>
        <v>-0.33195754214715401</v>
      </c>
      <c r="D8">
        <f t="shared" si="1"/>
        <v>-0.53961137590788899</v>
      </c>
      <c r="E8">
        <f t="shared" si="2"/>
        <v>-0.37060267006035003</v>
      </c>
      <c r="F8">
        <f t="shared" si="3"/>
        <v>5.1179551115881398E-2</v>
      </c>
      <c r="G8">
        <f t="shared" si="4"/>
        <v>-0.59079092702368896</v>
      </c>
      <c r="H8" s="6">
        <f t="shared" si="5"/>
        <v>2</v>
      </c>
      <c r="I8">
        <f t="shared" si="10"/>
        <v>0</v>
      </c>
      <c r="J8">
        <f t="shared" si="6"/>
        <v>0</v>
      </c>
      <c r="K8">
        <f t="shared" si="7"/>
        <v>0</v>
      </c>
      <c r="L8">
        <f t="shared" si="8"/>
        <v>0</v>
      </c>
      <c r="O8" s="5">
        <v>297043200</v>
      </c>
      <c r="P8" s="4">
        <v>-1.0833669923840601</v>
      </c>
      <c r="Q8" s="4">
        <v>-0.33195754214715401</v>
      </c>
      <c r="R8" s="4">
        <v>-0.53961137590788899</v>
      </c>
      <c r="S8" s="4">
        <v>-0.37060267006035003</v>
      </c>
      <c r="T8" s="4">
        <v>5.1179551115881398E-2</v>
      </c>
      <c r="U8" s="4">
        <v>-0.59079092702368896</v>
      </c>
      <c r="V8" s="4">
        <v>0</v>
      </c>
      <c r="W8" s="4">
        <v>0</v>
      </c>
      <c r="X8" s="4">
        <v>0</v>
      </c>
      <c r="Y8" s="4">
        <v>0</v>
      </c>
    </row>
    <row r="9" spans="1:25" x14ac:dyDescent="0.35">
      <c r="A9" s="1">
        <v>29099</v>
      </c>
      <c r="B9">
        <f t="shared" si="9"/>
        <v>-2.7294627202105999</v>
      </c>
      <c r="C9">
        <f t="shared" si="0"/>
        <v>-0.57696555482747103</v>
      </c>
      <c r="D9">
        <f t="shared" si="1"/>
        <v>-1.1718133949896901</v>
      </c>
      <c r="E9">
        <f t="shared" si="2"/>
        <v>-0.68766888476675503</v>
      </c>
      <c r="F9">
        <f t="shared" si="3"/>
        <v>0.52057388514339897</v>
      </c>
      <c r="G9">
        <f t="shared" si="4"/>
        <v>-1.69238728013297</v>
      </c>
      <c r="H9" s="6">
        <f t="shared" si="5"/>
        <v>2</v>
      </c>
      <c r="I9">
        <f t="shared" si="10"/>
        <v>0</v>
      </c>
      <c r="J9">
        <f t="shared" si="6"/>
        <v>0</v>
      </c>
      <c r="K9">
        <f t="shared" si="7"/>
        <v>0</v>
      </c>
      <c r="L9">
        <f t="shared" si="8"/>
        <v>0</v>
      </c>
      <c r="O9" s="5">
        <v>304992000</v>
      </c>
      <c r="P9" s="4">
        <v>-2.7294627202105999</v>
      </c>
      <c r="Q9" s="4">
        <v>-0.57696555482747103</v>
      </c>
      <c r="R9" s="4">
        <v>-1.1718133949896901</v>
      </c>
      <c r="S9" s="4">
        <v>-0.68766888476675503</v>
      </c>
      <c r="T9" s="4">
        <v>0.52057388514339897</v>
      </c>
      <c r="U9" s="4">
        <v>-1.69238728013297</v>
      </c>
      <c r="V9" s="4">
        <v>0</v>
      </c>
      <c r="W9" s="4">
        <v>0</v>
      </c>
      <c r="X9" s="4">
        <v>0</v>
      </c>
      <c r="Y9" s="4">
        <v>0</v>
      </c>
    </row>
    <row r="10" spans="1:25" x14ac:dyDescent="0.35">
      <c r="A10" s="1">
        <v>29190</v>
      </c>
      <c r="B10">
        <f t="shared" si="9"/>
        <v>-0.82436522827384695</v>
      </c>
      <c r="C10">
        <f t="shared" si="0"/>
        <v>0.12889632296313699</v>
      </c>
      <c r="D10">
        <f t="shared" si="1"/>
        <v>-0.13453983109199799</v>
      </c>
      <c r="E10">
        <f t="shared" si="2"/>
        <v>7.9869903917353893E-2</v>
      </c>
      <c r="F10">
        <f t="shared" si="3"/>
        <v>0.61495603347810701</v>
      </c>
      <c r="G10">
        <f t="shared" si="4"/>
        <v>-0.74949586456994199</v>
      </c>
      <c r="H10" s="6">
        <f t="shared" si="5"/>
        <v>2</v>
      </c>
      <c r="I10">
        <f t="shared" si="10"/>
        <v>0</v>
      </c>
      <c r="J10">
        <f t="shared" si="6"/>
        <v>0</v>
      </c>
      <c r="K10">
        <f t="shared" si="7"/>
        <v>0</v>
      </c>
      <c r="L10">
        <f t="shared" si="8"/>
        <v>0</v>
      </c>
      <c r="O10" s="5">
        <v>312854400</v>
      </c>
      <c r="P10" s="4">
        <v>-0.82436522827384695</v>
      </c>
      <c r="Q10" s="4">
        <v>0.12889632296313699</v>
      </c>
      <c r="R10" s="4">
        <v>-0.13453983109199799</v>
      </c>
      <c r="S10" s="4">
        <v>7.9869903917353893E-2</v>
      </c>
      <c r="T10" s="4">
        <v>0.61495603347810701</v>
      </c>
      <c r="U10" s="4">
        <v>-0.74949586456994199</v>
      </c>
      <c r="V10" s="4">
        <v>0</v>
      </c>
      <c r="W10" s="4">
        <v>0</v>
      </c>
      <c r="X10" s="4">
        <v>0</v>
      </c>
      <c r="Y10" s="4">
        <v>0</v>
      </c>
    </row>
    <row r="11" spans="1:25" x14ac:dyDescent="0.35">
      <c r="A11" s="1">
        <v>29281</v>
      </c>
      <c r="B11">
        <f t="shared" si="9"/>
        <v>-3.4766956868921399</v>
      </c>
      <c r="C11">
        <f t="shared" si="0"/>
        <v>-0.625701241736484</v>
      </c>
      <c r="D11">
        <f t="shared" si="1"/>
        <v>-1.4135805083340101</v>
      </c>
      <c r="E11">
        <f t="shared" si="2"/>
        <v>-0.77232841681153197</v>
      </c>
      <c r="F11">
        <f t="shared" si="3"/>
        <v>0.82799583950419597</v>
      </c>
      <c r="G11">
        <f t="shared" si="4"/>
        <v>-2.2415763478380999</v>
      </c>
      <c r="H11" s="6">
        <f t="shared" si="5"/>
        <v>2</v>
      </c>
      <c r="I11">
        <f t="shared" si="10"/>
        <v>0</v>
      </c>
      <c r="J11">
        <f t="shared" si="6"/>
        <v>0</v>
      </c>
      <c r="K11">
        <f t="shared" si="7"/>
        <v>0</v>
      </c>
      <c r="L11">
        <f t="shared" si="8"/>
        <v>0</v>
      </c>
      <c r="O11" s="5">
        <v>320716800</v>
      </c>
      <c r="P11" s="4">
        <v>-3.4766956868921399</v>
      </c>
      <c r="Q11" s="4">
        <v>-0.625701241736484</v>
      </c>
      <c r="R11" s="4">
        <v>-1.4135805083340101</v>
      </c>
      <c r="S11" s="4">
        <v>-0.77232841681153197</v>
      </c>
      <c r="T11" s="4">
        <v>0.82799583950419597</v>
      </c>
      <c r="U11" s="4">
        <v>-2.2415763478380999</v>
      </c>
      <c r="V11" s="4">
        <v>0</v>
      </c>
      <c r="W11" s="4">
        <v>0</v>
      </c>
      <c r="X11" s="4">
        <v>0</v>
      </c>
      <c r="Y11" s="4">
        <v>0</v>
      </c>
    </row>
    <row r="12" spans="1:25" x14ac:dyDescent="0.35">
      <c r="A12" s="1">
        <v>29373</v>
      </c>
      <c r="B12">
        <f t="shared" si="9"/>
        <v>-1.83144065986187</v>
      </c>
      <c r="C12">
        <f t="shared" si="0"/>
        <v>-8.5104581560820694E-2</v>
      </c>
      <c r="D12">
        <f t="shared" si="1"/>
        <v>-0.56770881495125802</v>
      </c>
      <c r="E12">
        <f t="shared" si="2"/>
        <v>-0.174918971177765</v>
      </c>
      <c r="F12">
        <f t="shared" si="3"/>
        <v>0.80533687973531698</v>
      </c>
      <c r="G12">
        <f t="shared" si="4"/>
        <v>-1.37304569468647</v>
      </c>
      <c r="H12" s="6">
        <f t="shared" si="5"/>
        <v>2</v>
      </c>
      <c r="I12">
        <f t="shared" si="10"/>
        <v>0</v>
      </c>
      <c r="J12">
        <f t="shared" si="6"/>
        <v>0</v>
      </c>
      <c r="K12">
        <f t="shared" si="7"/>
        <v>0</v>
      </c>
      <c r="L12">
        <f t="shared" si="8"/>
        <v>0</v>
      </c>
      <c r="O12" s="5">
        <v>328665600</v>
      </c>
      <c r="P12" s="4">
        <v>-1.83144065986187</v>
      </c>
      <c r="Q12" s="4">
        <v>-8.5104581560820694E-2</v>
      </c>
      <c r="R12" s="4">
        <v>-0.56770881495125802</v>
      </c>
      <c r="S12" s="4">
        <v>-0.174918971177765</v>
      </c>
      <c r="T12" s="4">
        <v>0.80533687973531698</v>
      </c>
      <c r="U12" s="4">
        <v>-1.37304569468647</v>
      </c>
      <c r="V12" s="4">
        <v>0</v>
      </c>
      <c r="W12" s="4">
        <v>0</v>
      </c>
      <c r="X12" s="4">
        <v>0</v>
      </c>
      <c r="Y12" s="4">
        <v>0</v>
      </c>
    </row>
    <row r="13" spans="1:25" x14ac:dyDescent="0.35">
      <c r="A13" s="1">
        <v>29465</v>
      </c>
      <c r="B13">
        <f t="shared" si="9"/>
        <v>-2.38134062997795</v>
      </c>
      <c r="C13">
        <f t="shared" si="0"/>
        <v>-0.35958710716318798</v>
      </c>
      <c r="D13">
        <f t="shared" si="1"/>
        <v>-0.918303622904869</v>
      </c>
      <c r="E13">
        <f t="shared" si="2"/>
        <v>-0.46356626722510202</v>
      </c>
      <c r="F13">
        <f t="shared" si="3"/>
        <v>0.67128729530986697</v>
      </c>
      <c r="G13">
        <f t="shared" si="4"/>
        <v>-1.5895909182147101</v>
      </c>
      <c r="H13" s="6">
        <f t="shared" si="5"/>
        <v>2</v>
      </c>
      <c r="I13">
        <f t="shared" si="10"/>
        <v>0</v>
      </c>
      <c r="J13">
        <f t="shared" si="6"/>
        <v>0</v>
      </c>
      <c r="K13">
        <f t="shared" si="7"/>
        <v>0</v>
      </c>
      <c r="L13">
        <f t="shared" si="8"/>
        <v>0</v>
      </c>
      <c r="O13" s="5">
        <v>336614400</v>
      </c>
      <c r="P13" s="4">
        <v>-2.38134062997795</v>
      </c>
      <c r="Q13" s="4">
        <v>-0.35958710716318798</v>
      </c>
      <c r="R13" s="4">
        <v>-0.918303622904869</v>
      </c>
      <c r="S13" s="4">
        <v>-0.46356626722510202</v>
      </c>
      <c r="T13" s="4">
        <v>0.67128729530986697</v>
      </c>
      <c r="U13" s="4">
        <v>-1.5895909182147101</v>
      </c>
      <c r="V13" s="4">
        <v>0</v>
      </c>
      <c r="W13" s="4">
        <v>0</v>
      </c>
      <c r="X13" s="4">
        <v>0</v>
      </c>
      <c r="Y13" s="4">
        <v>0</v>
      </c>
    </row>
    <row r="14" spans="1:25" x14ac:dyDescent="0.35">
      <c r="A14" s="1">
        <v>29556</v>
      </c>
      <c r="B14">
        <f t="shared" si="9"/>
        <v>-0.66305511135719697</v>
      </c>
      <c r="C14">
        <f t="shared" si="0"/>
        <v>0.37221258942459901</v>
      </c>
      <c r="D14">
        <f t="shared" si="1"/>
        <v>8.6113835984376899E-2</v>
      </c>
      <c r="E14">
        <f t="shared" si="2"/>
        <v>0.31896857884080598</v>
      </c>
      <c r="F14">
        <f t="shared" si="3"/>
        <v>0.900086516883984</v>
      </c>
      <c r="G14">
        <f t="shared" si="4"/>
        <v>-0.81397268089959096</v>
      </c>
      <c r="H14" s="6">
        <f t="shared" si="5"/>
        <v>2</v>
      </c>
      <c r="I14">
        <f t="shared" si="10"/>
        <v>0</v>
      </c>
      <c r="J14">
        <f t="shared" si="6"/>
        <v>0</v>
      </c>
      <c r="K14">
        <f t="shared" si="7"/>
        <v>0</v>
      </c>
      <c r="L14">
        <f t="shared" si="8"/>
        <v>0</v>
      </c>
      <c r="O14" s="5">
        <v>344476800</v>
      </c>
      <c r="P14" s="4">
        <v>-0.66305511135719697</v>
      </c>
      <c r="Q14" s="4">
        <v>0.37221258942459901</v>
      </c>
      <c r="R14" s="4">
        <v>8.6113835984376899E-2</v>
      </c>
      <c r="S14" s="4">
        <v>0.31896857884080598</v>
      </c>
      <c r="T14" s="4">
        <v>0.900086516883984</v>
      </c>
      <c r="U14" s="4">
        <v>-0.81397268089959096</v>
      </c>
      <c r="V14" s="4">
        <v>0</v>
      </c>
      <c r="W14" s="4">
        <v>0</v>
      </c>
      <c r="X14" s="4">
        <v>0</v>
      </c>
      <c r="Y14" s="4">
        <v>0</v>
      </c>
    </row>
    <row r="15" spans="1:25" x14ac:dyDescent="0.35">
      <c r="A15" s="1">
        <v>29646</v>
      </c>
      <c r="B15">
        <f t="shared" si="9"/>
        <v>-1.23297912525248</v>
      </c>
      <c r="C15">
        <f t="shared" si="0"/>
        <v>0.170220746846175</v>
      </c>
      <c r="D15">
        <f t="shared" si="1"/>
        <v>-0.21755695927922999</v>
      </c>
      <c r="E15">
        <f t="shared" si="2"/>
        <v>9.8053916194754495E-2</v>
      </c>
      <c r="F15">
        <f t="shared" si="3"/>
        <v>0.88570006387292799</v>
      </c>
      <c r="G15">
        <f t="shared" si="4"/>
        <v>-1.1032570231521699</v>
      </c>
      <c r="H15" s="6">
        <f t="shared" si="5"/>
        <v>2</v>
      </c>
      <c r="I15">
        <f t="shared" si="10"/>
        <v>0</v>
      </c>
      <c r="J15">
        <f t="shared" si="6"/>
        <v>0</v>
      </c>
      <c r="K15">
        <f t="shared" si="7"/>
        <v>0</v>
      </c>
      <c r="L15">
        <f t="shared" si="8"/>
        <v>0</v>
      </c>
      <c r="O15" s="5">
        <v>352252800</v>
      </c>
      <c r="P15" s="4">
        <v>-1.23297912525248</v>
      </c>
      <c r="Q15" s="4">
        <v>0.170220746846175</v>
      </c>
      <c r="R15" s="4">
        <v>-0.21755695927922999</v>
      </c>
      <c r="S15" s="4">
        <v>9.8053916194754495E-2</v>
      </c>
      <c r="T15" s="4">
        <v>0.88570006387292799</v>
      </c>
      <c r="U15" s="4">
        <v>-1.1032570231521699</v>
      </c>
      <c r="V15" s="4">
        <v>0</v>
      </c>
      <c r="W15" s="4">
        <v>0</v>
      </c>
      <c r="X15" s="4">
        <v>0</v>
      </c>
      <c r="Y15" s="4">
        <v>0</v>
      </c>
    </row>
    <row r="16" spans="1:25" x14ac:dyDescent="0.35">
      <c r="A16" s="1">
        <v>29738</v>
      </c>
      <c r="B16">
        <f t="shared" si="9"/>
        <v>-1.9375558860466899</v>
      </c>
      <c r="C16">
        <f t="shared" si="0"/>
        <v>-0.250556546351486</v>
      </c>
      <c r="D16">
        <f t="shared" si="1"/>
        <v>-0.71676292734525504</v>
      </c>
      <c r="E16">
        <f t="shared" si="2"/>
        <v>-0.33731923645545497</v>
      </c>
      <c r="F16">
        <f t="shared" si="3"/>
        <v>0.60962963196137898</v>
      </c>
      <c r="G16">
        <f t="shared" si="4"/>
        <v>-1.3263925593066901</v>
      </c>
      <c r="H16" s="6">
        <f t="shared" si="5"/>
        <v>2</v>
      </c>
      <c r="I16">
        <f t="shared" si="10"/>
        <v>0</v>
      </c>
      <c r="J16">
        <f t="shared" si="6"/>
        <v>0</v>
      </c>
      <c r="K16">
        <f t="shared" si="7"/>
        <v>0</v>
      </c>
      <c r="L16">
        <f t="shared" si="8"/>
        <v>0</v>
      </c>
      <c r="O16" s="5">
        <v>360201600</v>
      </c>
      <c r="P16" s="4">
        <v>-1.9375558860466899</v>
      </c>
      <c r="Q16" s="4">
        <v>-0.250556546351486</v>
      </c>
      <c r="R16" s="4">
        <v>-0.71676292734525504</v>
      </c>
      <c r="S16" s="4">
        <v>-0.33731923645545497</v>
      </c>
      <c r="T16" s="4">
        <v>0.60962963196137898</v>
      </c>
      <c r="U16" s="4">
        <v>-1.3263925593066901</v>
      </c>
      <c r="V16" s="4">
        <v>0</v>
      </c>
      <c r="W16" s="4">
        <v>0</v>
      </c>
      <c r="X16" s="4">
        <v>0</v>
      </c>
      <c r="Y16" s="4">
        <v>0</v>
      </c>
    </row>
    <row r="17" spans="1:25" x14ac:dyDescent="0.35">
      <c r="A17" s="1">
        <v>29830</v>
      </c>
      <c r="B17">
        <f t="shared" si="9"/>
        <v>-2.3211378250127601</v>
      </c>
      <c r="C17">
        <f t="shared" si="0"/>
        <v>-0.54398710981746401</v>
      </c>
      <c r="D17">
        <f t="shared" si="1"/>
        <v>-1.0351070432499301</v>
      </c>
      <c r="E17">
        <f t="shared" si="2"/>
        <v>-0.63538630194661805</v>
      </c>
      <c r="F17">
        <f t="shared" si="3"/>
        <v>0.36216646476902198</v>
      </c>
      <c r="G17">
        <f t="shared" si="4"/>
        <v>-1.3972735080190399</v>
      </c>
      <c r="H17" s="6">
        <f t="shared" si="5"/>
        <v>2</v>
      </c>
      <c r="I17">
        <f t="shared" si="10"/>
        <v>0</v>
      </c>
      <c r="J17">
        <f t="shared" si="6"/>
        <v>0</v>
      </c>
      <c r="K17">
        <f t="shared" si="7"/>
        <v>0</v>
      </c>
      <c r="L17">
        <f t="shared" si="8"/>
        <v>0</v>
      </c>
      <c r="O17" s="5">
        <v>368150400</v>
      </c>
      <c r="P17" s="4">
        <v>-2.3211378250127601</v>
      </c>
      <c r="Q17" s="4">
        <v>-0.54398710981746401</v>
      </c>
      <c r="R17" s="4">
        <v>-1.0351070432499301</v>
      </c>
      <c r="S17" s="4">
        <v>-0.63538630194661805</v>
      </c>
      <c r="T17" s="4">
        <v>0.36216646476902198</v>
      </c>
      <c r="U17" s="4">
        <v>-1.3972735080190399</v>
      </c>
      <c r="V17" s="4">
        <v>0</v>
      </c>
      <c r="W17" s="4">
        <v>0</v>
      </c>
      <c r="X17" s="4">
        <v>0</v>
      </c>
      <c r="Y17" s="4">
        <v>0</v>
      </c>
    </row>
    <row r="18" spans="1:25" x14ac:dyDescent="0.35">
      <c r="A18" s="1">
        <v>29921</v>
      </c>
      <c r="B18">
        <f t="shared" si="9"/>
        <v>-1.31557991812346</v>
      </c>
      <c r="C18">
        <f t="shared" si="0"/>
        <v>-0.42344067930665602</v>
      </c>
      <c r="D18">
        <f t="shared" si="1"/>
        <v>-0.66998553328774302</v>
      </c>
      <c r="E18">
        <f t="shared" si="2"/>
        <v>-0.46932356644581102</v>
      </c>
      <c r="F18">
        <f t="shared" si="3"/>
        <v>3.1453299786124399E-2</v>
      </c>
      <c r="G18">
        <f t="shared" si="4"/>
        <v>-0.70143883307393795</v>
      </c>
      <c r="H18" s="6">
        <f t="shared" si="5"/>
        <v>2</v>
      </c>
      <c r="I18">
        <f t="shared" si="10"/>
        <v>0</v>
      </c>
      <c r="J18">
        <f t="shared" si="6"/>
        <v>0</v>
      </c>
      <c r="K18">
        <f t="shared" si="7"/>
        <v>0</v>
      </c>
      <c r="L18">
        <f t="shared" si="8"/>
        <v>0</v>
      </c>
      <c r="O18" s="5">
        <v>376012800</v>
      </c>
      <c r="P18" s="4">
        <v>-1.31557991812346</v>
      </c>
      <c r="Q18" s="4">
        <v>-0.42344067930665602</v>
      </c>
      <c r="R18" s="4">
        <v>-0.66998553328774302</v>
      </c>
      <c r="S18" s="4">
        <v>-0.46932356644581102</v>
      </c>
      <c r="T18" s="4">
        <v>3.1453299786124399E-2</v>
      </c>
      <c r="U18" s="4">
        <v>-0.70143883307393795</v>
      </c>
      <c r="V18" s="4">
        <v>0</v>
      </c>
      <c r="W18" s="4">
        <v>0</v>
      </c>
      <c r="X18" s="4">
        <v>0</v>
      </c>
      <c r="Y18" s="4">
        <v>0</v>
      </c>
    </row>
    <row r="19" spans="1:25" x14ac:dyDescent="0.35">
      <c r="A19" s="1">
        <v>30011</v>
      </c>
      <c r="B19">
        <f t="shared" si="9"/>
        <v>-3.0071765016809899</v>
      </c>
      <c r="C19">
        <f t="shared" si="0"/>
        <v>-1.1803575190672599</v>
      </c>
      <c r="D19">
        <f t="shared" si="1"/>
        <v>-1.6852033993086899</v>
      </c>
      <c r="E19">
        <f t="shared" si="2"/>
        <v>-1.2743111594362799</v>
      </c>
      <c r="F19">
        <f t="shared" si="3"/>
        <v>-0.24887853022074399</v>
      </c>
      <c r="G19">
        <f t="shared" si="4"/>
        <v>-1.4363248690880199</v>
      </c>
      <c r="H19" s="6">
        <f t="shared" si="5"/>
        <v>2</v>
      </c>
      <c r="I19">
        <f t="shared" si="10"/>
        <v>0</v>
      </c>
      <c r="J19">
        <f t="shared" si="6"/>
        <v>0</v>
      </c>
      <c r="K19">
        <f t="shared" si="7"/>
        <v>0</v>
      </c>
      <c r="L19">
        <f t="shared" si="8"/>
        <v>0</v>
      </c>
      <c r="O19" s="5">
        <v>383788800</v>
      </c>
      <c r="P19" s="4">
        <v>-3.0071765016809899</v>
      </c>
      <c r="Q19" s="4">
        <v>-1.1803575190672599</v>
      </c>
      <c r="R19" s="4">
        <v>-1.6852033993086899</v>
      </c>
      <c r="S19" s="4">
        <v>-1.2743111594362799</v>
      </c>
      <c r="T19" s="4">
        <v>-0.24887853022074399</v>
      </c>
      <c r="U19" s="4">
        <v>-1.4363248690880199</v>
      </c>
      <c r="V19" s="4">
        <v>0</v>
      </c>
      <c r="W19" s="4">
        <v>0</v>
      </c>
      <c r="X19" s="4">
        <v>0</v>
      </c>
      <c r="Y19" s="4">
        <v>0</v>
      </c>
    </row>
    <row r="20" spans="1:25" x14ac:dyDescent="0.35">
      <c r="A20" s="1">
        <v>30103</v>
      </c>
      <c r="B20">
        <f t="shared" si="9"/>
        <v>-3.0915440042617401</v>
      </c>
      <c r="C20">
        <f t="shared" si="0"/>
        <v>-1.25502801863007</v>
      </c>
      <c r="D20">
        <f t="shared" si="1"/>
        <v>-1.76255368930003</v>
      </c>
      <c r="E20">
        <f t="shared" si="2"/>
        <v>-1.3494803776695701</v>
      </c>
      <c r="F20">
        <f t="shared" si="3"/>
        <v>-0.318604612929973</v>
      </c>
      <c r="G20">
        <f t="shared" si="4"/>
        <v>-1.4439490763701299</v>
      </c>
      <c r="H20" s="6">
        <f t="shared" si="5"/>
        <v>2</v>
      </c>
      <c r="I20">
        <f t="shared" si="10"/>
        <v>0</v>
      </c>
      <c r="J20">
        <f t="shared" si="6"/>
        <v>0</v>
      </c>
      <c r="K20">
        <f t="shared" si="7"/>
        <v>0</v>
      </c>
      <c r="L20">
        <f t="shared" si="8"/>
        <v>0</v>
      </c>
      <c r="O20" s="5">
        <v>391737600</v>
      </c>
      <c r="P20" s="4">
        <v>-3.0915440042617401</v>
      </c>
      <c r="Q20" s="4">
        <v>-1.25502801863007</v>
      </c>
      <c r="R20" s="4">
        <v>-1.76255368930003</v>
      </c>
      <c r="S20" s="4">
        <v>-1.3494803776695701</v>
      </c>
      <c r="T20" s="4">
        <v>-0.318604612929973</v>
      </c>
      <c r="U20" s="4">
        <v>-1.4439490763701299</v>
      </c>
      <c r="V20" s="4">
        <v>0</v>
      </c>
      <c r="W20" s="4">
        <v>0</v>
      </c>
      <c r="X20" s="4">
        <v>0</v>
      </c>
      <c r="Y20" s="4">
        <v>0</v>
      </c>
    </row>
    <row r="21" spans="1:25" x14ac:dyDescent="0.35">
      <c r="A21" s="1">
        <v>30195</v>
      </c>
      <c r="B21">
        <f t="shared" si="9"/>
        <v>-3.5368063703569801</v>
      </c>
      <c r="C21">
        <f t="shared" si="0"/>
        <v>-1.36743450684696</v>
      </c>
      <c r="D21">
        <f t="shared" si="1"/>
        <v>-1.9669457109826201</v>
      </c>
      <c r="E21">
        <f t="shared" si="2"/>
        <v>-1.4790057056524599</v>
      </c>
      <c r="F21">
        <f t="shared" si="3"/>
        <v>-0.26129080619237299</v>
      </c>
      <c r="G21">
        <f t="shared" si="4"/>
        <v>-1.70565490479031</v>
      </c>
      <c r="H21" s="6">
        <f t="shared" si="5"/>
        <v>2</v>
      </c>
      <c r="I21">
        <f t="shared" si="10"/>
        <v>0</v>
      </c>
      <c r="J21">
        <f t="shared" si="6"/>
        <v>0</v>
      </c>
      <c r="K21">
        <f t="shared" si="7"/>
        <v>0</v>
      </c>
      <c r="L21">
        <f t="shared" si="8"/>
        <v>0</v>
      </c>
      <c r="O21" s="5">
        <v>399686400</v>
      </c>
      <c r="P21" s="4">
        <v>-3.5368063703569801</v>
      </c>
      <c r="Q21" s="4">
        <v>-1.36743450684696</v>
      </c>
      <c r="R21" s="4">
        <v>-1.9669457109826201</v>
      </c>
      <c r="S21" s="4">
        <v>-1.4790057056524599</v>
      </c>
      <c r="T21" s="4">
        <v>-0.26129080619237299</v>
      </c>
      <c r="U21" s="4">
        <v>-1.70565490479031</v>
      </c>
      <c r="V21" s="4">
        <v>0</v>
      </c>
      <c r="W21" s="4">
        <v>0</v>
      </c>
      <c r="X21" s="4">
        <v>0</v>
      </c>
      <c r="Y21" s="4">
        <v>0</v>
      </c>
    </row>
    <row r="22" spans="1:25" x14ac:dyDescent="0.35">
      <c r="A22" s="1">
        <v>30286</v>
      </c>
      <c r="B22">
        <f t="shared" si="9"/>
        <v>-0.34540824402592202</v>
      </c>
      <c r="C22">
        <f t="shared" si="0"/>
        <v>-6.7754401012680293E-2</v>
      </c>
      <c r="D22">
        <f t="shared" si="1"/>
        <v>-0.14448471754235301</v>
      </c>
      <c r="E22">
        <f t="shared" si="2"/>
        <v>-8.2034189848788297E-2</v>
      </c>
      <c r="F22">
        <f t="shared" si="3"/>
        <v>7.3818860159201805E-2</v>
      </c>
      <c r="G22">
        <f t="shared" si="4"/>
        <v>-0.21830357770161199</v>
      </c>
      <c r="H22" s="6">
        <f t="shared" si="5"/>
        <v>2</v>
      </c>
      <c r="I22">
        <f t="shared" si="10"/>
        <v>0</v>
      </c>
      <c r="J22">
        <f t="shared" si="6"/>
        <v>0</v>
      </c>
      <c r="K22">
        <f t="shared" si="7"/>
        <v>0</v>
      </c>
      <c r="L22">
        <f t="shared" si="8"/>
        <v>0</v>
      </c>
      <c r="O22" s="5">
        <v>407548800</v>
      </c>
      <c r="P22" s="4">
        <v>-0.34540824402592202</v>
      </c>
      <c r="Q22" s="4">
        <v>-6.7754401012680293E-2</v>
      </c>
      <c r="R22" s="4">
        <v>-0.14448471754235301</v>
      </c>
      <c r="S22" s="4">
        <v>-8.2034189848788297E-2</v>
      </c>
      <c r="T22" s="4">
        <v>7.3818860159201805E-2</v>
      </c>
      <c r="U22" s="4">
        <v>-0.21830357770161199</v>
      </c>
      <c r="V22" s="4">
        <v>0</v>
      </c>
      <c r="W22" s="4">
        <v>0</v>
      </c>
      <c r="X22" s="4">
        <v>0</v>
      </c>
      <c r="Y22" s="4">
        <v>0</v>
      </c>
    </row>
    <row r="23" spans="1:25" x14ac:dyDescent="0.35">
      <c r="A23" s="1">
        <v>30376</v>
      </c>
      <c r="B23">
        <f t="shared" si="9"/>
        <v>-0.838433069304798</v>
      </c>
      <c r="C23">
        <f t="shared" si="0"/>
        <v>-0.124465645812616</v>
      </c>
      <c r="D23">
        <f t="shared" si="1"/>
        <v>-0.32177228418619103</v>
      </c>
      <c r="E23">
        <f t="shared" si="2"/>
        <v>-0.16118512331988899</v>
      </c>
      <c r="F23">
        <f t="shared" si="3"/>
        <v>0.239580086158238</v>
      </c>
      <c r="G23">
        <f t="shared" si="4"/>
        <v>-0.56135237034443397</v>
      </c>
      <c r="H23" s="6">
        <f t="shared" si="5"/>
        <v>2</v>
      </c>
      <c r="I23">
        <f t="shared" si="10"/>
        <v>0</v>
      </c>
      <c r="J23">
        <f t="shared" si="6"/>
        <v>0</v>
      </c>
      <c r="K23">
        <f t="shared" si="7"/>
        <v>0</v>
      </c>
      <c r="L23">
        <f t="shared" si="8"/>
        <v>0</v>
      </c>
      <c r="O23" s="5">
        <v>415324800</v>
      </c>
      <c r="P23" s="4">
        <v>-0.838433069304798</v>
      </c>
      <c r="Q23" s="4">
        <v>-0.124465645812616</v>
      </c>
      <c r="R23" s="4">
        <v>-0.32177228418619103</v>
      </c>
      <c r="S23" s="4">
        <v>-0.16118512331988899</v>
      </c>
      <c r="T23" s="4">
        <v>0.239580086158238</v>
      </c>
      <c r="U23" s="4">
        <v>-0.56135237034443397</v>
      </c>
      <c r="V23" s="4">
        <v>0</v>
      </c>
      <c r="W23" s="4">
        <v>0</v>
      </c>
      <c r="X23" s="4">
        <v>0</v>
      </c>
      <c r="Y23" s="4">
        <v>0</v>
      </c>
    </row>
    <row r="24" spans="1:25" x14ac:dyDescent="0.35">
      <c r="A24" s="1">
        <v>30468</v>
      </c>
      <c r="B24">
        <f t="shared" si="9"/>
        <v>-0.17665852868479001</v>
      </c>
      <c r="C24">
        <f t="shared" si="0"/>
        <v>7.4092119583578198E-2</v>
      </c>
      <c r="D24">
        <f t="shared" si="1"/>
        <v>4.7965665206308097E-3</v>
      </c>
      <c r="E24">
        <f t="shared" si="2"/>
        <v>6.1195967061681601E-2</v>
      </c>
      <c r="F24">
        <f t="shared" si="3"/>
        <v>0.20194767753680701</v>
      </c>
      <c r="G24">
        <f t="shared" si="4"/>
        <v>-0.19715111101616001</v>
      </c>
      <c r="H24" s="6">
        <f t="shared" si="5"/>
        <v>2</v>
      </c>
      <c r="I24">
        <f t="shared" si="10"/>
        <v>0</v>
      </c>
      <c r="J24">
        <f t="shared" si="6"/>
        <v>0</v>
      </c>
      <c r="K24">
        <f t="shared" si="7"/>
        <v>0</v>
      </c>
      <c r="L24">
        <f t="shared" si="8"/>
        <v>0</v>
      </c>
      <c r="O24" s="5">
        <v>423273600</v>
      </c>
      <c r="P24" s="4">
        <v>-0.17665852868479001</v>
      </c>
      <c r="Q24" s="4">
        <v>7.4092119583578198E-2</v>
      </c>
      <c r="R24" s="4">
        <v>4.7965665206308097E-3</v>
      </c>
      <c r="S24" s="4">
        <v>6.1195967061681601E-2</v>
      </c>
      <c r="T24" s="4">
        <v>0.20194767753680701</v>
      </c>
      <c r="U24" s="4">
        <v>-0.19715111101616001</v>
      </c>
      <c r="V24" s="4">
        <v>0</v>
      </c>
      <c r="W24" s="4">
        <v>0</v>
      </c>
      <c r="X24" s="4">
        <v>0</v>
      </c>
      <c r="Y24" s="4">
        <v>0</v>
      </c>
    </row>
    <row r="25" spans="1:25" x14ac:dyDescent="0.35">
      <c r="A25" s="1">
        <v>30560</v>
      </c>
      <c r="B25">
        <f t="shared" si="9"/>
        <v>-1.0675364818481199</v>
      </c>
      <c r="C25">
        <f t="shared" si="0"/>
        <v>-0.22933388281427899</v>
      </c>
      <c r="D25">
        <f t="shared" si="1"/>
        <v>-0.46097321487575599</v>
      </c>
      <c r="E25">
        <f t="shared" si="2"/>
        <v>-0.27244279852814202</v>
      </c>
      <c r="F25">
        <f t="shared" si="3"/>
        <v>0.19805827635821099</v>
      </c>
      <c r="G25">
        <f t="shared" si="4"/>
        <v>-0.65903149123395899</v>
      </c>
      <c r="H25" s="6">
        <f t="shared" si="5"/>
        <v>2</v>
      </c>
      <c r="I25">
        <f t="shared" si="10"/>
        <v>0</v>
      </c>
      <c r="J25">
        <f t="shared" si="6"/>
        <v>0</v>
      </c>
      <c r="K25">
        <f t="shared" si="7"/>
        <v>0</v>
      </c>
      <c r="L25">
        <f t="shared" si="8"/>
        <v>0</v>
      </c>
      <c r="O25" s="5">
        <v>431222400</v>
      </c>
      <c r="P25" s="4">
        <v>-1.0675364818481199</v>
      </c>
      <c r="Q25" s="4">
        <v>-0.22933388281427899</v>
      </c>
      <c r="R25" s="4">
        <v>-0.46097321487575599</v>
      </c>
      <c r="S25" s="4">
        <v>-0.27244279852814202</v>
      </c>
      <c r="T25" s="4">
        <v>0.19805827635821099</v>
      </c>
      <c r="U25" s="4">
        <v>-0.65903149123395899</v>
      </c>
      <c r="V25" s="4">
        <v>0</v>
      </c>
      <c r="W25" s="4">
        <v>0</v>
      </c>
      <c r="X25" s="4">
        <v>0</v>
      </c>
      <c r="Y25" s="4">
        <v>0</v>
      </c>
    </row>
    <row r="26" spans="1:25" x14ac:dyDescent="0.35">
      <c r="A26" s="1">
        <v>30651</v>
      </c>
      <c r="B26">
        <f t="shared" si="9"/>
        <v>1.7179425800443899</v>
      </c>
      <c r="C26">
        <f t="shared" si="0"/>
        <v>0.37525334265829802</v>
      </c>
      <c r="D26">
        <f t="shared" si="1"/>
        <v>0.74630878733569495</v>
      </c>
      <c r="E26">
        <f t="shared" si="2"/>
        <v>0.44430810010133498</v>
      </c>
      <c r="F26">
        <f t="shared" si="3"/>
        <v>-0.30937213204858899</v>
      </c>
      <c r="G26">
        <f t="shared" si="4"/>
        <v>1.05568091938431</v>
      </c>
      <c r="H26" s="6">
        <f t="shared" si="5"/>
        <v>2</v>
      </c>
      <c r="I26">
        <f t="shared" si="10"/>
        <v>0</v>
      </c>
      <c r="J26">
        <f t="shared" si="6"/>
        <v>0</v>
      </c>
      <c r="K26">
        <f t="shared" si="7"/>
        <v>0</v>
      </c>
      <c r="L26">
        <f t="shared" si="8"/>
        <v>0</v>
      </c>
      <c r="O26" s="5">
        <v>439084800</v>
      </c>
      <c r="P26" s="4">
        <v>1.7179425800443899</v>
      </c>
      <c r="Q26" s="4">
        <v>0.37525334265829802</v>
      </c>
      <c r="R26" s="4">
        <v>0.74630878733569495</v>
      </c>
      <c r="S26" s="4">
        <v>0.44430810010133498</v>
      </c>
      <c r="T26" s="4">
        <v>-0.30937213204858899</v>
      </c>
      <c r="U26" s="4">
        <v>1.05568091938431</v>
      </c>
      <c r="V26" s="4">
        <v>0</v>
      </c>
      <c r="W26" s="4">
        <v>0</v>
      </c>
      <c r="X26" s="4">
        <v>0</v>
      </c>
      <c r="Y26" s="4">
        <v>0</v>
      </c>
    </row>
    <row r="27" spans="1:25" x14ac:dyDescent="0.35">
      <c r="A27" s="1">
        <v>30742</v>
      </c>
      <c r="B27">
        <f t="shared" si="9"/>
        <v>0.31296038688699901</v>
      </c>
      <c r="C27">
        <f t="shared" si="0"/>
        <v>-0.137659311451483</v>
      </c>
      <c r="D27">
        <f t="shared" si="1"/>
        <v>-1.31294590540116E-2</v>
      </c>
      <c r="E27">
        <f t="shared" si="2"/>
        <v>-0.114483856475462</v>
      </c>
      <c r="F27">
        <f t="shared" si="3"/>
        <v>-0.36742634636704802</v>
      </c>
      <c r="G27">
        <f t="shared" si="4"/>
        <v>0.35429688731305797</v>
      </c>
      <c r="H27" s="6">
        <f t="shared" si="5"/>
        <v>2</v>
      </c>
      <c r="I27">
        <f t="shared" si="10"/>
        <v>0</v>
      </c>
      <c r="J27">
        <f t="shared" si="6"/>
        <v>0</v>
      </c>
      <c r="K27">
        <f t="shared" si="7"/>
        <v>0</v>
      </c>
      <c r="L27">
        <f t="shared" si="8"/>
        <v>0</v>
      </c>
      <c r="O27" s="5">
        <v>446947200</v>
      </c>
      <c r="P27" s="4">
        <v>0.31296038688699901</v>
      </c>
      <c r="Q27" s="4">
        <v>-0.137659311451483</v>
      </c>
      <c r="R27" s="4">
        <v>-1.31294590540116E-2</v>
      </c>
      <c r="S27" s="4">
        <v>-0.114483856475462</v>
      </c>
      <c r="T27" s="4">
        <v>-0.36742634636704802</v>
      </c>
      <c r="U27" s="4">
        <v>0.35429688731305797</v>
      </c>
      <c r="V27" s="4">
        <v>0</v>
      </c>
      <c r="W27" s="4">
        <v>0</v>
      </c>
      <c r="X27" s="4">
        <v>0</v>
      </c>
      <c r="Y27" s="4">
        <v>0</v>
      </c>
    </row>
    <row r="28" spans="1:25" x14ac:dyDescent="0.35">
      <c r="A28" s="1">
        <v>30834</v>
      </c>
      <c r="B28">
        <f t="shared" si="9"/>
        <v>1.3096726342235401</v>
      </c>
      <c r="C28">
        <f t="shared" si="0"/>
        <v>0.32007648166020303</v>
      </c>
      <c r="D28">
        <f t="shared" si="1"/>
        <v>0.59355379138771702</v>
      </c>
      <c r="E28">
        <f t="shared" si="2"/>
        <v>0.37097159601656798</v>
      </c>
      <c r="F28">
        <f t="shared" si="3"/>
        <v>-0.18450992363171101</v>
      </c>
      <c r="G28">
        <f t="shared" si="4"/>
        <v>0.77806371501944005</v>
      </c>
      <c r="H28" s="6">
        <f t="shared" si="5"/>
        <v>2</v>
      </c>
      <c r="I28">
        <f t="shared" si="10"/>
        <v>0</v>
      </c>
      <c r="J28">
        <f t="shared" si="6"/>
        <v>0</v>
      </c>
      <c r="K28">
        <f t="shared" si="7"/>
        <v>0</v>
      </c>
      <c r="L28">
        <f t="shared" si="8"/>
        <v>0</v>
      </c>
      <c r="O28" s="5">
        <v>454896000</v>
      </c>
      <c r="P28" s="4">
        <v>1.3096726342235401</v>
      </c>
      <c r="Q28" s="4">
        <v>0.32007648166020303</v>
      </c>
      <c r="R28" s="4">
        <v>0.59355379138771702</v>
      </c>
      <c r="S28" s="4">
        <v>0.37097159601656798</v>
      </c>
      <c r="T28" s="4">
        <v>-0.18450992363171101</v>
      </c>
      <c r="U28" s="4">
        <v>0.77806371501944005</v>
      </c>
      <c r="V28" s="4">
        <v>0</v>
      </c>
      <c r="W28" s="4">
        <v>0</v>
      </c>
      <c r="X28" s="4">
        <v>0</v>
      </c>
      <c r="Y28" s="4">
        <v>0</v>
      </c>
    </row>
    <row r="29" spans="1:25" x14ac:dyDescent="0.35">
      <c r="A29" s="1">
        <v>30926</v>
      </c>
      <c r="B29">
        <f t="shared" si="9"/>
        <v>1.4227512776064</v>
      </c>
      <c r="C29">
        <f t="shared" si="0"/>
        <v>0.339818012828914</v>
      </c>
      <c r="D29">
        <f t="shared" si="1"/>
        <v>0.63908926110393105</v>
      </c>
      <c r="E29">
        <f t="shared" si="2"/>
        <v>0.39551347224272798</v>
      </c>
      <c r="F29">
        <f t="shared" si="3"/>
        <v>-0.21236016796704599</v>
      </c>
      <c r="G29">
        <f t="shared" si="4"/>
        <v>0.85144942907098597</v>
      </c>
      <c r="H29" s="6">
        <f t="shared" si="5"/>
        <v>2</v>
      </c>
      <c r="I29">
        <f t="shared" si="10"/>
        <v>0</v>
      </c>
      <c r="J29">
        <f t="shared" si="6"/>
        <v>0</v>
      </c>
      <c r="K29">
        <f t="shared" si="7"/>
        <v>0</v>
      </c>
      <c r="L29">
        <f t="shared" si="8"/>
        <v>0</v>
      </c>
      <c r="O29" s="5">
        <v>462844800</v>
      </c>
      <c r="P29" s="4">
        <v>1.4227512776064</v>
      </c>
      <c r="Q29" s="4">
        <v>0.339818012828914</v>
      </c>
      <c r="R29" s="4">
        <v>0.63908926110393105</v>
      </c>
      <c r="S29" s="4">
        <v>0.39551347224272798</v>
      </c>
      <c r="T29" s="4">
        <v>-0.21236016796704599</v>
      </c>
      <c r="U29" s="4">
        <v>0.85144942907098597</v>
      </c>
      <c r="V29" s="4">
        <v>0</v>
      </c>
      <c r="W29" s="4">
        <v>0</v>
      </c>
      <c r="X29" s="4">
        <v>0</v>
      </c>
      <c r="Y29" s="4">
        <v>0</v>
      </c>
    </row>
    <row r="30" spans="1:25" x14ac:dyDescent="0.35">
      <c r="A30" s="1">
        <v>31017</v>
      </c>
      <c r="B30">
        <f t="shared" si="9"/>
        <v>2.8486748503447501</v>
      </c>
      <c r="C30">
        <f t="shared" si="0"/>
        <v>0.97672721888591796</v>
      </c>
      <c r="D30">
        <f t="shared" si="1"/>
        <v>1.4940445112744201</v>
      </c>
      <c r="E30">
        <f t="shared" si="2"/>
        <v>1.0730018340665</v>
      </c>
      <c r="F30">
        <f t="shared" si="3"/>
        <v>2.2237527504412501E-2</v>
      </c>
      <c r="G30">
        <f t="shared" si="4"/>
        <v>1.4718069837700301</v>
      </c>
      <c r="H30" s="6">
        <f t="shared" si="5"/>
        <v>2</v>
      </c>
      <c r="I30">
        <f t="shared" si="10"/>
        <v>0.26521089073273302</v>
      </c>
      <c r="J30">
        <f t="shared" si="6"/>
        <v>0</v>
      </c>
      <c r="K30">
        <f t="shared" si="7"/>
        <v>0</v>
      </c>
      <c r="L30">
        <f t="shared" si="8"/>
        <v>0</v>
      </c>
      <c r="O30" s="5">
        <v>470707200</v>
      </c>
      <c r="P30" s="4">
        <v>2.8486748503447501</v>
      </c>
      <c r="Q30" s="4">
        <v>0.97672721888591796</v>
      </c>
      <c r="R30" s="4">
        <v>1.4940445112744201</v>
      </c>
      <c r="S30" s="4">
        <v>1.0730018340665</v>
      </c>
      <c r="T30" s="4">
        <v>2.2237527504412501E-2</v>
      </c>
      <c r="U30" s="4">
        <v>1.4718069837700301</v>
      </c>
      <c r="V30" s="4">
        <v>0.26521089073273302</v>
      </c>
      <c r="W30" s="4">
        <v>0</v>
      </c>
      <c r="X30" s="4">
        <v>0</v>
      </c>
      <c r="Y30" s="4">
        <v>0</v>
      </c>
    </row>
    <row r="31" spans="1:25" x14ac:dyDescent="0.35">
      <c r="A31" s="1">
        <v>31107</v>
      </c>
      <c r="B31">
        <f t="shared" si="9"/>
        <v>0.57841266541923397</v>
      </c>
      <c r="C31">
        <f t="shared" si="0"/>
        <v>0.46694731142080498</v>
      </c>
      <c r="D31">
        <f t="shared" si="1"/>
        <v>0.49775103378811802</v>
      </c>
      <c r="E31">
        <f t="shared" si="2"/>
        <v>0.47267999532810701</v>
      </c>
      <c r="F31">
        <f t="shared" si="3"/>
        <v>0.41011210430832201</v>
      </c>
      <c r="G31">
        <f t="shared" si="4"/>
        <v>8.7638929479813596E-2</v>
      </c>
      <c r="H31" s="6">
        <f t="shared" si="5"/>
        <v>2</v>
      </c>
      <c r="I31">
        <f t="shared" si="10"/>
        <v>0</v>
      </c>
      <c r="J31">
        <f t="shared" si="6"/>
        <v>0</v>
      </c>
      <c r="K31">
        <f t="shared" si="7"/>
        <v>0</v>
      </c>
      <c r="L31">
        <f t="shared" si="8"/>
        <v>0</v>
      </c>
      <c r="O31" s="5">
        <v>478483200</v>
      </c>
      <c r="P31" s="4">
        <v>0.57841266541923397</v>
      </c>
      <c r="Q31" s="4">
        <v>0.46694731142080498</v>
      </c>
      <c r="R31" s="4">
        <v>0.49775103378811802</v>
      </c>
      <c r="S31" s="4">
        <v>0.47267999532810701</v>
      </c>
      <c r="T31" s="4">
        <v>0.41011210430832201</v>
      </c>
      <c r="U31" s="4">
        <v>8.7638929479813596E-2</v>
      </c>
      <c r="V31" s="4">
        <v>0</v>
      </c>
      <c r="W31" s="4">
        <v>0</v>
      </c>
      <c r="X31" s="4">
        <v>0</v>
      </c>
      <c r="Y31" s="4">
        <v>0</v>
      </c>
    </row>
    <row r="32" spans="1:25" x14ac:dyDescent="0.35">
      <c r="A32" s="1">
        <v>31199</v>
      </c>
      <c r="B32">
        <f t="shared" si="9"/>
        <v>0.70679154858628801</v>
      </c>
      <c r="C32">
        <f t="shared" si="0"/>
        <v>0.430062261733752</v>
      </c>
      <c r="D32">
        <f t="shared" si="1"/>
        <v>0.50653707491408395</v>
      </c>
      <c r="E32">
        <f t="shared" si="2"/>
        <v>0.44429450047440999</v>
      </c>
      <c r="F32">
        <f t="shared" si="3"/>
        <v>0.28896042364533298</v>
      </c>
      <c r="G32">
        <f t="shared" si="4"/>
        <v>0.217576651268754</v>
      </c>
      <c r="H32" s="6">
        <f t="shared" si="5"/>
        <v>2</v>
      </c>
      <c r="I32">
        <f t="shared" si="10"/>
        <v>0</v>
      </c>
      <c r="J32">
        <f t="shared" si="6"/>
        <v>0</v>
      </c>
      <c r="K32">
        <f t="shared" si="7"/>
        <v>0</v>
      </c>
      <c r="L32">
        <f t="shared" si="8"/>
        <v>0</v>
      </c>
      <c r="O32" s="5">
        <v>486432000</v>
      </c>
      <c r="P32" s="4">
        <v>0.70679154858628801</v>
      </c>
      <c r="Q32" s="4">
        <v>0.430062261733752</v>
      </c>
      <c r="R32" s="4">
        <v>0.50653707491408395</v>
      </c>
      <c r="S32" s="4">
        <v>0.44429450047440999</v>
      </c>
      <c r="T32" s="4">
        <v>0.28896042364533298</v>
      </c>
      <c r="U32" s="4">
        <v>0.217576651268754</v>
      </c>
      <c r="V32" s="4">
        <v>0</v>
      </c>
      <c r="W32" s="4">
        <v>0</v>
      </c>
      <c r="X32" s="4">
        <v>0</v>
      </c>
      <c r="Y32" s="4">
        <v>0</v>
      </c>
    </row>
    <row r="33" spans="1:25" x14ac:dyDescent="0.35">
      <c r="A33" s="1">
        <v>31291</v>
      </c>
      <c r="B33">
        <f t="shared" si="9"/>
        <v>0.24088702265946901</v>
      </c>
      <c r="C33">
        <f t="shared" si="0"/>
        <v>0.20659616549234799</v>
      </c>
      <c r="D33">
        <f t="shared" si="1"/>
        <v>0.21607252748306799</v>
      </c>
      <c r="E33">
        <f t="shared" si="2"/>
        <v>0.20835975066027501</v>
      </c>
      <c r="F33">
        <f t="shared" si="3"/>
        <v>0.18911155795065299</v>
      </c>
      <c r="G33">
        <f t="shared" si="4"/>
        <v>2.6960969532421001E-2</v>
      </c>
      <c r="H33" s="6">
        <f t="shared" si="5"/>
        <v>2</v>
      </c>
      <c r="I33">
        <f t="shared" si="10"/>
        <v>0</v>
      </c>
      <c r="J33">
        <f t="shared" si="6"/>
        <v>0</v>
      </c>
      <c r="K33">
        <f t="shared" si="7"/>
        <v>0</v>
      </c>
      <c r="L33">
        <f t="shared" si="8"/>
        <v>0</v>
      </c>
      <c r="O33" s="5">
        <v>494380800</v>
      </c>
      <c r="P33" s="4">
        <v>0.24088702265946901</v>
      </c>
      <c r="Q33" s="4">
        <v>0.20659616549234799</v>
      </c>
      <c r="R33" s="4">
        <v>0.21607252748306799</v>
      </c>
      <c r="S33" s="4">
        <v>0.20835975066027501</v>
      </c>
      <c r="T33" s="4">
        <v>0.18911155795065299</v>
      </c>
      <c r="U33" s="4">
        <v>2.6960969532421001E-2</v>
      </c>
      <c r="V33" s="4">
        <v>0</v>
      </c>
      <c r="W33" s="4">
        <v>0</v>
      </c>
      <c r="X33" s="4">
        <v>0</v>
      </c>
      <c r="Y33" s="4">
        <v>0</v>
      </c>
    </row>
    <row r="34" spans="1:25" x14ac:dyDescent="0.35">
      <c r="A34" s="1">
        <v>31382</v>
      </c>
      <c r="B34">
        <f t="shared" si="9"/>
        <v>2.2407717233506999</v>
      </c>
      <c r="C34">
        <f t="shared" si="0"/>
        <v>0.91352710279024196</v>
      </c>
      <c r="D34">
        <f t="shared" si="1"/>
        <v>1.2803143899487499</v>
      </c>
      <c r="E34">
        <f t="shared" si="2"/>
        <v>0.98178754071465302</v>
      </c>
      <c r="F34">
        <f t="shared" si="3"/>
        <v>0.23677670284487901</v>
      </c>
      <c r="G34">
        <f t="shared" si="4"/>
        <v>1.04353768710387</v>
      </c>
      <c r="H34" s="6">
        <f t="shared" si="5"/>
        <v>2</v>
      </c>
      <c r="I34">
        <f t="shared" si="10"/>
        <v>7.5241163547095202E-2</v>
      </c>
      <c r="J34">
        <f t="shared" si="6"/>
        <v>0</v>
      </c>
      <c r="K34">
        <f t="shared" si="7"/>
        <v>0</v>
      </c>
      <c r="L34">
        <f t="shared" si="8"/>
        <v>0</v>
      </c>
      <c r="O34" s="5">
        <v>502243200</v>
      </c>
      <c r="P34" s="4">
        <v>2.2407717233506999</v>
      </c>
      <c r="Q34" s="4">
        <v>0.91352710279024196</v>
      </c>
      <c r="R34" s="4">
        <v>1.2803143899487499</v>
      </c>
      <c r="S34" s="4">
        <v>0.98178754071465302</v>
      </c>
      <c r="T34" s="4">
        <v>0.23677670284487901</v>
      </c>
      <c r="U34" s="4">
        <v>1.04353768710387</v>
      </c>
      <c r="V34" s="4">
        <v>7.5241163547095202E-2</v>
      </c>
      <c r="W34" s="4">
        <v>0</v>
      </c>
      <c r="X34" s="4">
        <v>0</v>
      </c>
      <c r="Y34" s="4">
        <v>0</v>
      </c>
    </row>
    <row r="35" spans="1:25" x14ac:dyDescent="0.35">
      <c r="A35" s="1">
        <v>31472</v>
      </c>
      <c r="B35">
        <f t="shared" si="9"/>
        <v>0.76371967564424703</v>
      </c>
      <c r="C35">
        <f t="shared" si="0"/>
        <v>2.4016093114453099E-2</v>
      </c>
      <c r="D35">
        <f t="shared" si="1"/>
        <v>0.22843498179148</v>
      </c>
      <c r="E35">
        <f t="shared" si="2"/>
        <v>6.2059186072261997E-2</v>
      </c>
      <c r="F35">
        <f t="shared" si="3"/>
        <v>-0.35315228079590499</v>
      </c>
      <c r="G35">
        <f t="shared" si="4"/>
        <v>0.58158726258737903</v>
      </c>
      <c r="H35" s="6">
        <f t="shared" si="5"/>
        <v>2</v>
      </c>
      <c r="I35">
        <f t="shared" si="10"/>
        <v>0</v>
      </c>
      <c r="J35">
        <f t="shared" si="6"/>
        <v>0</v>
      </c>
      <c r="K35">
        <f t="shared" si="7"/>
        <v>0</v>
      </c>
      <c r="L35">
        <f t="shared" si="8"/>
        <v>0</v>
      </c>
      <c r="O35" s="5">
        <v>510019200</v>
      </c>
      <c r="P35" s="4">
        <v>0.76371967564424703</v>
      </c>
      <c r="Q35" s="4">
        <v>2.4016093114453099E-2</v>
      </c>
      <c r="R35" s="4">
        <v>0.22843498179148</v>
      </c>
      <c r="S35" s="4">
        <v>6.2059186072261997E-2</v>
      </c>
      <c r="T35" s="4">
        <v>-0.35315228079590499</v>
      </c>
      <c r="U35" s="4">
        <v>0.58158726258737903</v>
      </c>
      <c r="V35" s="4">
        <v>0</v>
      </c>
      <c r="W35" s="4">
        <v>0</v>
      </c>
      <c r="X35" s="4">
        <v>0</v>
      </c>
      <c r="Y35" s="4">
        <v>0</v>
      </c>
    </row>
    <row r="36" spans="1:25" x14ac:dyDescent="0.35">
      <c r="A36" s="1">
        <v>31564</v>
      </c>
      <c r="B36">
        <f t="shared" si="9"/>
        <v>0.33785854495892698</v>
      </c>
      <c r="C36">
        <f t="shared" si="0"/>
        <v>-3.55861039259436E-2</v>
      </c>
      <c r="D36">
        <f t="shared" si="1"/>
        <v>6.7616235376442999E-2</v>
      </c>
      <c r="E36">
        <f t="shared" si="2"/>
        <v>-1.6379776110775499E-2</v>
      </c>
      <c r="F36">
        <f t="shared" si="3"/>
        <v>-0.22600225749345901</v>
      </c>
      <c r="G36">
        <f t="shared" si="4"/>
        <v>0.293618492869893</v>
      </c>
      <c r="H36" s="6">
        <f t="shared" si="5"/>
        <v>2</v>
      </c>
      <c r="I36">
        <f t="shared" si="10"/>
        <v>0</v>
      </c>
      <c r="J36">
        <f t="shared" si="6"/>
        <v>0</v>
      </c>
      <c r="K36">
        <f t="shared" si="7"/>
        <v>0</v>
      </c>
      <c r="L36">
        <f t="shared" si="8"/>
        <v>0</v>
      </c>
      <c r="O36" s="5">
        <v>517968000</v>
      </c>
      <c r="P36" s="4">
        <v>0.33785854495892698</v>
      </c>
      <c r="Q36" s="4">
        <v>-3.55861039259436E-2</v>
      </c>
      <c r="R36" s="4">
        <v>6.7616235376442999E-2</v>
      </c>
      <c r="S36" s="4">
        <v>-1.6379776110775499E-2</v>
      </c>
      <c r="T36" s="4">
        <v>-0.22600225749345901</v>
      </c>
      <c r="U36" s="4">
        <v>0.293618492869893</v>
      </c>
      <c r="V36" s="4">
        <v>0</v>
      </c>
      <c r="W36" s="4">
        <v>0</v>
      </c>
      <c r="X36" s="4">
        <v>0</v>
      </c>
      <c r="Y36" s="4">
        <v>0</v>
      </c>
    </row>
    <row r="37" spans="1:25" x14ac:dyDescent="0.35">
      <c r="A37" s="1">
        <v>31656</v>
      </c>
      <c r="B37">
        <f t="shared" si="9"/>
        <v>-1.1874267835654799</v>
      </c>
      <c r="C37">
        <f t="shared" si="0"/>
        <v>-0.61758450190981096</v>
      </c>
      <c r="D37">
        <f t="shared" si="1"/>
        <v>-0.77506180591157103</v>
      </c>
      <c r="E37">
        <f t="shared" si="2"/>
        <v>-0.64689159654111905</v>
      </c>
      <c r="F37">
        <f t="shared" si="3"/>
        <v>-0.32702691663709799</v>
      </c>
      <c r="G37">
        <f t="shared" si="4"/>
        <v>-0.44803488927447199</v>
      </c>
      <c r="H37" s="6">
        <f t="shared" si="5"/>
        <v>2</v>
      </c>
      <c r="I37">
        <f t="shared" si="10"/>
        <v>0</v>
      </c>
      <c r="J37">
        <f t="shared" si="6"/>
        <v>0</v>
      </c>
      <c r="K37">
        <f t="shared" si="7"/>
        <v>0</v>
      </c>
      <c r="L37">
        <f t="shared" si="8"/>
        <v>0</v>
      </c>
      <c r="O37" s="5">
        <v>525916800</v>
      </c>
      <c r="P37" s="4">
        <v>-1.1874267835654799</v>
      </c>
      <c r="Q37" s="4">
        <v>-0.61758450190981096</v>
      </c>
      <c r="R37" s="4">
        <v>-0.77506180591157103</v>
      </c>
      <c r="S37" s="4">
        <v>-0.64689159654111905</v>
      </c>
      <c r="T37" s="4">
        <v>-0.32702691663709799</v>
      </c>
      <c r="U37" s="4">
        <v>-0.44803488927447199</v>
      </c>
      <c r="V37" s="4">
        <v>0</v>
      </c>
      <c r="W37" s="4">
        <v>0</v>
      </c>
      <c r="X37" s="4">
        <v>0</v>
      </c>
      <c r="Y37" s="4">
        <v>0</v>
      </c>
    </row>
    <row r="38" spans="1:25" x14ac:dyDescent="0.35">
      <c r="A38" s="1">
        <v>31747</v>
      </c>
      <c r="B38">
        <f t="shared" si="9"/>
        <v>-1.25398639343045</v>
      </c>
      <c r="C38">
        <f t="shared" si="0"/>
        <v>-0.83571427123340003</v>
      </c>
      <c r="D38">
        <f t="shared" si="1"/>
        <v>-0.95130479208998897</v>
      </c>
      <c r="E38">
        <f t="shared" si="2"/>
        <v>-0.85722608434641401</v>
      </c>
      <c r="F38">
        <f t="shared" si="3"/>
        <v>-0.62244098189559605</v>
      </c>
      <c r="G38">
        <f t="shared" si="4"/>
        <v>-0.32886381019439298</v>
      </c>
      <c r="H38" s="6">
        <f t="shared" si="5"/>
        <v>2</v>
      </c>
      <c r="I38">
        <f t="shared" si="10"/>
        <v>0</v>
      </c>
      <c r="J38">
        <f t="shared" si="6"/>
        <v>0</v>
      </c>
      <c r="K38">
        <f t="shared" si="7"/>
        <v>0</v>
      </c>
      <c r="L38">
        <f t="shared" si="8"/>
        <v>0</v>
      </c>
      <c r="O38" s="5">
        <v>533779200</v>
      </c>
      <c r="P38" s="4">
        <v>-1.25398639343045</v>
      </c>
      <c r="Q38" s="4">
        <v>-0.83571427123340003</v>
      </c>
      <c r="R38" s="4">
        <v>-0.95130479208998897</v>
      </c>
      <c r="S38" s="4">
        <v>-0.85722608434641401</v>
      </c>
      <c r="T38" s="4">
        <v>-0.62244098189559605</v>
      </c>
      <c r="U38" s="4">
        <v>-0.32886381019439298</v>
      </c>
      <c r="V38" s="4">
        <v>0</v>
      </c>
      <c r="W38" s="4">
        <v>0</v>
      </c>
      <c r="X38" s="4">
        <v>0</v>
      </c>
      <c r="Y38" s="4">
        <v>0</v>
      </c>
    </row>
    <row r="39" spans="1:25" x14ac:dyDescent="0.35">
      <c r="A39" s="1">
        <v>31837</v>
      </c>
      <c r="B39">
        <f t="shared" si="9"/>
        <v>0.96073683728002401</v>
      </c>
      <c r="C39">
        <f t="shared" si="0"/>
        <v>9.1356823103072193E-2</v>
      </c>
      <c r="D39">
        <f t="shared" si="1"/>
        <v>0.33161210986034301</v>
      </c>
      <c r="E39">
        <f t="shared" si="2"/>
        <v>0.136069199081953</v>
      </c>
      <c r="F39">
        <f t="shared" si="3"/>
        <v>-0.35193242680951797</v>
      </c>
      <c r="G39">
        <f t="shared" si="4"/>
        <v>0.68354453666985804</v>
      </c>
      <c r="H39" s="6">
        <f t="shared" si="5"/>
        <v>2</v>
      </c>
      <c r="I39">
        <f t="shared" si="10"/>
        <v>0</v>
      </c>
      <c r="J39">
        <f t="shared" si="6"/>
        <v>0</v>
      </c>
      <c r="K39">
        <f t="shared" si="7"/>
        <v>0</v>
      </c>
      <c r="L39">
        <f t="shared" si="8"/>
        <v>0</v>
      </c>
      <c r="O39" s="5">
        <v>541555200</v>
      </c>
      <c r="P39" s="4">
        <v>0.96073683728002401</v>
      </c>
      <c r="Q39" s="4">
        <v>9.1356823103072193E-2</v>
      </c>
      <c r="R39" s="4">
        <v>0.33161210986034301</v>
      </c>
      <c r="S39" s="4">
        <v>0.136069199081953</v>
      </c>
      <c r="T39" s="4">
        <v>-0.35193242680951797</v>
      </c>
      <c r="U39" s="4">
        <v>0.68354453666985804</v>
      </c>
      <c r="V39" s="4">
        <v>0</v>
      </c>
      <c r="W39" s="4">
        <v>0</v>
      </c>
      <c r="X39" s="4">
        <v>0</v>
      </c>
      <c r="Y39" s="4">
        <v>0</v>
      </c>
    </row>
    <row r="40" spans="1:25" x14ac:dyDescent="0.35">
      <c r="A40" s="1">
        <v>31929</v>
      </c>
      <c r="B40">
        <f t="shared" si="9"/>
        <v>1.63262851131811</v>
      </c>
      <c r="C40">
        <f t="shared" si="0"/>
        <v>0.45188613968147401</v>
      </c>
      <c r="D40">
        <f t="shared" si="1"/>
        <v>0.77818717312834795</v>
      </c>
      <c r="E40">
        <f t="shared" si="2"/>
        <v>0.51261193966986496</v>
      </c>
      <c r="F40">
        <f t="shared" si="3"/>
        <v>-0.15016404749510501</v>
      </c>
      <c r="G40">
        <f t="shared" si="4"/>
        <v>0.92835122062345898</v>
      </c>
      <c r="H40" s="6">
        <f t="shared" si="5"/>
        <v>2</v>
      </c>
      <c r="I40">
        <f t="shared" si="10"/>
        <v>0</v>
      </c>
      <c r="J40">
        <f t="shared" si="6"/>
        <v>0</v>
      </c>
      <c r="K40">
        <f t="shared" si="7"/>
        <v>0</v>
      </c>
      <c r="L40">
        <f t="shared" si="8"/>
        <v>0</v>
      </c>
      <c r="O40" s="5">
        <v>549504000</v>
      </c>
      <c r="P40" s="4">
        <v>1.63262851131811</v>
      </c>
      <c r="Q40" s="4">
        <v>0.45188613968147401</v>
      </c>
      <c r="R40" s="4">
        <v>0.77818717312834795</v>
      </c>
      <c r="S40" s="4">
        <v>0.51261193966986496</v>
      </c>
      <c r="T40" s="4">
        <v>-0.15016404749510501</v>
      </c>
      <c r="U40" s="4">
        <v>0.92835122062345898</v>
      </c>
      <c r="V40" s="4">
        <v>0</v>
      </c>
      <c r="W40" s="4">
        <v>0</v>
      </c>
      <c r="X40" s="4">
        <v>0</v>
      </c>
      <c r="Y40" s="4">
        <v>0</v>
      </c>
    </row>
    <row r="41" spans="1:25" x14ac:dyDescent="0.35">
      <c r="A41" s="1">
        <v>32021</v>
      </c>
      <c r="B41">
        <f t="shared" si="9"/>
        <v>1.3932135096696601</v>
      </c>
      <c r="C41">
        <f t="shared" si="0"/>
        <v>0.58162161112176003</v>
      </c>
      <c r="D41">
        <f t="shared" si="1"/>
        <v>0.80590701121816399</v>
      </c>
      <c r="E41">
        <f t="shared" si="2"/>
        <v>0.62336193355561298</v>
      </c>
      <c r="F41">
        <f t="shared" si="3"/>
        <v>0.167798014908739</v>
      </c>
      <c r="G41">
        <f t="shared" si="4"/>
        <v>0.63810899630942697</v>
      </c>
      <c r="H41" s="6">
        <f t="shared" si="5"/>
        <v>2</v>
      </c>
      <c r="I41">
        <f t="shared" si="10"/>
        <v>0</v>
      </c>
      <c r="J41">
        <f t="shared" si="6"/>
        <v>0</v>
      </c>
      <c r="K41">
        <f t="shared" si="7"/>
        <v>0</v>
      </c>
      <c r="L41">
        <f t="shared" si="8"/>
        <v>0</v>
      </c>
      <c r="O41" s="5">
        <v>557452800</v>
      </c>
      <c r="P41" s="4">
        <v>1.3932135096696601</v>
      </c>
      <c r="Q41" s="4">
        <v>0.58162161112176003</v>
      </c>
      <c r="R41" s="4">
        <v>0.80590701121816399</v>
      </c>
      <c r="S41" s="4">
        <v>0.62336193355561298</v>
      </c>
      <c r="T41" s="4">
        <v>0.167798014908739</v>
      </c>
      <c r="U41" s="4">
        <v>0.63810899630942697</v>
      </c>
      <c r="V41" s="4">
        <v>0</v>
      </c>
      <c r="W41" s="4">
        <v>0</v>
      </c>
      <c r="X41" s="4">
        <v>0</v>
      </c>
      <c r="Y41" s="4">
        <v>0</v>
      </c>
    </row>
    <row r="42" spans="1:25" x14ac:dyDescent="0.35">
      <c r="A42" s="1">
        <v>32112</v>
      </c>
      <c r="B42">
        <f t="shared" si="9"/>
        <v>2.0998413903843201</v>
      </c>
      <c r="C42">
        <f t="shared" si="0"/>
        <v>1.15519415966132</v>
      </c>
      <c r="D42">
        <f t="shared" si="1"/>
        <v>1.4162497252377499</v>
      </c>
      <c r="E42">
        <f t="shared" si="2"/>
        <v>1.2037775425994399</v>
      </c>
      <c r="F42">
        <f t="shared" si="3"/>
        <v>0.67352681567982398</v>
      </c>
      <c r="G42">
        <f t="shared" si="4"/>
        <v>0.74272290955792397</v>
      </c>
      <c r="H42" s="6">
        <f t="shared" si="5"/>
        <v>2</v>
      </c>
      <c r="I42">
        <f t="shared" si="10"/>
        <v>3.1200434495100699E-2</v>
      </c>
      <c r="J42">
        <f t="shared" si="6"/>
        <v>0</v>
      </c>
      <c r="K42">
        <f t="shared" si="7"/>
        <v>0</v>
      </c>
      <c r="L42">
        <f t="shared" si="8"/>
        <v>0</v>
      </c>
      <c r="O42" s="5">
        <v>565315200</v>
      </c>
      <c r="P42" s="4">
        <v>2.0998413903843201</v>
      </c>
      <c r="Q42" s="4">
        <v>1.15519415966132</v>
      </c>
      <c r="R42" s="4">
        <v>1.4162497252377499</v>
      </c>
      <c r="S42" s="4">
        <v>1.2037775425994399</v>
      </c>
      <c r="T42" s="4">
        <v>0.67352681567982398</v>
      </c>
      <c r="U42" s="4">
        <v>0.74272290955792397</v>
      </c>
      <c r="V42" s="4">
        <v>3.1200434495100699E-2</v>
      </c>
      <c r="W42" s="4">
        <v>0</v>
      </c>
      <c r="X42" s="4">
        <v>0</v>
      </c>
      <c r="Y42" s="4">
        <v>0</v>
      </c>
    </row>
    <row r="43" spans="1:25" x14ac:dyDescent="0.35">
      <c r="A43" s="1">
        <v>32203</v>
      </c>
      <c r="B43">
        <f t="shared" si="9"/>
        <v>2.3183836466187802</v>
      </c>
      <c r="C43">
        <f t="shared" si="0"/>
        <v>1.1474476959073701</v>
      </c>
      <c r="D43">
        <f t="shared" si="1"/>
        <v>1.4710387010202299</v>
      </c>
      <c r="E43">
        <f t="shared" si="2"/>
        <v>1.2076691498419601</v>
      </c>
      <c r="F43">
        <f t="shared" si="3"/>
        <v>0.550397716816317</v>
      </c>
      <c r="G43">
        <f t="shared" si="4"/>
        <v>0.92064098420391605</v>
      </c>
      <c r="H43" s="6">
        <f t="shared" si="5"/>
        <v>2</v>
      </c>
      <c r="I43">
        <f t="shared" si="10"/>
        <v>9.9494889568367398E-2</v>
      </c>
      <c r="J43">
        <f t="shared" si="6"/>
        <v>0</v>
      </c>
      <c r="K43">
        <f t="shared" si="7"/>
        <v>0</v>
      </c>
      <c r="L43">
        <f t="shared" si="8"/>
        <v>0</v>
      </c>
      <c r="O43" s="5">
        <v>573177600</v>
      </c>
      <c r="P43" s="4">
        <v>2.3183836466187802</v>
      </c>
      <c r="Q43" s="4">
        <v>1.1474476959073701</v>
      </c>
      <c r="R43" s="4">
        <v>1.4710387010202299</v>
      </c>
      <c r="S43" s="4">
        <v>1.2076691498419601</v>
      </c>
      <c r="T43" s="4">
        <v>0.550397716816317</v>
      </c>
      <c r="U43" s="4">
        <v>0.92064098420391605</v>
      </c>
      <c r="V43" s="4">
        <v>9.9494889568367398E-2</v>
      </c>
      <c r="W43" s="4">
        <v>0</v>
      </c>
      <c r="X43" s="4">
        <v>0</v>
      </c>
      <c r="Y43" s="4">
        <v>0</v>
      </c>
    </row>
    <row r="44" spans="1:25" x14ac:dyDescent="0.35">
      <c r="A44" s="1">
        <v>32295</v>
      </c>
      <c r="B44">
        <f t="shared" si="9"/>
        <v>2.79503958126601</v>
      </c>
      <c r="C44">
        <f t="shared" si="0"/>
        <v>1.3521619394609901</v>
      </c>
      <c r="D44">
        <f t="shared" si="1"/>
        <v>1.75090469399243</v>
      </c>
      <c r="E44">
        <f t="shared" si="2"/>
        <v>1.4263694051950599</v>
      </c>
      <c r="F44">
        <f t="shared" si="3"/>
        <v>0.61645127540011302</v>
      </c>
      <c r="G44">
        <f t="shared" si="4"/>
        <v>1.1344534185923201</v>
      </c>
      <c r="H44" s="6">
        <f t="shared" si="5"/>
        <v>2</v>
      </c>
      <c r="I44">
        <f t="shared" si="10"/>
        <v>0.248449869145628</v>
      </c>
      <c r="J44">
        <f t="shared" si="6"/>
        <v>0</v>
      </c>
      <c r="K44">
        <f t="shared" si="7"/>
        <v>0</v>
      </c>
      <c r="L44">
        <f t="shared" si="8"/>
        <v>0</v>
      </c>
      <c r="O44" s="5">
        <v>581126400</v>
      </c>
      <c r="P44" s="4">
        <v>2.79503958126601</v>
      </c>
      <c r="Q44" s="4">
        <v>1.3521619394609901</v>
      </c>
      <c r="R44" s="4">
        <v>1.75090469399243</v>
      </c>
      <c r="S44" s="4">
        <v>1.4263694051950599</v>
      </c>
      <c r="T44" s="4">
        <v>0.61645127540011302</v>
      </c>
      <c r="U44" s="4">
        <v>1.1344534185923201</v>
      </c>
      <c r="V44" s="4">
        <v>0.248449869145628</v>
      </c>
      <c r="W44" s="4">
        <v>0</v>
      </c>
      <c r="X44" s="4">
        <v>0</v>
      </c>
      <c r="Y44" s="4">
        <v>0</v>
      </c>
    </row>
    <row r="45" spans="1:25" x14ac:dyDescent="0.35">
      <c r="A45" s="1">
        <v>32387</v>
      </c>
      <c r="B45">
        <f t="shared" si="9"/>
        <v>3.1645898718466801</v>
      </c>
      <c r="C45">
        <f t="shared" si="0"/>
        <v>1.30368696918859</v>
      </c>
      <c r="D45">
        <f t="shared" si="1"/>
        <v>1.8179520238422699</v>
      </c>
      <c r="E45">
        <f t="shared" si="2"/>
        <v>1.3993935519107801</v>
      </c>
      <c r="F45">
        <f t="shared" si="3"/>
        <v>0.35482888822567099</v>
      </c>
      <c r="G45">
        <f t="shared" si="4"/>
        <v>1.4631231356165999</v>
      </c>
      <c r="H45" s="6">
        <f t="shared" si="5"/>
        <v>2</v>
      </c>
      <c r="I45">
        <f t="shared" si="10"/>
        <v>0.36393433495208699</v>
      </c>
      <c r="J45">
        <f t="shared" si="6"/>
        <v>0</v>
      </c>
      <c r="K45">
        <f t="shared" si="7"/>
        <v>0</v>
      </c>
      <c r="L45">
        <f t="shared" si="8"/>
        <v>0</v>
      </c>
      <c r="O45" s="5">
        <v>589075200</v>
      </c>
      <c r="P45" s="4">
        <v>3.1645898718466801</v>
      </c>
      <c r="Q45" s="4">
        <v>1.30368696918859</v>
      </c>
      <c r="R45" s="4">
        <v>1.8179520238422699</v>
      </c>
      <c r="S45" s="4">
        <v>1.3993935519107801</v>
      </c>
      <c r="T45" s="4">
        <v>0.35482888822567099</v>
      </c>
      <c r="U45" s="4">
        <v>1.4631231356165999</v>
      </c>
      <c r="V45" s="4">
        <v>0.36393433495208699</v>
      </c>
      <c r="W45" s="4">
        <v>0</v>
      </c>
      <c r="X45" s="4">
        <v>0</v>
      </c>
      <c r="Y45" s="4">
        <v>0</v>
      </c>
    </row>
    <row r="46" spans="1:25" x14ac:dyDescent="0.35">
      <c r="A46" s="1">
        <v>32478</v>
      </c>
      <c r="B46">
        <f t="shared" si="9"/>
        <v>5.8351424145245501</v>
      </c>
      <c r="C46">
        <f t="shared" si="0"/>
        <v>2.2870422876374099</v>
      </c>
      <c r="D46">
        <f t="shared" si="1"/>
        <v>3.2675684091583501</v>
      </c>
      <c r="E46">
        <f t="shared" si="2"/>
        <v>2.4695217377019398</v>
      </c>
      <c r="F46">
        <f t="shared" si="3"/>
        <v>0.47789712877204399</v>
      </c>
      <c r="G46">
        <f t="shared" si="4"/>
        <v>2.78967128038629</v>
      </c>
      <c r="H46" s="6">
        <f t="shared" si="5"/>
        <v>2</v>
      </c>
      <c r="I46">
        <f t="shared" si="10"/>
        <v>1.19848200453892</v>
      </c>
      <c r="J46">
        <f t="shared" si="6"/>
        <v>8.9700714886690694E-2</v>
      </c>
      <c r="K46">
        <f t="shared" si="7"/>
        <v>0.396115127861983</v>
      </c>
      <c r="L46">
        <f t="shared" si="8"/>
        <v>0.146725543031858</v>
      </c>
      <c r="O46" s="5">
        <v>596937600</v>
      </c>
      <c r="P46" s="4">
        <v>5.8351424145245501</v>
      </c>
      <c r="Q46" s="4">
        <v>2.2870422876374099</v>
      </c>
      <c r="R46" s="4">
        <v>3.2675684091583501</v>
      </c>
      <c r="S46" s="4">
        <v>2.4695217377019398</v>
      </c>
      <c r="T46" s="4">
        <v>0.47789712877204399</v>
      </c>
      <c r="U46" s="4">
        <v>2.78967128038629</v>
      </c>
      <c r="V46" s="4">
        <v>1.19848200453892</v>
      </c>
      <c r="W46" s="4">
        <v>8.9700714886690694E-2</v>
      </c>
      <c r="X46" s="4">
        <v>0.396115127861983</v>
      </c>
      <c r="Y46" s="4">
        <v>0.146725543031858</v>
      </c>
    </row>
    <row r="47" spans="1:25" x14ac:dyDescent="0.35">
      <c r="A47" s="1">
        <v>32568</v>
      </c>
      <c r="B47">
        <f t="shared" si="9"/>
        <v>4.3591157154032301</v>
      </c>
      <c r="C47">
        <f t="shared" si="0"/>
        <v>1.4718843806633699</v>
      </c>
      <c r="D47">
        <f t="shared" si="1"/>
        <v>2.2697778000550799</v>
      </c>
      <c r="E47">
        <f t="shared" si="2"/>
        <v>1.6203752257158901</v>
      </c>
      <c r="F47">
        <f t="shared" si="3"/>
        <v>-2.8957299325365601E-4</v>
      </c>
      <c r="G47">
        <f t="shared" si="4"/>
        <v>2.2700673730483301</v>
      </c>
      <c r="H47" s="6">
        <f t="shared" si="5"/>
        <v>2</v>
      </c>
      <c r="I47">
        <f t="shared" si="10"/>
        <v>0.73722366106350901</v>
      </c>
      <c r="J47">
        <f t="shared" si="6"/>
        <v>0</v>
      </c>
      <c r="K47">
        <f t="shared" si="7"/>
        <v>8.4305562517212704E-2</v>
      </c>
      <c r="L47">
        <f t="shared" si="8"/>
        <v>0</v>
      </c>
      <c r="O47" s="5">
        <v>604713600</v>
      </c>
      <c r="P47" s="4">
        <v>4.3591157154032301</v>
      </c>
      <c r="Q47" s="4">
        <v>1.4718843806633699</v>
      </c>
      <c r="R47" s="4">
        <v>2.2697778000550799</v>
      </c>
      <c r="S47" s="4">
        <v>1.6203752257158901</v>
      </c>
      <c r="T47" s="4">
        <v>-2.8957299325365601E-4</v>
      </c>
      <c r="U47" s="4">
        <v>2.2700673730483301</v>
      </c>
      <c r="V47" s="4">
        <v>0.73722366106350901</v>
      </c>
      <c r="W47" s="4">
        <v>0</v>
      </c>
      <c r="X47" s="4">
        <v>8.4305562517212704E-2</v>
      </c>
      <c r="Y47" s="4">
        <v>0</v>
      </c>
    </row>
    <row r="48" spans="1:25" x14ac:dyDescent="0.35">
      <c r="A48" s="1">
        <v>32660</v>
      </c>
      <c r="B48">
        <f t="shared" si="9"/>
        <v>6.2231935770599804</v>
      </c>
      <c r="C48">
        <f t="shared" si="0"/>
        <v>2.2338379446025498</v>
      </c>
      <c r="D48">
        <f t="shared" si="1"/>
        <v>3.3363061010164401</v>
      </c>
      <c r="E48">
        <f t="shared" si="2"/>
        <v>2.4390112474657299</v>
      </c>
      <c r="F48">
        <f t="shared" si="3"/>
        <v>0.19970047064556801</v>
      </c>
      <c r="G48">
        <f t="shared" si="4"/>
        <v>3.13660563037087</v>
      </c>
      <c r="H48" s="6">
        <f t="shared" si="5"/>
        <v>2</v>
      </c>
      <c r="I48">
        <f t="shared" si="10"/>
        <v>1.3197479928312399</v>
      </c>
      <c r="J48">
        <f t="shared" si="6"/>
        <v>7.3074357688297495E-2</v>
      </c>
      <c r="K48">
        <f t="shared" si="7"/>
        <v>0.41759565656763797</v>
      </c>
      <c r="L48">
        <f t="shared" si="8"/>
        <v>0.137191014833041</v>
      </c>
      <c r="O48" s="5">
        <v>612662400</v>
      </c>
      <c r="P48" s="4">
        <v>6.2231935770599804</v>
      </c>
      <c r="Q48" s="4">
        <v>2.2338379446025498</v>
      </c>
      <c r="R48" s="4">
        <v>3.3363061010164401</v>
      </c>
      <c r="S48" s="4">
        <v>2.4390112474657299</v>
      </c>
      <c r="T48" s="4">
        <v>0.19970047064556801</v>
      </c>
      <c r="U48" s="4">
        <v>3.13660563037087</v>
      </c>
      <c r="V48" s="4">
        <v>1.3197479928312399</v>
      </c>
      <c r="W48" s="4">
        <v>7.3074357688297495E-2</v>
      </c>
      <c r="X48" s="4">
        <v>0.41759565656763797</v>
      </c>
      <c r="Y48" s="4">
        <v>0.137191014833041</v>
      </c>
    </row>
    <row r="49" spans="1:25" x14ac:dyDescent="0.35">
      <c r="A49" s="1">
        <v>32752</v>
      </c>
      <c r="B49">
        <f t="shared" si="9"/>
        <v>5.7626222278322796</v>
      </c>
      <c r="C49">
        <f t="shared" si="0"/>
        <v>1.8710273303903999</v>
      </c>
      <c r="D49">
        <f t="shared" si="1"/>
        <v>2.9464790693093601</v>
      </c>
      <c r="E49">
        <f t="shared" si="2"/>
        <v>2.07117278045193</v>
      </c>
      <c r="F49">
        <f t="shared" si="3"/>
        <v>-0.113262801565066</v>
      </c>
      <c r="G49">
        <f t="shared" si="4"/>
        <v>3.0597418708744302</v>
      </c>
      <c r="H49" s="6">
        <f t="shared" si="5"/>
        <v>2</v>
      </c>
      <c r="I49">
        <f t="shared" si="10"/>
        <v>1.1758194461975899</v>
      </c>
      <c r="J49">
        <f t="shared" si="6"/>
        <v>0</v>
      </c>
      <c r="K49">
        <f t="shared" si="7"/>
        <v>0.29577470915917597</v>
      </c>
      <c r="L49">
        <f t="shared" si="8"/>
        <v>2.2241493891227E-2</v>
      </c>
      <c r="O49" s="5">
        <v>620611200</v>
      </c>
      <c r="P49" s="4">
        <v>5.7626222278322796</v>
      </c>
      <c r="Q49" s="4">
        <v>1.8710273303903999</v>
      </c>
      <c r="R49" s="4">
        <v>2.9464790693093601</v>
      </c>
      <c r="S49" s="4">
        <v>2.07117278045193</v>
      </c>
      <c r="T49" s="4">
        <v>-0.113262801565066</v>
      </c>
      <c r="U49" s="4">
        <v>3.0597418708744302</v>
      </c>
      <c r="V49" s="4">
        <v>1.1758194461975899</v>
      </c>
      <c r="W49" s="4">
        <v>0</v>
      </c>
      <c r="X49" s="4">
        <v>0.29577470915917597</v>
      </c>
      <c r="Y49" s="4">
        <v>2.2241493891227E-2</v>
      </c>
    </row>
    <row r="50" spans="1:25" x14ac:dyDescent="0.35">
      <c r="A50" s="1">
        <v>32843</v>
      </c>
      <c r="B50">
        <f t="shared" si="9"/>
        <v>7.9087162419654797</v>
      </c>
      <c r="C50">
        <f t="shared" si="0"/>
        <v>2.42818484285932</v>
      </c>
      <c r="D50">
        <f t="shared" si="1"/>
        <v>3.9427430583722098</v>
      </c>
      <c r="E50">
        <f t="shared" si="2"/>
        <v>2.7100495930087898</v>
      </c>
      <c r="F50">
        <f t="shared" si="3"/>
        <v>-0.366290085727698</v>
      </c>
      <c r="G50">
        <f t="shared" si="4"/>
        <v>4.3090331440999101</v>
      </c>
      <c r="H50" s="6">
        <f t="shared" si="5"/>
        <v>2</v>
      </c>
      <c r="I50">
        <f t="shared" si="10"/>
        <v>1.8464738256142099</v>
      </c>
      <c r="J50">
        <f t="shared" si="6"/>
        <v>0.133807763393539</v>
      </c>
      <c r="K50">
        <f t="shared" si="7"/>
        <v>0.60710720574131705</v>
      </c>
      <c r="L50">
        <f t="shared" si="8"/>
        <v>0.221890497815246</v>
      </c>
      <c r="O50" s="5">
        <v>628473600</v>
      </c>
      <c r="P50" s="4">
        <v>7.9087162419654797</v>
      </c>
      <c r="Q50" s="4">
        <v>2.42818484285932</v>
      </c>
      <c r="R50" s="4">
        <v>3.9427430583722098</v>
      </c>
      <c r="S50" s="4">
        <v>2.7100495930087898</v>
      </c>
      <c r="T50" s="4">
        <v>-0.366290085727698</v>
      </c>
      <c r="U50" s="4">
        <v>4.3090331440999101</v>
      </c>
      <c r="V50" s="4">
        <v>1.8464738256142099</v>
      </c>
      <c r="W50" s="4">
        <v>0.133807763393539</v>
      </c>
      <c r="X50" s="4">
        <v>0.60710720574131705</v>
      </c>
      <c r="Y50" s="4">
        <v>0.221890497815246</v>
      </c>
    </row>
    <row r="51" spans="1:25" x14ac:dyDescent="0.35">
      <c r="A51" s="1">
        <v>32933</v>
      </c>
      <c r="B51">
        <f t="shared" si="9"/>
        <v>7.93517146070901</v>
      </c>
      <c r="C51">
        <f t="shared" si="0"/>
        <v>2.5640258943700198</v>
      </c>
      <c r="D51">
        <f t="shared" si="1"/>
        <v>4.0483550682784299</v>
      </c>
      <c r="E51">
        <f t="shared" si="2"/>
        <v>2.8402649107762499</v>
      </c>
      <c r="F51">
        <f t="shared" si="3"/>
        <v>-0.17467415675523201</v>
      </c>
      <c r="G51">
        <f t="shared" si="4"/>
        <v>4.2230292250336596</v>
      </c>
      <c r="H51" s="6">
        <f t="shared" si="5"/>
        <v>2</v>
      </c>
      <c r="I51">
        <f t="shared" si="10"/>
        <v>1.8547410814715699</v>
      </c>
      <c r="J51">
        <f t="shared" si="6"/>
        <v>0.176258091990632</v>
      </c>
      <c r="K51">
        <f t="shared" si="7"/>
        <v>0.64011095883700997</v>
      </c>
      <c r="L51">
        <f t="shared" si="8"/>
        <v>0.262582784617577</v>
      </c>
      <c r="O51" s="5">
        <v>636249600</v>
      </c>
      <c r="P51" s="4">
        <v>7.93517146070901</v>
      </c>
      <c r="Q51" s="4">
        <v>2.5640258943700198</v>
      </c>
      <c r="R51" s="4">
        <v>4.0483550682784299</v>
      </c>
      <c r="S51" s="4">
        <v>2.8402649107762499</v>
      </c>
      <c r="T51" s="4">
        <v>-0.17467415675523201</v>
      </c>
      <c r="U51" s="4">
        <v>4.2230292250336596</v>
      </c>
      <c r="V51" s="4">
        <v>1.8547410814715699</v>
      </c>
      <c r="W51" s="4">
        <v>0.176258091990632</v>
      </c>
      <c r="X51" s="4">
        <v>0.64011095883700997</v>
      </c>
      <c r="Y51" s="4">
        <v>0.262582784617577</v>
      </c>
    </row>
    <row r="52" spans="1:25" x14ac:dyDescent="0.35">
      <c r="A52" s="1">
        <v>33025</v>
      </c>
      <c r="B52">
        <f t="shared" si="9"/>
        <v>7.7603110890760298</v>
      </c>
      <c r="C52">
        <f t="shared" si="0"/>
        <v>2.62059150046947</v>
      </c>
      <c r="D52">
        <f t="shared" si="1"/>
        <v>4.04096554113754</v>
      </c>
      <c r="E52">
        <f t="shared" si="2"/>
        <v>2.8849282357570698</v>
      </c>
      <c r="F52">
        <f t="shared" si="3"/>
        <v>-1.06472845872812E-4</v>
      </c>
      <c r="G52">
        <f t="shared" si="4"/>
        <v>4.0410720139834098</v>
      </c>
      <c r="H52" s="6">
        <f t="shared" si="5"/>
        <v>2</v>
      </c>
      <c r="I52">
        <f t="shared" si="10"/>
        <v>1.80009721533626</v>
      </c>
      <c r="J52">
        <f t="shared" si="6"/>
        <v>0.19393484389670901</v>
      </c>
      <c r="K52">
        <f t="shared" si="7"/>
        <v>0.63780173160548204</v>
      </c>
      <c r="L52">
        <f t="shared" si="8"/>
        <v>0.27654007367408401</v>
      </c>
      <c r="O52" s="5">
        <v>644198400</v>
      </c>
      <c r="P52" s="4">
        <v>7.7603110890760298</v>
      </c>
      <c r="Q52" s="4">
        <v>2.62059150046947</v>
      </c>
      <c r="R52" s="4">
        <v>4.04096554113754</v>
      </c>
      <c r="S52" s="4">
        <v>2.8849282357570698</v>
      </c>
      <c r="T52" s="4">
        <v>-1.06472845872812E-4</v>
      </c>
      <c r="U52" s="4">
        <v>4.0410720139834098</v>
      </c>
      <c r="V52" s="4">
        <v>1.80009721533626</v>
      </c>
      <c r="W52" s="4">
        <v>0.19393484389670901</v>
      </c>
      <c r="X52" s="4">
        <v>0.63780173160548204</v>
      </c>
      <c r="Y52" s="4">
        <v>0.27654007367408401</v>
      </c>
    </row>
    <row r="53" spans="1:25" x14ac:dyDescent="0.35">
      <c r="A53" s="1">
        <v>33117</v>
      </c>
      <c r="B53">
        <f t="shared" si="9"/>
        <v>7.1378225439980998</v>
      </c>
      <c r="C53">
        <f t="shared" si="0"/>
        <v>2.4590142662707</v>
      </c>
      <c r="D53">
        <f t="shared" si="1"/>
        <v>3.7520143423212602</v>
      </c>
      <c r="E53">
        <f t="shared" si="2"/>
        <v>2.69964624703336</v>
      </c>
      <c r="F53">
        <f t="shared" si="3"/>
        <v>7.3330930908907896E-2</v>
      </c>
      <c r="G53">
        <f t="shared" si="4"/>
        <v>3.6786834114123499</v>
      </c>
      <c r="H53" s="6">
        <f t="shared" si="5"/>
        <v>2</v>
      </c>
      <c r="I53">
        <f t="shared" si="10"/>
        <v>1.6055695449994101</v>
      </c>
      <c r="J53">
        <f t="shared" si="6"/>
        <v>0.14344195820959199</v>
      </c>
      <c r="K53">
        <f t="shared" si="7"/>
        <v>0.54750448197539303</v>
      </c>
      <c r="L53">
        <f t="shared" si="8"/>
        <v>0.21863945219792599</v>
      </c>
      <c r="O53" s="5">
        <v>652147200</v>
      </c>
      <c r="P53" s="4">
        <v>7.1378225439980998</v>
      </c>
      <c r="Q53" s="4">
        <v>2.4590142662707</v>
      </c>
      <c r="R53" s="4">
        <v>3.7520143423212602</v>
      </c>
      <c r="S53" s="4">
        <v>2.69964624703336</v>
      </c>
      <c r="T53" s="4">
        <v>7.3330930908907896E-2</v>
      </c>
      <c r="U53" s="4">
        <v>3.6786834114123499</v>
      </c>
      <c r="V53" s="4">
        <v>1.6055695449994101</v>
      </c>
      <c r="W53" s="4">
        <v>0.14344195820959199</v>
      </c>
      <c r="X53" s="4">
        <v>0.54750448197539303</v>
      </c>
      <c r="Y53" s="4">
        <v>0.21863945219792599</v>
      </c>
    </row>
    <row r="54" spans="1:25" x14ac:dyDescent="0.35">
      <c r="A54" s="1">
        <v>33208</v>
      </c>
      <c r="B54">
        <f t="shared" si="9"/>
        <v>11.0745500583505</v>
      </c>
      <c r="C54">
        <f t="shared" si="0"/>
        <v>4.0003664989110304</v>
      </c>
      <c r="D54">
        <f t="shared" si="1"/>
        <v>5.9553343747893797</v>
      </c>
      <c r="E54">
        <f t="shared" si="2"/>
        <v>4.3641930763517003</v>
      </c>
      <c r="F54">
        <f t="shared" si="3"/>
        <v>0.39330230066557198</v>
      </c>
      <c r="G54">
        <f t="shared" si="4"/>
        <v>5.5620320741238203</v>
      </c>
      <c r="H54" s="6">
        <f t="shared" si="5"/>
        <v>2</v>
      </c>
      <c r="I54">
        <f t="shared" si="10"/>
        <v>2.5</v>
      </c>
      <c r="J54">
        <f t="shared" si="6"/>
        <v>0.62511453090969704</v>
      </c>
      <c r="K54">
        <f t="shared" si="7"/>
        <v>1.2360419921216801</v>
      </c>
      <c r="L54">
        <f t="shared" si="8"/>
        <v>0.73881033635990501</v>
      </c>
      <c r="O54" s="5">
        <v>660009600</v>
      </c>
      <c r="P54" s="4">
        <v>11.0745500583505</v>
      </c>
      <c r="Q54" s="4">
        <v>4.0003664989110304</v>
      </c>
      <c r="R54" s="4">
        <v>5.9553343747893797</v>
      </c>
      <c r="S54" s="4">
        <v>4.3641930763517003</v>
      </c>
      <c r="T54" s="4">
        <v>0.39330230066557198</v>
      </c>
      <c r="U54" s="4">
        <v>5.5620320741238203</v>
      </c>
      <c r="V54" s="4">
        <v>2.5</v>
      </c>
      <c r="W54" s="4">
        <v>0.62511453090969704</v>
      </c>
      <c r="X54" s="4">
        <v>1.2360419921216801</v>
      </c>
      <c r="Y54" s="4">
        <v>0.73881033635990501</v>
      </c>
    </row>
    <row r="55" spans="1:25" x14ac:dyDescent="0.35">
      <c r="A55" s="1">
        <v>33298</v>
      </c>
      <c r="B55">
        <f t="shared" si="9"/>
        <v>10.633011536343</v>
      </c>
      <c r="C55">
        <f t="shared" si="0"/>
        <v>3.71981702563227</v>
      </c>
      <c r="D55">
        <f t="shared" si="1"/>
        <v>5.6302951853492704</v>
      </c>
      <c r="E55">
        <f t="shared" si="2"/>
        <v>4.0753639063259897</v>
      </c>
      <c r="F55">
        <f t="shared" si="3"/>
        <v>0.194839732412594</v>
      </c>
      <c r="G55">
        <f t="shared" si="4"/>
        <v>5.4354554529366803</v>
      </c>
      <c r="H55" s="6">
        <f t="shared" si="5"/>
        <v>2</v>
      </c>
      <c r="I55">
        <f t="shared" si="10"/>
        <v>2.5</v>
      </c>
      <c r="J55">
        <f t="shared" si="6"/>
        <v>0.53744282051008396</v>
      </c>
      <c r="K55">
        <f t="shared" si="7"/>
        <v>1.13446724542165</v>
      </c>
      <c r="L55">
        <f t="shared" si="8"/>
        <v>0.64855122072687199</v>
      </c>
      <c r="O55" s="5">
        <v>667785600</v>
      </c>
      <c r="P55" s="4">
        <v>10.633011536343</v>
      </c>
      <c r="Q55" s="4">
        <v>3.71981702563227</v>
      </c>
      <c r="R55" s="4">
        <v>5.6302951853492704</v>
      </c>
      <c r="S55" s="4">
        <v>4.0753639063259897</v>
      </c>
      <c r="T55" s="4">
        <v>0.194839732412594</v>
      </c>
      <c r="U55" s="4">
        <v>5.4354554529366803</v>
      </c>
      <c r="V55" s="4">
        <v>2.5</v>
      </c>
      <c r="W55" s="4">
        <v>0.53744282051008396</v>
      </c>
      <c r="X55" s="4">
        <v>1.13446724542165</v>
      </c>
      <c r="Y55" s="4">
        <v>0.64855122072687199</v>
      </c>
    </row>
    <row r="56" spans="1:25" x14ac:dyDescent="0.35">
      <c r="A56" s="1">
        <v>33390</v>
      </c>
      <c r="B56">
        <f t="shared" si="9"/>
        <v>10.500250100738601</v>
      </c>
      <c r="C56">
        <f t="shared" si="0"/>
        <v>3.6595641992203398</v>
      </c>
      <c r="D56">
        <f t="shared" si="1"/>
        <v>5.5500044279867602</v>
      </c>
      <c r="E56">
        <f t="shared" si="2"/>
        <v>4.0113819486445799</v>
      </c>
      <c r="F56">
        <f t="shared" si="3"/>
        <v>0.171558410356624</v>
      </c>
      <c r="G56">
        <f t="shared" si="4"/>
        <v>5.3784460176301296</v>
      </c>
      <c r="H56" s="6">
        <f t="shared" si="5"/>
        <v>2</v>
      </c>
      <c r="I56">
        <f t="shared" si="10"/>
        <v>2.5</v>
      </c>
      <c r="J56">
        <f t="shared" si="6"/>
        <v>0.51861381225635705</v>
      </c>
      <c r="K56">
        <f t="shared" si="7"/>
        <v>1.1093763837458599</v>
      </c>
      <c r="L56">
        <f t="shared" si="8"/>
        <v>0.62855685895143198</v>
      </c>
      <c r="O56" s="5">
        <v>675734400</v>
      </c>
      <c r="P56" s="4">
        <v>10.500250100738601</v>
      </c>
      <c r="Q56" s="4">
        <v>3.6595641992203398</v>
      </c>
      <c r="R56" s="4">
        <v>5.5500044279867602</v>
      </c>
      <c r="S56" s="4">
        <v>4.0113819486445799</v>
      </c>
      <c r="T56" s="4">
        <v>0.171558410356624</v>
      </c>
      <c r="U56" s="4">
        <v>5.3784460176301296</v>
      </c>
      <c r="V56" s="4">
        <v>2.5</v>
      </c>
      <c r="W56" s="4">
        <v>0.51861381225635705</v>
      </c>
      <c r="X56" s="4">
        <v>1.1093763837458599</v>
      </c>
      <c r="Y56" s="4">
        <v>0.62855685895143198</v>
      </c>
    </row>
    <row r="57" spans="1:25" x14ac:dyDescent="0.35">
      <c r="A57" s="1">
        <v>33482</v>
      </c>
      <c r="B57">
        <f t="shared" si="9"/>
        <v>9.7763319134152997</v>
      </c>
      <c r="C57">
        <f t="shared" si="0"/>
        <v>3.4048574500332398</v>
      </c>
      <c r="D57">
        <f t="shared" si="1"/>
        <v>5.1656299537761896</v>
      </c>
      <c r="E57">
        <f t="shared" si="2"/>
        <v>3.7325435678425198</v>
      </c>
      <c r="F57">
        <f t="shared" si="3"/>
        <v>0.156098461268487</v>
      </c>
      <c r="G57">
        <f t="shared" si="4"/>
        <v>5.0095314925077004</v>
      </c>
      <c r="H57" s="6">
        <f t="shared" si="5"/>
        <v>2</v>
      </c>
      <c r="I57">
        <f t="shared" si="10"/>
        <v>2.4301037229422802</v>
      </c>
      <c r="J57">
        <f t="shared" si="6"/>
        <v>0.439017953135387</v>
      </c>
      <c r="K57">
        <f t="shared" si="7"/>
        <v>0.98925936055505803</v>
      </c>
      <c r="L57">
        <f t="shared" si="8"/>
        <v>0.54141986495078798</v>
      </c>
      <c r="O57" s="5">
        <v>683683200</v>
      </c>
      <c r="P57" s="4">
        <v>9.7763319134152997</v>
      </c>
      <c r="Q57" s="4">
        <v>3.4048574500332398</v>
      </c>
      <c r="R57" s="4">
        <v>5.1656299537761896</v>
      </c>
      <c r="S57" s="4">
        <v>3.7325435678425198</v>
      </c>
      <c r="T57" s="4">
        <v>0.156098461268487</v>
      </c>
      <c r="U57" s="4">
        <v>5.0095314925077004</v>
      </c>
      <c r="V57" s="4">
        <v>2.4301037229422802</v>
      </c>
      <c r="W57" s="4">
        <v>0.439017953135387</v>
      </c>
      <c r="X57" s="4">
        <v>0.98925936055505803</v>
      </c>
      <c r="Y57" s="4">
        <v>0.54141986495078798</v>
      </c>
    </row>
    <row r="58" spans="1:25" x14ac:dyDescent="0.35">
      <c r="A58" s="1">
        <v>33573</v>
      </c>
      <c r="B58">
        <f t="shared" si="9"/>
        <v>10.5796116115304</v>
      </c>
      <c r="C58">
        <f t="shared" si="0"/>
        <v>3.6415491378624698</v>
      </c>
      <c r="D58">
        <f t="shared" si="1"/>
        <v>5.5588996197791198</v>
      </c>
      <c r="E58">
        <f t="shared" si="2"/>
        <v>3.99837498252068</v>
      </c>
      <c r="F58">
        <f t="shared" si="3"/>
        <v>0.103891888275763</v>
      </c>
      <c r="G58">
        <f t="shared" si="4"/>
        <v>5.4550077315033603</v>
      </c>
      <c r="H58" s="6">
        <f t="shared" si="5"/>
        <v>2</v>
      </c>
      <c r="I58">
        <f t="shared" si="10"/>
        <v>2.5</v>
      </c>
      <c r="J58">
        <f t="shared" si="6"/>
        <v>0.51298410558202101</v>
      </c>
      <c r="K58">
        <f t="shared" si="7"/>
        <v>1.11215613118098</v>
      </c>
      <c r="L58">
        <f t="shared" si="8"/>
        <v>0.62449218203771395</v>
      </c>
      <c r="O58" s="5">
        <v>691545600</v>
      </c>
      <c r="P58" s="4">
        <v>10.5796116115304</v>
      </c>
      <c r="Q58" s="4">
        <v>3.6415491378624698</v>
      </c>
      <c r="R58" s="4">
        <v>5.5588996197791198</v>
      </c>
      <c r="S58" s="4">
        <v>3.99837498252068</v>
      </c>
      <c r="T58" s="4">
        <v>0.103891888275763</v>
      </c>
      <c r="U58" s="4">
        <v>5.4550077315033603</v>
      </c>
      <c r="V58" s="4">
        <v>2.5</v>
      </c>
      <c r="W58" s="4">
        <v>0.51298410558202101</v>
      </c>
      <c r="X58" s="4">
        <v>1.11215613118098</v>
      </c>
      <c r="Y58" s="4">
        <v>0.62449218203771395</v>
      </c>
    </row>
    <row r="59" spans="1:25" x14ac:dyDescent="0.35">
      <c r="A59" s="1">
        <v>33664</v>
      </c>
      <c r="B59">
        <f t="shared" si="9"/>
        <v>10.448634230493401</v>
      </c>
      <c r="C59">
        <f t="shared" si="0"/>
        <v>3.2817895628669702</v>
      </c>
      <c r="D59">
        <f t="shared" si="1"/>
        <v>5.2623645619316299</v>
      </c>
      <c r="E59">
        <f t="shared" si="2"/>
        <v>3.6503817183521301</v>
      </c>
      <c r="F59">
        <f t="shared" si="3"/>
        <v>-0.37252172235368802</v>
      </c>
      <c r="G59">
        <f t="shared" si="4"/>
        <v>5.6348862842853098</v>
      </c>
      <c r="H59" s="6">
        <f t="shared" si="5"/>
        <v>2</v>
      </c>
      <c r="I59">
        <f t="shared" si="10"/>
        <v>2.5</v>
      </c>
      <c r="J59">
        <f t="shared" si="6"/>
        <v>0.400559238395928</v>
      </c>
      <c r="K59">
        <f t="shared" si="7"/>
        <v>1.0194889256036399</v>
      </c>
      <c r="L59">
        <f t="shared" si="8"/>
        <v>0.51574428698504005</v>
      </c>
      <c r="O59" s="5">
        <v>699408000</v>
      </c>
      <c r="P59" s="4">
        <v>10.448634230493401</v>
      </c>
      <c r="Q59" s="4">
        <v>3.2817895628669702</v>
      </c>
      <c r="R59" s="4">
        <v>5.2623645619316299</v>
      </c>
      <c r="S59" s="4">
        <v>3.6503817183521301</v>
      </c>
      <c r="T59" s="4">
        <v>-0.37252172235368802</v>
      </c>
      <c r="U59" s="4">
        <v>5.6348862842853098</v>
      </c>
      <c r="V59" s="4">
        <v>2.5</v>
      </c>
      <c r="W59" s="4">
        <v>0.400559238395928</v>
      </c>
      <c r="X59" s="4">
        <v>1.0194889256036399</v>
      </c>
      <c r="Y59" s="4">
        <v>0.51574428698504005</v>
      </c>
    </row>
    <row r="60" spans="1:25" x14ac:dyDescent="0.35">
      <c r="A60" s="1">
        <v>33756</v>
      </c>
      <c r="B60">
        <f t="shared" si="9"/>
        <v>9.8186382545411792</v>
      </c>
      <c r="C60">
        <f t="shared" si="0"/>
        <v>2.9957499366751299</v>
      </c>
      <c r="D60">
        <f t="shared" si="1"/>
        <v>4.8812717598028099</v>
      </c>
      <c r="E60">
        <f t="shared" si="2"/>
        <v>3.3466523530588601</v>
      </c>
      <c r="F60">
        <f t="shared" si="3"/>
        <v>-0.48318102026373599</v>
      </c>
      <c r="G60">
        <f t="shared" si="4"/>
        <v>5.36445278006655</v>
      </c>
      <c r="H60" s="6">
        <f t="shared" si="5"/>
        <v>2</v>
      </c>
      <c r="I60">
        <f t="shared" si="10"/>
        <v>2.4433244545441202</v>
      </c>
      <c r="J60">
        <f t="shared" si="6"/>
        <v>0.31117185521098001</v>
      </c>
      <c r="K60">
        <f t="shared" si="7"/>
        <v>0.90039742493837904</v>
      </c>
      <c r="L60">
        <f t="shared" si="8"/>
        <v>0.42082886033089201</v>
      </c>
      <c r="O60" s="5">
        <v>707356800</v>
      </c>
      <c r="P60" s="4">
        <v>9.8186382545411792</v>
      </c>
      <c r="Q60" s="4">
        <v>2.9957499366751299</v>
      </c>
      <c r="R60" s="4">
        <v>4.8812717598028099</v>
      </c>
      <c r="S60" s="4">
        <v>3.3466523530588601</v>
      </c>
      <c r="T60" s="4">
        <v>-0.48318102026373599</v>
      </c>
      <c r="U60" s="4">
        <v>5.36445278006655</v>
      </c>
      <c r="V60" s="4">
        <v>2.4433244545441202</v>
      </c>
      <c r="W60" s="4">
        <v>0.31117185521098001</v>
      </c>
      <c r="X60" s="4">
        <v>0.90039742493837904</v>
      </c>
      <c r="Y60" s="4">
        <v>0.42082886033089201</v>
      </c>
    </row>
    <row r="61" spans="1:25" x14ac:dyDescent="0.35">
      <c r="A61" s="1">
        <v>33848</v>
      </c>
      <c r="B61">
        <f t="shared" si="9"/>
        <v>8.1685479267678307</v>
      </c>
      <c r="C61">
        <f t="shared" si="0"/>
        <v>2.2523720113463201</v>
      </c>
      <c r="D61">
        <f t="shared" si="1"/>
        <v>3.88732165119016</v>
      </c>
      <c r="E61">
        <f t="shared" si="2"/>
        <v>2.5566420400725201</v>
      </c>
      <c r="F61">
        <f t="shared" si="3"/>
        <v>-0.76423423808638002</v>
      </c>
      <c r="G61">
        <f t="shared" si="4"/>
        <v>4.6515558892765503</v>
      </c>
      <c r="H61" s="6">
        <f t="shared" si="5"/>
        <v>2</v>
      </c>
      <c r="I61">
        <f t="shared" si="10"/>
        <v>1.9276712271149501</v>
      </c>
      <c r="J61">
        <f t="shared" si="6"/>
        <v>7.8866253545726406E-2</v>
      </c>
      <c r="K61">
        <f t="shared" si="7"/>
        <v>0.58978801599692599</v>
      </c>
      <c r="L61">
        <f t="shared" si="8"/>
        <v>0.17395063752266299</v>
      </c>
      <c r="O61" s="5">
        <v>715305600</v>
      </c>
      <c r="P61" s="4">
        <v>8.1685479267678307</v>
      </c>
      <c r="Q61" s="4">
        <v>2.2523720113463201</v>
      </c>
      <c r="R61" s="4">
        <v>3.88732165119016</v>
      </c>
      <c r="S61" s="4">
        <v>2.5566420400725201</v>
      </c>
      <c r="T61" s="4">
        <v>-0.76423423808638002</v>
      </c>
      <c r="U61" s="4">
        <v>4.6515558892765503</v>
      </c>
      <c r="V61" s="4">
        <v>1.9276712271149501</v>
      </c>
      <c r="W61" s="4">
        <v>7.8866253545726406E-2</v>
      </c>
      <c r="X61" s="4">
        <v>0.58978801599692599</v>
      </c>
      <c r="Y61" s="4">
        <v>0.17395063752266299</v>
      </c>
    </row>
    <row r="62" spans="1:25" x14ac:dyDescent="0.35">
      <c r="A62" s="1">
        <v>33939</v>
      </c>
      <c r="B62">
        <f t="shared" si="9"/>
        <v>10.325359552642</v>
      </c>
      <c r="C62">
        <f t="shared" si="0"/>
        <v>3.0089439239354099</v>
      </c>
      <c r="D62">
        <f t="shared" si="1"/>
        <v>5.0308532227986698</v>
      </c>
      <c r="E62">
        <f t="shared" si="2"/>
        <v>3.3852285417941101</v>
      </c>
      <c r="F62">
        <f t="shared" si="3"/>
        <v>-0.72163228348809105</v>
      </c>
      <c r="G62">
        <f t="shared" si="4"/>
        <v>5.7524855062867699</v>
      </c>
      <c r="H62" s="6">
        <f t="shared" si="5"/>
        <v>2</v>
      </c>
      <c r="I62">
        <f t="shared" si="10"/>
        <v>2.5</v>
      </c>
      <c r="J62">
        <f t="shared" si="6"/>
        <v>0.315294976229816</v>
      </c>
      <c r="K62">
        <f t="shared" si="7"/>
        <v>0.94714163212458402</v>
      </c>
      <c r="L62">
        <f t="shared" si="8"/>
        <v>0.432883919310659</v>
      </c>
      <c r="O62" s="5">
        <v>723168000</v>
      </c>
      <c r="P62" s="4">
        <v>10.325359552642</v>
      </c>
      <c r="Q62" s="4">
        <v>3.0089439239354099</v>
      </c>
      <c r="R62" s="4">
        <v>5.0308532227986698</v>
      </c>
      <c r="S62" s="4">
        <v>3.3852285417941101</v>
      </c>
      <c r="T62" s="4">
        <v>-0.72163228348809105</v>
      </c>
      <c r="U62" s="4">
        <v>5.7524855062867699</v>
      </c>
      <c r="V62" s="4">
        <v>2.5</v>
      </c>
      <c r="W62" s="4">
        <v>0.315294976229816</v>
      </c>
      <c r="X62" s="4">
        <v>0.94714163212458402</v>
      </c>
      <c r="Y62" s="4">
        <v>0.432883919310659</v>
      </c>
    </row>
    <row r="63" spans="1:25" x14ac:dyDescent="0.35">
      <c r="A63" s="1">
        <v>34029</v>
      </c>
      <c r="B63">
        <f t="shared" si="9"/>
        <v>11.902863172165</v>
      </c>
      <c r="C63">
        <f t="shared" si="0"/>
        <v>4.0728084900958397</v>
      </c>
      <c r="D63">
        <f t="shared" si="1"/>
        <v>6.2366631937797496</v>
      </c>
      <c r="E63">
        <f t="shared" si="2"/>
        <v>4.47550966009155</v>
      </c>
      <c r="F63">
        <f t="shared" si="3"/>
        <v>8.0332230936670093E-2</v>
      </c>
      <c r="G63">
        <f t="shared" si="4"/>
        <v>6.1563309628431</v>
      </c>
      <c r="H63" s="6">
        <f t="shared" si="5"/>
        <v>2</v>
      </c>
      <c r="I63">
        <f t="shared" si="10"/>
        <v>2.5</v>
      </c>
      <c r="J63">
        <f t="shared" si="6"/>
        <v>0.64775265315495101</v>
      </c>
      <c r="K63">
        <f t="shared" si="7"/>
        <v>1.3239572480561701</v>
      </c>
      <c r="L63">
        <f t="shared" si="8"/>
        <v>0.77359676877860895</v>
      </c>
      <c r="O63" s="5">
        <v>730944000</v>
      </c>
      <c r="P63" s="4">
        <v>11.902863172165</v>
      </c>
      <c r="Q63" s="4">
        <v>4.0728084900958397</v>
      </c>
      <c r="R63" s="4">
        <v>6.2366631937797496</v>
      </c>
      <c r="S63" s="4">
        <v>4.47550966009155</v>
      </c>
      <c r="T63" s="4">
        <v>8.0332230936670093E-2</v>
      </c>
      <c r="U63" s="4">
        <v>6.1563309628431</v>
      </c>
      <c r="V63" s="4">
        <v>2.5</v>
      </c>
      <c r="W63" s="4">
        <v>0.64775265315495101</v>
      </c>
      <c r="X63" s="4">
        <v>1.3239572480561701</v>
      </c>
      <c r="Y63" s="4">
        <v>0.77359676877860895</v>
      </c>
    </row>
    <row r="64" spans="1:25" x14ac:dyDescent="0.35">
      <c r="A64" s="1">
        <v>34121</v>
      </c>
      <c r="B64">
        <f t="shared" si="9"/>
        <v>12.6539659877836</v>
      </c>
      <c r="C64">
        <f t="shared" si="0"/>
        <v>4.2382911373646701</v>
      </c>
      <c r="D64">
        <f t="shared" si="1"/>
        <v>6.5639834025100496</v>
      </c>
      <c r="E64">
        <f t="shared" si="2"/>
        <v>4.6711108616416803</v>
      </c>
      <c r="F64">
        <f t="shared" si="3"/>
        <v>-5.2787713213898801E-2</v>
      </c>
      <c r="G64">
        <f t="shared" si="4"/>
        <v>6.6167711157239504</v>
      </c>
      <c r="H64" s="6">
        <f t="shared" si="5"/>
        <v>2</v>
      </c>
      <c r="I64">
        <f t="shared" si="10"/>
        <v>2.5</v>
      </c>
      <c r="J64">
        <f t="shared" si="6"/>
        <v>0.69946598042645902</v>
      </c>
      <c r="K64">
        <f t="shared" si="7"/>
        <v>1.4262448132843899</v>
      </c>
      <c r="L64">
        <f t="shared" si="8"/>
        <v>0.83472214426302604</v>
      </c>
      <c r="O64" s="5">
        <v>738892800</v>
      </c>
      <c r="P64" s="4">
        <v>12.6539659877836</v>
      </c>
      <c r="Q64" s="4">
        <v>4.2382911373646701</v>
      </c>
      <c r="R64" s="4">
        <v>6.5639834025100496</v>
      </c>
      <c r="S64" s="4">
        <v>4.6711108616416803</v>
      </c>
      <c r="T64" s="4">
        <v>-5.2787713213898801E-2</v>
      </c>
      <c r="U64" s="4">
        <v>6.6167711157239504</v>
      </c>
      <c r="V64" s="4">
        <v>2.5</v>
      </c>
      <c r="W64" s="4">
        <v>0.69946598042645902</v>
      </c>
      <c r="X64" s="4">
        <v>1.4262448132843899</v>
      </c>
      <c r="Y64" s="4">
        <v>0.83472214426302604</v>
      </c>
    </row>
    <row r="65" spans="1:25" x14ac:dyDescent="0.35">
      <c r="A65" s="1">
        <v>34213</v>
      </c>
      <c r="B65">
        <f t="shared" si="9"/>
        <v>11.8320460724643</v>
      </c>
      <c r="C65">
        <f t="shared" si="0"/>
        <v>3.90361724872615</v>
      </c>
      <c r="D65">
        <f t="shared" si="1"/>
        <v>6.0946578863294203</v>
      </c>
      <c r="E65">
        <f t="shared" si="2"/>
        <v>4.3113778191419101</v>
      </c>
      <c r="F65">
        <f t="shared" si="3"/>
        <v>-0.13901912311122</v>
      </c>
      <c r="G65">
        <f t="shared" si="4"/>
        <v>6.2336770094406599</v>
      </c>
      <c r="H65" s="6">
        <f t="shared" si="5"/>
        <v>2</v>
      </c>
      <c r="I65">
        <f t="shared" si="10"/>
        <v>2.5</v>
      </c>
      <c r="J65">
        <f t="shared" si="6"/>
        <v>0.59488039022692296</v>
      </c>
      <c r="K65">
        <f t="shared" si="7"/>
        <v>1.27958058947794</v>
      </c>
      <c r="L65">
        <f t="shared" si="8"/>
        <v>0.72230556848184702</v>
      </c>
      <c r="O65" s="5">
        <v>746841600</v>
      </c>
      <c r="P65" s="4">
        <v>11.8320460724643</v>
      </c>
      <c r="Q65" s="4">
        <v>3.90361724872615</v>
      </c>
      <c r="R65" s="4">
        <v>6.0946578863294203</v>
      </c>
      <c r="S65" s="4">
        <v>4.3113778191419101</v>
      </c>
      <c r="T65" s="4">
        <v>-0.13901912311122</v>
      </c>
      <c r="U65" s="4">
        <v>6.2336770094406599</v>
      </c>
      <c r="V65" s="4">
        <v>2.5</v>
      </c>
      <c r="W65" s="4">
        <v>0.59488039022692296</v>
      </c>
      <c r="X65" s="4">
        <v>1.27958058947794</v>
      </c>
      <c r="Y65" s="4">
        <v>0.72230556848184702</v>
      </c>
    </row>
    <row r="66" spans="1:25" x14ac:dyDescent="0.35">
      <c r="A66" s="1">
        <v>34304</v>
      </c>
      <c r="B66">
        <f t="shared" si="9"/>
        <v>9.2035971320497403</v>
      </c>
      <c r="C66">
        <f t="shared" ref="C66:C129" si="11">IF(Q66="","",Q66)</f>
        <v>3.2946976671489501</v>
      </c>
      <c r="D66">
        <f t="shared" ref="D66:D129" si="12">IF(R66="","",R66)</f>
        <v>4.9276364421489998</v>
      </c>
      <c r="E66">
        <f t="shared" ref="E66:E129" si="13">IF(S66="","",S66)</f>
        <v>3.5985934666702399</v>
      </c>
      <c r="F66">
        <f t="shared" ref="F66:F129" si="14">IF(T66="","",T66)</f>
        <v>0.28180161606533899</v>
      </c>
      <c r="G66">
        <f t="shared" ref="G66:G129" si="15">IF(U66="","",U66)</f>
        <v>4.6458348260836804</v>
      </c>
      <c r="H66" s="6">
        <f t="shared" ref="H66:H129" si="16">IF(A66="","",2)</f>
        <v>2</v>
      </c>
      <c r="I66">
        <f t="shared" si="10"/>
        <v>2.2511241037655401</v>
      </c>
      <c r="J66">
        <f t="shared" ref="J66:J129" si="17">IF(W66="","",W66)</f>
        <v>0.40459302098404598</v>
      </c>
      <c r="K66">
        <f t="shared" ref="K66:K129" si="18">IF(X66="","",X66)</f>
        <v>0.91488638817156298</v>
      </c>
      <c r="L66">
        <f t="shared" ref="L66:L129" si="19">IF(Y66="","",Y66)</f>
        <v>0.49956045833445101</v>
      </c>
      <c r="O66" s="5">
        <v>754704000</v>
      </c>
      <c r="P66" s="4">
        <v>9.2035971320497403</v>
      </c>
      <c r="Q66" s="4">
        <v>3.2946976671489501</v>
      </c>
      <c r="R66" s="4">
        <v>4.9276364421489998</v>
      </c>
      <c r="S66" s="4">
        <v>3.5985934666702399</v>
      </c>
      <c r="T66" s="4">
        <v>0.28180161606533899</v>
      </c>
      <c r="U66" s="4">
        <v>4.6458348260836804</v>
      </c>
      <c r="V66" s="4">
        <v>2.2511241037655401</v>
      </c>
      <c r="W66" s="4">
        <v>0.40459302098404598</v>
      </c>
      <c r="X66" s="4">
        <v>0.91488638817156298</v>
      </c>
      <c r="Y66" s="4">
        <v>0.49956045833445101</v>
      </c>
    </row>
    <row r="67" spans="1:25" x14ac:dyDescent="0.35">
      <c r="A67" s="1">
        <v>34394</v>
      </c>
      <c r="B67">
        <f t="shared" ref="B67:B130" si="20">IF(P67="","",P67)</f>
        <v>6.8287515682994604</v>
      </c>
      <c r="C67">
        <f t="shared" si="11"/>
        <v>2.1919980942160402</v>
      </c>
      <c r="D67">
        <f t="shared" si="12"/>
        <v>3.4733762227359901</v>
      </c>
      <c r="E67">
        <f t="shared" si="13"/>
        <v>2.4304671885981399</v>
      </c>
      <c r="F67">
        <f t="shared" si="14"/>
        <v>-0.17224186533941899</v>
      </c>
      <c r="G67">
        <f t="shared" si="15"/>
        <v>3.6456180880754201</v>
      </c>
      <c r="H67" s="6">
        <f t="shared" si="16"/>
        <v>2</v>
      </c>
      <c r="I67">
        <f t="shared" ref="I67:I130" si="21">IF(V67="","",V67)</f>
        <v>1.50898486509358</v>
      </c>
      <c r="J67">
        <f t="shared" si="17"/>
        <v>5.9999404442512498E-2</v>
      </c>
      <c r="K67">
        <f t="shared" si="18"/>
        <v>0.46043006960499799</v>
      </c>
      <c r="L67">
        <f t="shared" si="19"/>
        <v>0.13452099643691801</v>
      </c>
      <c r="O67" s="5">
        <v>762480000</v>
      </c>
      <c r="P67" s="4">
        <v>6.8287515682994604</v>
      </c>
      <c r="Q67" s="4">
        <v>2.1919980942160402</v>
      </c>
      <c r="R67" s="4">
        <v>3.4733762227359901</v>
      </c>
      <c r="S67" s="4">
        <v>2.4304671885981399</v>
      </c>
      <c r="T67" s="4">
        <v>-0.17224186533941899</v>
      </c>
      <c r="U67" s="4">
        <v>3.6456180880754201</v>
      </c>
      <c r="V67" s="4">
        <v>1.50898486509358</v>
      </c>
      <c r="W67" s="4">
        <v>5.9999404442512498E-2</v>
      </c>
      <c r="X67" s="4">
        <v>0.46043006960499799</v>
      </c>
      <c r="Y67" s="4">
        <v>0.13452099643691801</v>
      </c>
    </row>
    <row r="68" spans="1:25" x14ac:dyDescent="0.35">
      <c r="A68" s="1">
        <v>34486</v>
      </c>
      <c r="B68">
        <f t="shared" si="20"/>
        <v>3.7400155157844601</v>
      </c>
      <c r="C68">
        <f t="shared" si="11"/>
        <v>0.984679489036419</v>
      </c>
      <c r="D68">
        <f t="shared" si="12"/>
        <v>1.7461233184598</v>
      </c>
      <c r="E68">
        <f t="shared" si="13"/>
        <v>1.1263869338444401</v>
      </c>
      <c r="F68">
        <f t="shared" si="14"/>
        <v>-0.420242203016296</v>
      </c>
      <c r="G68">
        <f t="shared" si="15"/>
        <v>2.1663655214761</v>
      </c>
      <c r="H68" s="6">
        <f t="shared" si="16"/>
        <v>2</v>
      </c>
      <c r="I68">
        <f t="shared" si="21"/>
        <v>0.54375484868264201</v>
      </c>
      <c r="J68">
        <f t="shared" si="17"/>
        <v>0</v>
      </c>
      <c r="K68">
        <f t="shared" si="18"/>
        <v>0</v>
      </c>
      <c r="L68">
        <f t="shared" si="19"/>
        <v>0</v>
      </c>
      <c r="O68" s="5">
        <v>770428800</v>
      </c>
      <c r="P68" s="4">
        <v>3.7400155157844601</v>
      </c>
      <c r="Q68" s="4">
        <v>0.984679489036419</v>
      </c>
      <c r="R68" s="4">
        <v>1.7461233184598</v>
      </c>
      <c r="S68" s="4">
        <v>1.1263869338444401</v>
      </c>
      <c r="T68" s="4">
        <v>-0.420242203016296</v>
      </c>
      <c r="U68" s="4">
        <v>2.1663655214761</v>
      </c>
      <c r="V68" s="4">
        <v>0.54375484868264201</v>
      </c>
      <c r="W68" s="4">
        <v>0</v>
      </c>
      <c r="X68" s="4">
        <v>0</v>
      </c>
      <c r="Y68" s="4">
        <v>0</v>
      </c>
    </row>
    <row r="69" spans="1:25" x14ac:dyDescent="0.35">
      <c r="A69" s="1">
        <v>34578</v>
      </c>
      <c r="B69">
        <f t="shared" si="20"/>
        <v>0.88700610694408699</v>
      </c>
      <c r="C69">
        <f t="shared" si="11"/>
        <v>-0.33514934547305097</v>
      </c>
      <c r="D69">
        <f t="shared" si="12"/>
        <v>2.5962938265816902E-3</v>
      </c>
      <c r="E69">
        <f t="shared" si="13"/>
        <v>-0.27229366303031199</v>
      </c>
      <c r="F69">
        <f t="shared" si="14"/>
        <v>-0.95831569959209995</v>
      </c>
      <c r="G69">
        <f t="shared" si="15"/>
        <v>0.96091199341870304</v>
      </c>
      <c r="H69" s="6">
        <f t="shared" si="16"/>
        <v>2</v>
      </c>
      <c r="I69">
        <f t="shared" si="21"/>
        <v>0</v>
      </c>
      <c r="J69">
        <f t="shared" si="17"/>
        <v>0</v>
      </c>
      <c r="K69">
        <f t="shared" si="18"/>
        <v>0</v>
      </c>
      <c r="L69">
        <f t="shared" si="19"/>
        <v>0</v>
      </c>
      <c r="O69" s="5">
        <v>778377600</v>
      </c>
      <c r="P69" s="4">
        <v>0.88700610694408699</v>
      </c>
      <c r="Q69" s="4">
        <v>-0.33514934547305097</v>
      </c>
      <c r="R69" s="4">
        <v>2.5962938265816902E-3</v>
      </c>
      <c r="S69" s="4">
        <v>-0.27229366303031199</v>
      </c>
      <c r="T69" s="4">
        <v>-0.95831569959209995</v>
      </c>
      <c r="U69" s="4">
        <v>0.96091199341870304</v>
      </c>
      <c r="V69" s="4">
        <v>0</v>
      </c>
      <c r="W69" s="4">
        <v>0</v>
      </c>
      <c r="X69" s="4">
        <v>0</v>
      </c>
      <c r="Y69" s="4">
        <v>0</v>
      </c>
    </row>
    <row r="70" spans="1:25" x14ac:dyDescent="0.35">
      <c r="A70" s="1">
        <v>34669</v>
      </c>
      <c r="B70">
        <f t="shared" si="20"/>
        <v>0.97269087707970903</v>
      </c>
      <c r="C70">
        <f t="shared" si="11"/>
        <v>-0.54810749078401499</v>
      </c>
      <c r="D70">
        <f t="shared" si="12"/>
        <v>-0.12783115360931799</v>
      </c>
      <c r="E70">
        <f t="shared" si="13"/>
        <v>-0.46989254760242399</v>
      </c>
      <c r="F70">
        <f t="shared" si="14"/>
        <v>-1.32354925015877</v>
      </c>
      <c r="G70">
        <f t="shared" si="15"/>
        <v>1.19571809654947</v>
      </c>
      <c r="H70" s="6">
        <f t="shared" si="16"/>
        <v>2</v>
      </c>
      <c r="I70">
        <f t="shared" si="21"/>
        <v>0</v>
      </c>
      <c r="J70">
        <f t="shared" si="17"/>
        <v>0</v>
      </c>
      <c r="K70">
        <f t="shared" si="18"/>
        <v>0</v>
      </c>
      <c r="L70">
        <f t="shared" si="19"/>
        <v>0</v>
      </c>
      <c r="O70" s="5">
        <v>786240000</v>
      </c>
      <c r="P70" s="4">
        <v>0.97269087707970903</v>
      </c>
      <c r="Q70" s="4">
        <v>-0.54810749078401499</v>
      </c>
      <c r="R70" s="4">
        <v>-0.12783115360931799</v>
      </c>
      <c r="S70" s="4">
        <v>-0.46989254760242399</v>
      </c>
      <c r="T70" s="4">
        <v>-1.32354925015877</v>
      </c>
      <c r="U70" s="4">
        <v>1.19571809654947</v>
      </c>
      <c r="V70" s="4">
        <v>0</v>
      </c>
      <c r="W70" s="4">
        <v>0</v>
      </c>
      <c r="X70" s="4">
        <v>0</v>
      </c>
      <c r="Y70" s="4">
        <v>0</v>
      </c>
    </row>
    <row r="71" spans="1:25" x14ac:dyDescent="0.35">
      <c r="A71" s="1">
        <v>34759</v>
      </c>
      <c r="B71">
        <f t="shared" si="20"/>
        <v>-1.4067552323239301</v>
      </c>
      <c r="C71">
        <f t="shared" si="11"/>
        <v>-1.6357996095093601</v>
      </c>
      <c r="D71">
        <f t="shared" si="12"/>
        <v>-1.5725026373872</v>
      </c>
      <c r="E71">
        <f t="shared" si="13"/>
        <v>-1.6240198145501801</v>
      </c>
      <c r="F71">
        <f t="shared" si="14"/>
        <v>-1.75258733007297</v>
      </c>
      <c r="G71">
        <f t="shared" si="15"/>
        <v>0.180084692685784</v>
      </c>
      <c r="H71" s="6">
        <f t="shared" si="16"/>
        <v>2</v>
      </c>
      <c r="I71">
        <f t="shared" si="21"/>
        <v>0</v>
      </c>
      <c r="J71">
        <f t="shared" si="17"/>
        <v>0</v>
      </c>
      <c r="K71">
        <f t="shared" si="18"/>
        <v>0</v>
      </c>
      <c r="L71">
        <f t="shared" si="19"/>
        <v>0</v>
      </c>
      <c r="O71" s="5">
        <v>794016000</v>
      </c>
      <c r="P71" s="4">
        <v>-1.4067552323239301</v>
      </c>
      <c r="Q71" s="4">
        <v>-1.6357996095093601</v>
      </c>
      <c r="R71" s="4">
        <v>-1.5725026373872</v>
      </c>
      <c r="S71" s="4">
        <v>-1.6240198145501801</v>
      </c>
      <c r="T71" s="4">
        <v>-1.75258733007297</v>
      </c>
      <c r="U71" s="4">
        <v>0.180084692685784</v>
      </c>
      <c r="V71" s="4">
        <v>0</v>
      </c>
      <c r="W71" s="4">
        <v>0</v>
      </c>
      <c r="X71" s="4">
        <v>0</v>
      </c>
      <c r="Y71" s="4">
        <v>0</v>
      </c>
    </row>
    <row r="72" spans="1:25" x14ac:dyDescent="0.35">
      <c r="A72" s="1">
        <v>34851</v>
      </c>
      <c r="B72">
        <f t="shared" si="20"/>
        <v>-0.97065346292959598</v>
      </c>
      <c r="C72">
        <f t="shared" si="11"/>
        <v>-1.5879752256113699</v>
      </c>
      <c r="D72">
        <f t="shared" si="12"/>
        <v>-1.4173768512570599</v>
      </c>
      <c r="E72">
        <f t="shared" si="13"/>
        <v>-1.5562262524317101</v>
      </c>
      <c r="F72">
        <f t="shared" si="14"/>
        <v>-1.90274218214539</v>
      </c>
      <c r="G72">
        <f t="shared" si="15"/>
        <v>0.48536533088834399</v>
      </c>
      <c r="H72" s="6">
        <f t="shared" si="16"/>
        <v>2</v>
      </c>
      <c r="I72">
        <f t="shared" si="21"/>
        <v>0</v>
      </c>
      <c r="J72">
        <f t="shared" si="17"/>
        <v>0</v>
      </c>
      <c r="K72">
        <f t="shared" si="18"/>
        <v>0</v>
      </c>
      <c r="L72">
        <f t="shared" si="19"/>
        <v>0</v>
      </c>
      <c r="O72" s="5">
        <v>801964800</v>
      </c>
      <c r="P72" s="4">
        <v>-0.97065346292959598</v>
      </c>
      <c r="Q72" s="4">
        <v>-1.5879752256113699</v>
      </c>
      <c r="R72" s="4">
        <v>-1.4173768512570599</v>
      </c>
      <c r="S72" s="4">
        <v>-1.5562262524317101</v>
      </c>
      <c r="T72" s="4">
        <v>-1.90274218214539</v>
      </c>
      <c r="U72" s="4">
        <v>0.48536533088834399</v>
      </c>
      <c r="V72" s="4">
        <v>0</v>
      </c>
      <c r="W72" s="4">
        <v>0</v>
      </c>
      <c r="X72" s="4">
        <v>0</v>
      </c>
      <c r="Y72" s="4">
        <v>0</v>
      </c>
    </row>
    <row r="73" spans="1:25" x14ac:dyDescent="0.35">
      <c r="A73" s="1">
        <v>34943</v>
      </c>
      <c r="B73">
        <f t="shared" si="20"/>
        <v>-2.1496764396319001</v>
      </c>
      <c r="C73">
        <f t="shared" si="11"/>
        <v>-2.2206523685642701</v>
      </c>
      <c r="D73">
        <f t="shared" si="12"/>
        <v>-2.20103799754061</v>
      </c>
      <c r="E73">
        <f t="shared" si="13"/>
        <v>-2.2170020633258298</v>
      </c>
      <c r="F73">
        <f t="shared" si="14"/>
        <v>-2.2568423726882099</v>
      </c>
      <c r="G73">
        <f t="shared" si="15"/>
        <v>5.5804375147612703E-2</v>
      </c>
      <c r="H73" s="6">
        <f t="shared" si="16"/>
        <v>2</v>
      </c>
      <c r="I73">
        <f t="shared" si="21"/>
        <v>0</v>
      </c>
      <c r="J73">
        <f t="shared" si="17"/>
        <v>0</v>
      </c>
      <c r="K73">
        <f t="shared" si="18"/>
        <v>0</v>
      </c>
      <c r="L73">
        <f t="shared" si="19"/>
        <v>0</v>
      </c>
      <c r="O73" s="5">
        <v>809913600</v>
      </c>
      <c r="P73" s="4">
        <v>-2.1496764396319001</v>
      </c>
      <c r="Q73" s="4">
        <v>-2.2206523685642701</v>
      </c>
      <c r="R73" s="4">
        <v>-2.20103799754061</v>
      </c>
      <c r="S73" s="4">
        <v>-2.2170020633258298</v>
      </c>
      <c r="T73" s="4">
        <v>-2.2568423726882099</v>
      </c>
      <c r="U73" s="4">
        <v>5.5804375147612703E-2</v>
      </c>
      <c r="V73" s="4">
        <v>0</v>
      </c>
      <c r="W73" s="4">
        <v>0</v>
      </c>
      <c r="X73" s="4">
        <v>0</v>
      </c>
      <c r="Y73" s="4">
        <v>0</v>
      </c>
    </row>
    <row r="74" spans="1:25" x14ac:dyDescent="0.35">
      <c r="A74" s="1">
        <v>35034</v>
      </c>
      <c r="B74">
        <f t="shared" si="20"/>
        <v>-2.8872852887008902</v>
      </c>
      <c r="C74">
        <f t="shared" si="11"/>
        <v>-2.5476387056646601</v>
      </c>
      <c r="D74">
        <f t="shared" si="12"/>
        <v>-2.6415008670586602</v>
      </c>
      <c r="E74">
        <f t="shared" si="13"/>
        <v>-2.5651067926611102</v>
      </c>
      <c r="F74">
        <f t="shared" si="14"/>
        <v>-2.3744558896644898</v>
      </c>
      <c r="G74">
        <f t="shared" si="15"/>
        <v>-0.26704497739414201</v>
      </c>
      <c r="H74" s="6">
        <f t="shared" si="16"/>
        <v>2</v>
      </c>
      <c r="I74">
        <f t="shared" si="21"/>
        <v>0</v>
      </c>
      <c r="J74">
        <f t="shared" si="17"/>
        <v>0</v>
      </c>
      <c r="K74">
        <f t="shared" si="18"/>
        <v>0</v>
      </c>
      <c r="L74">
        <f t="shared" si="19"/>
        <v>0</v>
      </c>
      <c r="O74" s="5">
        <v>817776000</v>
      </c>
      <c r="P74" s="4">
        <v>-2.8872852887008902</v>
      </c>
      <c r="Q74" s="4">
        <v>-2.5476387056646601</v>
      </c>
      <c r="R74" s="4">
        <v>-2.6415008670586602</v>
      </c>
      <c r="S74" s="4">
        <v>-2.5651067926611102</v>
      </c>
      <c r="T74" s="4">
        <v>-2.3744558896644898</v>
      </c>
      <c r="U74" s="4">
        <v>-0.26704497739414201</v>
      </c>
      <c r="V74" s="4">
        <v>0</v>
      </c>
      <c r="W74" s="4">
        <v>0</v>
      </c>
      <c r="X74" s="4">
        <v>0</v>
      </c>
      <c r="Y74" s="4">
        <v>0</v>
      </c>
    </row>
    <row r="75" spans="1:25" x14ac:dyDescent="0.35">
      <c r="A75" s="1">
        <v>35125</v>
      </c>
      <c r="B75">
        <f t="shared" si="20"/>
        <v>-4.0579027510033603</v>
      </c>
      <c r="C75">
        <f t="shared" si="11"/>
        <v>-3.06252353580029</v>
      </c>
      <c r="D75">
        <f t="shared" si="12"/>
        <v>-3.3375990089892098</v>
      </c>
      <c r="E75">
        <f t="shared" si="13"/>
        <v>-3.1137160741447598</v>
      </c>
      <c r="F75">
        <f t="shared" si="14"/>
        <v>-2.5549883975516798</v>
      </c>
      <c r="G75">
        <f t="shared" si="15"/>
        <v>-0.78261061143751098</v>
      </c>
      <c r="H75" s="6">
        <f t="shared" si="16"/>
        <v>2</v>
      </c>
      <c r="I75">
        <f t="shared" si="21"/>
        <v>0</v>
      </c>
      <c r="J75">
        <f t="shared" si="17"/>
        <v>0</v>
      </c>
      <c r="K75">
        <f t="shared" si="18"/>
        <v>0</v>
      </c>
      <c r="L75">
        <f t="shared" si="19"/>
        <v>0</v>
      </c>
      <c r="O75" s="5">
        <v>825638400</v>
      </c>
      <c r="P75" s="4">
        <v>-4.0579027510033603</v>
      </c>
      <c r="Q75" s="4">
        <v>-3.06252353580029</v>
      </c>
      <c r="R75" s="4">
        <v>-3.3375990089892098</v>
      </c>
      <c r="S75" s="4">
        <v>-3.1137160741447598</v>
      </c>
      <c r="T75" s="4">
        <v>-2.5549883975516798</v>
      </c>
      <c r="U75" s="4">
        <v>-0.78261061143751098</v>
      </c>
      <c r="V75" s="4">
        <v>0</v>
      </c>
      <c r="W75" s="4">
        <v>0</v>
      </c>
      <c r="X75" s="4">
        <v>0</v>
      </c>
      <c r="Y75" s="4">
        <v>0</v>
      </c>
    </row>
    <row r="76" spans="1:25" x14ac:dyDescent="0.35">
      <c r="A76" s="1">
        <v>35217</v>
      </c>
      <c r="B76">
        <f t="shared" si="20"/>
        <v>-4.5629680847280296</v>
      </c>
      <c r="C76">
        <f t="shared" si="11"/>
        <v>-3.3879203101880702</v>
      </c>
      <c r="D76">
        <f t="shared" si="12"/>
        <v>-3.7126476278418199</v>
      </c>
      <c r="E76">
        <f t="shared" si="13"/>
        <v>-3.4483532359875699</v>
      </c>
      <c r="F76">
        <f t="shared" si="14"/>
        <v>-2.7887737481632602</v>
      </c>
      <c r="G76">
        <f t="shared" si="15"/>
        <v>-0.92387387967854395</v>
      </c>
      <c r="H76" s="6">
        <f t="shared" si="16"/>
        <v>2</v>
      </c>
      <c r="I76">
        <f t="shared" si="21"/>
        <v>0</v>
      </c>
      <c r="J76">
        <f t="shared" si="17"/>
        <v>0</v>
      </c>
      <c r="K76">
        <f t="shared" si="18"/>
        <v>0</v>
      </c>
      <c r="L76">
        <f t="shared" si="19"/>
        <v>0</v>
      </c>
      <c r="O76" s="5">
        <v>833587200</v>
      </c>
      <c r="P76" s="4">
        <v>-4.5629680847280296</v>
      </c>
      <c r="Q76" s="4">
        <v>-3.3879203101880702</v>
      </c>
      <c r="R76" s="4">
        <v>-3.7126476278418199</v>
      </c>
      <c r="S76" s="4">
        <v>-3.4483532359875699</v>
      </c>
      <c r="T76" s="4">
        <v>-2.7887737481632602</v>
      </c>
      <c r="U76" s="4">
        <v>-0.92387387967854395</v>
      </c>
      <c r="V76" s="4">
        <v>0</v>
      </c>
      <c r="W76" s="4">
        <v>0</v>
      </c>
      <c r="X76" s="4">
        <v>0</v>
      </c>
      <c r="Y76" s="4">
        <v>0</v>
      </c>
    </row>
    <row r="77" spans="1:25" x14ac:dyDescent="0.35">
      <c r="A77" s="1">
        <v>35309</v>
      </c>
      <c r="B77">
        <f t="shared" si="20"/>
        <v>-5.7696546210478203</v>
      </c>
      <c r="C77">
        <f t="shared" si="11"/>
        <v>-3.6511060837234401</v>
      </c>
      <c r="D77">
        <f t="shared" si="12"/>
        <v>-4.2365721377433196</v>
      </c>
      <c r="E77">
        <f t="shared" si="13"/>
        <v>-3.76006342940153</v>
      </c>
      <c r="F77">
        <f t="shared" si="14"/>
        <v>-2.5708767516713</v>
      </c>
      <c r="G77">
        <f t="shared" si="15"/>
        <v>-1.6656953860720101</v>
      </c>
      <c r="H77" s="6">
        <f t="shared" si="16"/>
        <v>2</v>
      </c>
      <c r="I77">
        <f t="shared" si="21"/>
        <v>0</v>
      </c>
      <c r="J77">
        <f t="shared" si="17"/>
        <v>0</v>
      </c>
      <c r="K77">
        <f t="shared" si="18"/>
        <v>0</v>
      </c>
      <c r="L77">
        <f t="shared" si="19"/>
        <v>0</v>
      </c>
      <c r="O77" s="5">
        <v>841536000</v>
      </c>
      <c r="P77" s="4">
        <v>-5.7696546210478203</v>
      </c>
      <c r="Q77" s="4">
        <v>-3.6511060837234401</v>
      </c>
      <c r="R77" s="4">
        <v>-4.2365721377433196</v>
      </c>
      <c r="S77" s="4">
        <v>-3.76006342940153</v>
      </c>
      <c r="T77" s="4">
        <v>-2.5708767516713</v>
      </c>
      <c r="U77" s="4">
        <v>-1.6656953860720101</v>
      </c>
      <c r="V77" s="4">
        <v>0</v>
      </c>
      <c r="W77" s="4">
        <v>0</v>
      </c>
      <c r="X77" s="4">
        <v>0</v>
      </c>
      <c r="Y77" s="4">
        <v>0</v>
      </c>
    </row>
    <row r="78" spans="1:25" x14ac:dyDescent="0.35">
      <c r="A78" s="1">
        <v>35400</v>
      </c>
      <c r="B78">
        <f t="shared" si="20"/>
        <v>-5.1467839995865301</v>
      </c>
      <c r="C78">
        <f t="shared" si="11"/>
        <v>-3.3577259522630301</v>
      </c>
      <c r="D78">
        <f t="shared" si="12"/>
        <v>-3.8521365059630699</v>
      </c>
      <c r="E78">
        <f t="shared" si="13"/>
        <v>-3.4497375407001698</v>
      </c>
      <c r="F78">
        <f t="shared" si="14"/>
        <v>-2.4455009333812199</v>
      </c>
      <c r="G78">
        <f t="shared" si="15"/>
        <v>-1.40663557258182</v>
      </c>
      <c r="H78" s="6">
        <f t="shared" si="16"/>
        <v>2</v>
      </c>
      <c r="I78">
        <f t="shared" si="21"/>
        <v>0</v>
      </c>
      <c r="J78">
        <f t="shared" si="17"/>
        <v>0</v>
      </c>
      <c r="K78">
        <f t="shared" si="18"/>
        <v>0</v>
      </c>
      <c r="L78">
        <f t="shared" si="19"/>
        <v>0</v>
      </c>
      <c r="O78" s="5">
        <v>849398400</v>
      </c>
      <c r="P78" s="4">
        <v>-5.1467839995865301</v>
      </c>
      <c r="Q78" s="4">
        <v>-3.3577259522630301</v>
      </c>
      <c r="R78" s="4">
        <v>-3.8521365059630699</v>
      </c>
      <c r="S78" s="4">
        <v>-3.4497375407001698</v>
      </c>
      <c r="T78" s="4">
        <v>-2.4455009333812199</v>
      </c>
      <c r="U78" s="4">
        <v>-1.40663557258182</v>
      </c>
      <c r="V78" s="4">
        <v>0</v>
      </c>
      <c r="W78" s="4">
        <v>0</v>
      </c>
      <c r="X78" s="4">
        <v>0</v>
      </c>
      <c r="Y78" s="4">
        <v>0</v>
      </c>
    </row>
    <row r="79" spans="1:25" x14ac:dyDescent="0.35">
      <c r="A79" s="1">
        <v>35490</v>
      </c>
      <c r="B79">
        <f t="shared" si="20"/>
        <v>-4.7646081026009499</v>
      </c>
      <c r="C79">
        <f t="shared" si="11"/>
        <v>-3.38006461001414</v>
      </c>
      <c r="D79">
        <f t="shared" si="12"/>
        <v>-3.7626865801708398</v>
      </c>
      <c r="E79">
        <f t="shared" si="13"/>
        <v>-3.4512719395939602</v>
      </c>
      <c r="F79">
        <f t="shared" si="14"/>
        <v>-2.6740980173945399</v>
      </c>
      <c r="G79">
        <f t="shared" si="15"/>
        <v>-1.0885885627762799</v>
      </c>
      <c r="H79" s="6">
        <f t="shared" si="16"/>
        <v>2</v>
      </c>
      <c r="I79">
        <f t="shared" si="21"/>
        <v>0</v>
      </c>
      <c r="J79">
        <f t="shared" si="17"/>
        <v>0</v>
      </c>
      <c r="K79">
        <f t="shared" si="18"/>
        <v>0</v>
      </c>
      <c r="L79">
        <f t="shared" si="19"/>
        <v>0</v>
      </c>
      <c r="O79" s="5">
        <v>857174400</v>
      </c>
      <c r="P79" s="4">
        <v>-4.7646081026009499</v>
      </c>
      <c r="Q79" s="4">
        <v>-3.38006461001414</v>
      </c>
      <c r="R79" s="4">
        <v>-3.7626865801708398</v>
      </c>
      <c r="S79" s="4">
        <v>-3.4512719395939602</v>
      </c>
      <c r="T79" s="4">
        <v>-2.6740980173945399</v>
      </c>
      <c r="U79" s="4">
        <v>-1.0885885627762799</v>
      </c>
      <c r="V79" s="4">
        <v>0</v>
      </c>
      <c r="W79" s="4">
        <v>0</v>
      </c>
      <c r="X79" s="4">
        <v>0</v>
      </c>
      <c r="Y79" s="4">
        <v>0</v>
      </c>
    </row>
    <row r="80" spans="1:25" x14ac:dyDescent="0.35">
      <c r="A80" s="1">
        <v>35582</v>
      </c>
      <c r="B80">
        <f t="shared" si="20"/>
        <v>-4.8550184830347298</v>
      </c>
      <c r="C80">
        <f t="shared" si="11"/>
        <v>-3.3290849862713299</v>
      </c>
      <c r="D80">
        <f t="shared" si="12"/>
        <v>-3.7507804288383602</v>
      </c>
      <c r="E80">
        <f t="shared" si="13"/>
        <v>-3.4075640300880798</v>
      </c>
      <c r="F80">
        <f t="shared" si="14"/>
        <v>-2.5510248696754201</v>
      </c>
      <c r="G80">
        <f t="shared" si="15"/>
        <v>-1.1997555591629301</v>
      </c>
      <c r="H80" s="6">
        <f t="shared" si="16"/>
        <v>2</v>
      </c>
      <c r="I80">
        <f t="shared" si="21"/>
        <v>0</v>
      </c>
      <c r="J80">
        <f t="shared" si="17"/>
        <v>0</v>
      </c>
      <c r="K80">
        <f t="shared" si="18"/>
        <v>0</v>
      </c>
      <c r="L80">
        <f t="shared" si="19"/>
        <v>0</v>
      </c>
      <c r="O80" s="5">
        <v>865123200</v>
      </c>
      <c r="P80" s="4">
        <v>-4.8550184830347298</v>
      </c>
      <c r="Q80" s="4">
        <v>-3.3290849862713299</v>
      </c>
      <c r="R80" s="4">
        <v>-3.7507804288383602</v>
      </c>
      <c r="S80" s="4">
        <v>-3.4075640300880798</v>
      </c>
      <c r="T80" s="4">
        <v>-2.5510248696754201</v>
      </c>
      <c r="U80" s="4">
        <v>-1.1997555591629301</v>
      </c>
      <c r="V80" s="4">
        <v>0</v>
      </c>
      <c r="W80" s="4">
        <v>0</v>
      </c>
      <c r="X80" s="4">
        <v>0</v>
      </c>
      <c r="Y80" s="4">
        <v>0</v>
      </c>
    </row>
    <row r="81" spans="1:25" x14ac:dyDescent="0.35">
      <c r="A81" s="1">
        <v>35674</v>
      </c>
      <c r="B81">
        <f t="shared" si="20"/>
        <v>-5.7766372109263404</v>
      </c>
      <c r="C81">
        <f t="shared" si="11"/>
        <v>-3.68264806805694</v>
      </c>
      <c r="D81">
        <f t="shared" si="12"/>
        <v>-4.2613270735351696</v>
      </c>
      <c r="E81">
        <f t="shared" si="13"/>
        <v>-3.7903423195060699</v>
      </c>
      <c r="F81">
        <f t="shared" si="14"/>
        <v>-2.6149413559968799</v>
      </c>
      <c r="G81">
        <f t="shared" si="15"/>
        <v>-1.6463857175382699</v>
      </c>
      <c r="H81" s="6">
        <f t="shared" si="16"/>
        <v>2</v>
      </c>
      <c r="I81">
        <f t="shared" si="21"/>
        <v>0</v>
      </c>
      <c r="J81">
        <f t="shared" si="17"/>
        <v>0</v>
      </c>
      <c r="K81">
        <f t="shared" si="18"/>
        <v>0</v>
      </c>
      <c r="L81">
        <f t="shared" si="19"/>
        <v>0</v>
      </c>
      <c r="O81" s="5">
        <v>873072000</v>
      </c>
      <c r="P81" s="4">
        <v>-5.7766372109263404</v>
      </c>
      <c r="Q81" s="4">
        <v>-3.68264806805694</v>
      </c>
      <c r="R81" s="4">
        <v>-4.2613270735351696</v>
      </c>
      <c r="S81" s="4">
        <v>-3.7903423195060699</v>
      </c>
      <c r="T81" s="4">
        <v>-2.6149413559968799</v>
      </c>
      <c r="U81" s="4">
        <v>-1.6463857175382699</v>
      </c>
      <c r="V81" s="4">
        <v>0</v>
      </c>
      <c r="W81" s="4">
        <v>0</v>
      </c>
      <c r="X81" s="4">
        <v>0</v>
      </c>
      <c r="Y81" s="4">
        <v>0</v>
      </c>
    </row>
    <row r="82" spans="1:25" x14ac:dyDescent="0.35">
      <c r="A82" s="1">
        <v>35765</v>
      </c>
      <c r="B82">
        <f t="shared" si="20"/>
        <v>-6.2212208676390004</v>
      </c>
      <c r="C82">
        <f t="shared" si="11"/>
        <v>-3.7322313035855599</v>
      </c>
      <c r="D82">
        <f t="shared" si="12"/>
        <v>-4.4200696386012197</v>
      </c>
      <c r="E82">
        <f t="shared" si="13"/>
        <v>-3.8602405002321798</v>
      </c>
      <c r="F82">
        <f t="shared" si="14"/>
        <v>-2.4631173385791598</v>
      </c>
      <c r="G82">
        <f t="shared" si="15"/>
        <v>-1.9569523000220601</v>
      </c>
      <c r="H82" s="6">
        <f t="shared" si="16"/>
        <v>2</v>
      </c>
      <c r="I82">
        <f t="shared" si="21"/>
        <v>0</v>
      </c>
      <c r="J82">
        <f t="shared" si="17"/>
        <v>0</v>
      </c>
      <c r="K82">
        <f t="shared" si="18"/>
        <v>0</v>
      </c>
      <c r="L82">
        <f t="shared" si="19"/>
        <v>0</v>
      </c>
      <c r="O82" s="5">
        <v>880934400</v>
      </c>
      <c r="P82" s="4">
        <v>-6.2212208676390004</v>
      </c>
      <c r="Q82" s="4">
        <v>-3.7322313035855599</v>
      </c>
      <c r="R82" s="4">
        <v>-4.4200696386012197</v>
      </c>
      <c r="S82" s="4">
        <v>-3.8602405002321798</v>
      </c>
      <c r="T82" s="4">
        <v>-2.4631173385791598</v>
      </c>
      <c r="U82" s="4">
        <v>-1.9569523000220601</v>
      </c>
      <c r="V82" s="4">
        <v>0</v>
      </c>
      <c r="W82" s="4">
        <v>0</v>
      </c>
      <c r="X82" s="4">
        <v>0</v>
      </c>
      <c r="Y82" s="4">
        <v>0</v>
      </c>
    </row>
    <row r="83" spans="1:25" x14ac:dyDescent="0.35">
      <c r="A83" s="1">
        <v>35855</v>
      </c>
      <c r="B83">
        <f t="shared" si="20"/>
        <v>-6.5383793929629297</v>
      </c>
      <c r="C83">
        <f t="shared" si="11"/>
        <v>-4.36836254782484</v>
      </c>
      <c r="D83">
        <f t="shared" si="12"/>
        <v>-4.96805199420601</v>
      </c>
      <c r="E83">
        <f t="shared" si="13"/>
        <v>-4.4799669181554798</v>
      </c>
      <c r="F83">
        <f t="shared" si="14"/>
        <v>-3.26188997669085</v>
      </c>
      <c r="G83">
        <f t="shared" si="15"/>
        <v>-1.70616201751513</v>
      </c>
      <c r="H83" s="6">
        <f t="shared" si="16"/>
        <v>2</v>
      </c>
      <c r="I83">
        <f t="shared" si="21"/>
        <v>0</v>
      </c>
      <c r="J83">
        <f t="shared" si="17"/>
        <v>0</v>
      </c>
      <c r="K83">
        <f t="shared" si="18"/>
        <v>0</v>
      </c>
      <c r="L83">
        <f t="shared" si="19"/>
        <v>0</v>
      </c>
      <c r="O83" s="5">
        <v>888710400</v>
      </c>
      <c r="P83" s="4">
        <v>-6.5383793929629297</v>
      </c>
      <c r="Q83" s="4">
        <v>-4.36836254782484</v>
      </c>
      <c r="R83" s="4">
        <v>-4.96805199420601</v>
      </c>
      <c r="S83" s="4">
        <v>-4.4799669181554798</v>
      </c>
      <c r="T83" s="4">
        <v>-3.26188997669085</v>
      </c>
      <c r="U83" s="4">
        <v>-1.70616201751513</v>
      </c>
      <c r="V83" s="4">
        <v>0</v>
      </c>
      <c r="W83" s="4">
        <v>0</v>
      </c>
      <c r="X83" s="4">
        <v>0</v>
      </c>
      <c r="Y83" s="4">
        <v>0</v>
      </c>
    </row>
    <row r="84" spans="1:25" x14ac:dyDescent="0.35">
      <c r="A84" s="1">
        <v>35947</v>
      </c>
      <c r="B84">
        <f t="shared" si="20"/>
        <v>-7.00382885048323</v>
      </c>
      <c r="C84">
        <f t="shared" si="11"/>
        <v>-4.3901105494201103</v>
      </c>
      <c r="D84">
        <f t="shared" si="12"/>
        <v>-5.1124179750388201</v>
      </c>
      <c r="E84">
        <f t="shared" si="13"/>
        <v>-4.5245345682314904</v>
      </c>
      <c r="F84">
        <f t="shared" si="14"/>
        <v>-3.0573984945451298</v>
      </c>
      <c r="G84">
        <f t="shared" si="15"/>
        <v>-2.0550194804936699</v>
      </c>
      <c r="H84" s="6">
        <f t="shared" si="16"/>
        <v>2</v>
      </c>
      <c r="I84">
        <f t="shared" si="21"/>
        <v>0</v>
      </c>
      <c r="J84">
        <f t="shared" si="17"/>
        <v>0</v>
      </c>
      <c r="K84">
        <f t="shared" si="18"/>
        <v>0</v>
      </c>
      <c r="L84">
        <f t="shared" si="19"/>
        <v>0</v>
      </c>
      <c r="O84" s="5">
        <v>896659200</v>
      </c>
      <c r="P84" s="4">
        <v>-7.00382885048323</v>
      </c>
      <c r="Q84" s="4">
        <v>-4.3901105494201103</v>
      </c>
      <c r="R84" s="4">
        <v>-5.1124179750388201</v>
      </c>
      <c r="S84" s="4">
        <v>-4.5245345682314904</v>
      </c>
      <c r="T84" s="4">
        <v>-3.0573984945451298</v>
      </c>
      <c r="U84" s="4">
        <v>-2.0550194804936699</v>
      </c>
      <c r="V84" s="4">
        <v>0</v>
      </c>
      <c r="W84" s="4">
        <v>0</v>
      </c>
      <c r="X84" s="4">
        <v>0</v>
      </c>
      <c r="Y84" s="4">
        <v>0</v>
      </c>
    </row>
    <row r="85" spans="1:25" x14ac:dyDescent="0.35">
      <c r="A85" s="1">
        <v>36039</v>
      </c>
      <c r="B85">
        <f t="shared" si="20"/>
        <v>-7.6014027573562801</v>
      </c>
      <c r="C85">
        <f t="shared" si="11"/>
        <v>-4.5177960508688901</v>
      </c>
      <c r="D85">
        <f t="shared" si="12"/>
        <v>-5.3699582830718002</v>
      </c>
      <c r="E85">
        <f t="shared" si="13"/>
        <v>-4.6763865178488899</v>
      </c>
      <c r="F85">
        <f t="shared" si="14"/>
        <v>-2.94549201620779</v>
      </c>
      <c r="G85">
        <f t="shared" si="15"/>
        <v>-2.4244662668639898</v>
      </c>
      <c r="H85" s="6">
        <f t="shared" si="16"/>
        <v>2</v>
      </c>
      <c r="I85">
        <f t="shared" si="21"/>
        <v>0</v>
      </c>
      <c r="J85">
        <f t="shared" si="17"/>
        <v>0</v>
      </c>
      <c r="K85">
        <f t="shared" si="18"/>
        <v>0</v>
      </c>
      <c r="L85">
        <f t="shared" si="19"/>
        <v>0</v>
      </c>
      <c r="O85" s="5">
        <v>904608000</v>
      </c>
      <c r="P85" s="4">
        <v>-7.6014027573562801</v>
      </c>
      <c r="Q85" s="4">
        <v>-4.5177960508688901</v>
      </c>
      <c r="R85" s="4">
        <v>-5.3699582830718002</v>
      </c>
      <c r="S85" s="4">
        <v>-4.6763865178488899</v>
      </c>
      <c r="T85" s="4">
        <v>-2.94549201620779</v>
      </c>
      <c r="U85" s="4">
        <v>-2.4244662668639898</v>
      </c>
      <c r="V85" s="4">
        <v>0</v>
      </c>
      <c r="W85" s="4">
        <v>0</v>
      </c>
      <c r="X85" s="4">
        <v>0</v>
      </c>
      <c r="Y85" s="4">
        <v>0</v>
      </c>
    </row>
    <row r="86" spans="1:25" x14ac:dyDescent="0.35">
      <c r="A86" s="1">
        <v>36130</v>
      </c>
      <c r="B86">
        <f t="shared" si="20"/>
        <v>-8.2340193346855095</v>
      </c>
      <c r="C86">
        <f t="shared" si="11"/>
        <v>-4.7800625241918704</v>
      </c>
      <c r="D86">
        <f t="shared" si="12"/>
        <v>-5.73457191067443</v>
      </c>
      <c r="E86">
        <f t="shared" si="13"/>
        <v>-4.9577001659678404</v>
      </c>
      <c r="F86">
        <f t="shared" si="14"/>
        <v>-3.0189202172760399</v>
      </c>
      <c r="G86">
        <f t="shared" si="15"/>
        <v>-2.7156516933983599</v>
      </c>
      <c r="H86" s="6">
        <f t="shared" si="16"/>
        <v>2</v>
      </c>
      <c r="I86">
        <f t="shared" si="21"/>
        <v>0</v>
      </c>
      <c r="J86">
        <f t="shared" si="17"/>
        <v>0</v>
      </c>
      <c r="K86">
        <f t="shared" si="18"/>
        <v>0</v>
      </c>
      <c r="L86">
        <f t="shared" si="19"/>
        <v>0</v>
      </c>
      <c r="O86" s="5">
        <v>912470400</v>
      </c>
      <c r="P86" s="4">
        <v>-8.2340193346855095</v>
      </c>
      <c r="Q86" s="4">
        <v>-4.7800625241918704</v>
      </c>
      <c r="R86" s="4">
        <v>-5.73457191067443</v>
      </c>
      <c r="S86" s="4">
        <v>-4.9577001659678404</v>
      </c>
      <c r="T86" s="4">
        <v>-3.0189202172760399</v>
      </c>
      <c r="U86" s="4">
        <v>-2.7156516933983599</v>
      </c>
      <c r="V86" s="4">
        <v>0</v>
      </c>
      <c r="W86" s="4">
        <v>0</v>
      </c>
      <c r="X86" s="4">
        <v>0</v>
      </c>
      <c r="Y86" s="4">
        <v>0</v>
      </c>
    </row>
    <row r="87" spans="1:25" x14ac:dyDescent="0.35">
      <c r="A87" s="1">
        <v>36220</v>
      </c>
      <c r="B87">
        <f t="shared" si="20"/>
        <v>-8.3649477447925307</v>
      </c>
      <c r="C87">
        <f t="shared" si="11"/>
        <v>-4.7188480363119796</v>
      </c>
      <c r="D87">
        <f t="shared" si="12"/>
        <v>-5.7264565811619104</v>
      </c>
      <c r="E87">
        <f t="shared" si="13"/>
        <v>-4.9063676231020699</v>
      </c>
      <c r="F87">
        <f t="shared" si="14"/>
        <v>-2.8597337496684001</v>
      </c>
      <c r="G87">
        <f t="shared" si="15"/>
        <v>-2.8667228314934898</v>
      </c>
      <c r="H87" s="6">
        <f t="shared" si="16"/>
        <v>2</v>
      </c>
      <c r="I87">
        <f t="shared" si="21"/>
        <v>0</v>
      </c>
      <c r="J87">
        <f t="shared" si="17"/>
        <v>0</v>
      </c>
      <c r="K87">
        <f t="shared" si="18"/>
        <v>0</v>
      </c>
      <c r="L87">
        <f t="shared" si="19"/>
        <v>0</v>
      </c>
      <c r="O87" s="5">
        <v>920246400</v>
      </c>
      <c r="P87" s="4">
        <v>-8.3649477447925307</v>
      </c>
      <c r="Q87" s="4">
        <v>-4.7188480363119796</v>
      </c>
      <c r="R87" s="4">
        <v>-5.7264565811619104</v>
      </c>
      <c r="S87" s="4">
        <v>-4.9063676231020699</v>
      </c>
      <c r="T87" s="4">
        <v>-2.8597337496684001</v>
      </c>
      <c r="U87" s="4">
        <v>-2.8667228314934898</v>
      </c>
      <c r="V87" s="4">
        <v>0</v>
      </c>
      <c r="W87" s="4">
        <v>0</v>
      </c>
      <c r="X87" s="4">
        <v>0</v>
      </c>
      <c r="Y87" s="4">
        <v>0</v>
      </c>
    </row>
    <row r="88" spans="1:25" x14ac:dyDescent="0.35">
      <c r="A88" s="1">
        <v>36312</v>
      </c>
      <c r="B88">
        <f t="shared" si="20"/>
        <v>-5.6112354862843903</v>
      </c>
      <c r="C88">
        <f t="shared" si="11"/>
        <v>-4.2025568467828798</v>
      </c>
      <c r="D88">
        <f t="shared" si="12"/>
        <v>-3.8112130978382099</v>
      </c>
      <c r="E88">
        <f t="shared" si="13"/>
        <v>-3.79125880347241</v>
      </c>
      <c r="F88">
        <f t="shared" si="14"/>
        <v>-2.2450477408356502</v>
      </c>
      <c r="G88">
        <f t="shared" si="15"/>
        <v>-1.56616535700255</v>
      </c>
      <c r="H88" s="6">
        <f t="shared" si="16"/>
        <v>2</v>
      </c>
      <c r="I88">
        <f t="shared" si="21"/>
        <v>0</v>
      </c>
      <c r="J88">
        <f t="shared" si="17"/>
        <v>0</v>
      </c>
      <c r="K88">
        <f t="shared" si="18"/>
        <v>0</v>
      </c>
      <c r="L88">
        <f t="shared" si="19"/>
        <v>0</v>
      </c>
      <c r="O88" s="5">
        <v>928195200</v>
      </c>
      <c r="P88" s="4">
        <v>-5.6112354862843903</v>
      </c>
      <c r="Q88" s="4">
        <v>-4.2025568467828798</v>
      </c>
      <c r="R88" s="4">
        <v>-3.8112130978382099</v>
      </c>
      <c r="S88" s="4">
        <v>-3.79125880347241</v>
      </c>
      <c r="T88" s="4">
        <v>-2.2450477408356502</v>
      </c>
      <c r="U88" s="4">
        <v>-1.56616535700255</v>
      </c>
      <c r="V88" s="4">
        <v>0</v>
      </c>
      <c r="W88" s="4">
        <v>0</v>
      </c>
      <c r="X88" s="4">
        <v>0</v>
      </c>
      <c r="Y88" s="4">
        <v>0</v>
      </c>
    </row>
    <row r="89" spans="1:25" x14ac:dyDescent="0.35">
      <c r="A89" s="1">
        <v>36404</v>
      </c>
      <c r="B89">
        <f t="shared" si="20"/>
        <v>-4.70593258549592</v>
      </c>
      <c r="C89">
        <f t="shared" si="11"/>
        <v>-3.39622114123677</v>
      </c>
      <c r="D89">
        <f t="shared" si="12"/>
        <v>-3.1644222009594598</v>
      </c>
      <c r="E89">
        <f t="shared" si="13"/>
        <v>-2.8676011816538902</v>
      </c>
      <c r="F89">
        <f t="shared" si="14"/>
        <v>-1.8525491802554901</v>
      </c>
      <c r="G89">
        <f t="shared" si="15"/>
        <v>-1.3118730207039599</v>
      </c>
      <c r="H89" s="6">
        <f t="shared" si="16"/>
        <v>2</v>
      </c>
      <c r="I89">
        <f t="shared" si="21"/>
        <v>0</v>
      </c>
      <c r="J89">
        <f t="shared" si="17"/>
        <v>0</v>
      </c>
      <c r="K89">
        <f t="shared" si="18"/>
        <v>0</v>
      </c>
      <c r="L89">
        <f t="shared" si="19"/>
        <v>0</v>
      </c>
      <c r="O89" s="5">
        <v>936144000</v>
      </c>
      <c r="P89" s="4">
        <v>-4.70593258549592</v>
      </c>
      <c r="Q89" s="4">
        <v>-3.39622114123677</v>
      </c>
      <c r="R89" s="4">
        <v>-3.1644222009594598</v>
      </c>
      <c r="S89" s="4">
        <v>-2.8676011816538902</v>
      </c>
      <c r="T89" s="4">
        <v>-1.8525491802554901</v>
      </c>
      <c r="U89" s="4">
        <v>-1.3118730207039599</v>
      </c>
      <c r="V89" s="4">
        <v>0</v>
      </c>
      <c r="W89" s="4">
        <v>0</v>
      </c>
      <c r="X89" s="4">
        <v>0</v>
      </c>
      <c r="Y89" s="4">
        <v>0</v>
      </c>
    </row>
    <row r="90" spans="1:25" x14ac:dyDescent="0.35">
      <c r="A90" s="1">
        <v>36495</v>
      </c>
      <c r="B90">
        <f t="shared" si="20"/>
        <v>-2.33545471608682</v>
      </c>
      <c r="C90">
        <f t="shared" si="11"/>
        <v>-2.7497558511692599</v>
      </c>
      <c r="D90">
        <f t="shared" si="12"/>
        <v>-1.4297631945923801</v>
      </c>
      <c r="E90">
        <f t="shared" si="13"/>
        <v>-0.67113363336828602</v>
      </c>
      <c r="F90">
        <f t="shared" si="14"/>
        <v>-1.6322710534448901</v>
      </c>
      <c r="G90">
        <f t="shared" si="15"/>
        <v>0.20250785885253</v>
      </c>
      <c r="H90" s="6">
        <f t="shared" si="16"/>
        <v>2</v>
      </c>
      <c r="I90">
        <f t="shared" si="21"/>
        <v>0</v>
      </c>
      <c r="J90">
        <f t="shared" si="17"/>
        <v>0</v>
      </c>
      <c r="K90">
        <f t="shared" si="18"/>
        <v>0</v>
      </c>
      <c r="L90">
        <f t="shared" si="19"/>
        <v>0</v>
      </c>
      <c r="O90" s="5">
        <v>944006400</v>
      </c>
      <c r="P90" s="4">
        <v>-2.33545471608682</v>
      </c>
      <c r="Q90" s="4">
        <v>-2.7497558511692599</v>
      </c>
      <c r="R90" s="4">
        <v>-1.4297631945923801</v>
      </c>
      <c r="S90" s="4">
        <v>-0.67113363336828602</v>
      </c>
      <c r="T90" s="4">
        <v>-1.6322710534448901</v>
      </c>
      <c r="U90" s="4">
        <v>0.20250785885253</v>
      </c>
      <c r="V90" s="4">
        <v>0</v>
      </c>
      <c r="W90" s="4">
        <v>0</v>
      </c>
      <c r="X90" s="4">
        <v>0</v>
      </c>
      <c r="Y90" s="4">
        <v>0</v>
      </c>
    </row>
    <row r="91" spans="1:25" x14ac:dyDescent="0.35">
      <c r="A91" s="1">
        <v>36586</v>
      </c>
      <c r="B91">
        <f t="shared" si="20"/>
        <v>-2.63636803141357</v>
      </c>
      <c r="C91">
        <f t="shared" si="11"/>
        <v>-2.5321369011016599</v>
      </c>
      <c r="D91">
        <f t="shared" si="12"/>
        <v>-1.99842023759411</v>
      </c>
      <c r="E91">
        <f t="shared" si="13"/>
        <v>-2.1738655205991</v>
      </c>
      <c r="F91">
        <f t="shared" si="14"/>
        <v>-1.7176709346754999</v>
      </c>
      <c r="G91">
        <f t="shared" si="15"/>
        <v>-0.28074930291859801</v>
      </c>
      <c r="H91" s="6">
        <f t="shared" si="16"/>
        <v>2</v>
      </c>
      <c r="I91">
        <f t="shared" si="21"/>
        <v>0</v>
      </c>
      <c r="J91">
        <f t="shared" si="17"/>
        <v>0</v>
      </c>
      <c r="K91">
        <f t="shared" si="18"/>
        <v>0</v>
      </c>
      <c r="L91">
        <f t="shared" si="19"/>
        <v>0</v>
      </c>
      <c r="O91" s="5">
        <v>951868800</v>
      </c>
      <c r="P91" s="4">
        <v>-2.63636803141357</v>
      </c>
      <c r="Q91" s="4">
        <v>-2.5321369011016599</v>
      </c>
      <c r="R91" s="4">
        <v>-1.99842023759411</v>
      </c>
      <c r="S91" s="4">
        <v>-2.1738655205991</v>
      </c>
      <c r="T91" s="4">
        <v>-1.7176709346754999</v>
      </c>
      <c r="U91" s="4">
        <v>-0.28074930291859801</v>
      </c>
      <c r="V91" s="4">
        <v>0</v>
      </c>
      <c r="W91" s="4">
        <v>0</v>
      </c>
      <c r="X91" s="4">
        <v>0</v>
      </c>
      <c r="Y91" s="4">
        <v>0</v>
      </c>
    </row>
    <row r="92" spans="1:25" x14ac:dyDescent="0.35">
      <c r="A92" s="1">
        <v>36678</v>
      </c>
      <c r="B92">
        <f t="shared" si="20"/>
        <v>-1.5228574217248201</v>
      </c>
      <c r="C92">
        <f t="shared" si="11"/>
        <v>-2.1434747892103001</v>
      </c>
      <c r="D92">
        <f t="shared" si="12"/>
        <v>-0.93782863701240005</v>
      </c>
      <c r="E92">
        <f t="shared" si="13"/>
        <v>-0.853382988100574</v>
      </c>
      <c r="F92">
        <f t="shared" si="14"/>
        <v>-1.7047584985618001</v>
      </c>
      <c r="G92">
        <f t="shared" si="15"/>
        <v>0.766929861549417</v>
      </c>
      <c r="H92" s="6">
        <f t="shared" si="16"/>
        <v>2</v>
      </c>
      <c r="I92">
        <f t="shared" si="21"/>
        <v>0</v>
      </c>
      <c r="J92">
        <f t="shared" si="17"/>
        <v>0</v>
      </c>
      <c r="K92">
        <f t="shared" si="18"/>
        <v>0</v>
      </c>
      <c r="L92">
        <f t="shared" si="19"/>
        <v>0</v>
      </c>
      <c r="O92" s="5">
        <v>959817600</v>
      </c>
      <c r="P92" s="4">
        <v>-1.5228574217248201</v>
      </c>
      <c r="Q92" s="4">
        <v>-2.1434747892103001</v>
      </c>
      <c r="R92" s="4">
        <v>-0.93782863701240005</v>
      </c>
      <c r="S92" s="4">
        <v>-0.853382988100574</v>
      </c>
      <c r="T92" s="4">
        <v>-1.7047584985618001</v>
      </c>
      <c r="U92" s="4">
        <v>0.766929861549417</v>
      </c>
      <c r="V92" s="4">
        <v>0</v>
      </c>
      <c r="W92" s="4">
        <v>0</v>
      </c>
      <c r="X92" s="4">
        <v>0</v>
      </c>
      <c r="Y92" s="4">
        <v>0</v>
      </c>
    </row>
    <row r="93" spans="1:25" x14ac:dyDescent="0.35">
      <c r="A93" s="1">
        <v>36770</v>
      </c>
      <c r="B93">
        <f t="shared" si="20"/>
        <v>3.7299413408506503E-2</v>
      </c>
      <c r="C93">
        <f t="shared" si="11"/>
        <v>-2.0166847931632299</v>
      </c>
      <c r="D93">
        <f t="shared" si="12"/>
        <v>0.29106609792600302</v>
      </c>
      <c r="E93">
        <f t="shared" si="13"/>
        <v>0.15118936817996001</v>
      </c>
      <c r="F93">
        <f t="shared" si="14"/>
        <v>-1.63724473138754</v>
      </c>
      <c r="G93">
        <f t="shared" si="15"/>
        <v>1.92831082931356</v>
      </c>
      <c r="H93" s="6">
        <f t="shared" si="16"/>
        <v>2</v>
      </c>
      <c r="I93">
        <f t="shared" si="21"/>
        <v>0</v>
      </c>
      <c r="J93">
        <f t="shared" si="17"/>
        <v>0</v>
      </c>
      <c r="K93">
        <f t="shared" si="18"/>
        <v>0</v>
      </c>
      <c r="L93">
        <f t="shared" si="19"/>
        <v>0</v>
      </c>
      <c r="O93" s="5">
        <v>967766400</v>
      </c>
      <c r="P93" s="4">
        <v>3.7299413408506503E-2</v>
      </c>
      <c r="Q93" s="4">
        <v>-2.0166847931632299</v>
      </c>
      <c r="R93" s="4">
        <v>0.29106609792600302</v>
      </c>
      <c r="S93" s="4">
        <v>0.15118936817996001</v>
      </c>
      <c r="T93" s="4">
        <v>-1.63724473138754</v>
      </c>
      <c r="U93" s="4">
        <v>1.92831082931356</v>
      </c>
      <c r="V93" s="4">
        <v>0</v>
      </c>
      <c r="W93" s="4">
        <v>0</v>
      </c>
      <c r="X93" s="4">
        <v>0</v>
      </c>
      <c r="Y93" s="4">
        <v>0</v>
      </c>
    </row>
    <row r="94" spans="1:25" x14ac:dyDescent="0.35">
      <c r="A94" s="1">
        <v>36861</v>
      </c>
      <c r="B94">
        <f t="shared" si="20"/>
        <v>0.38168502050241399</v>
      </c>
      <c r="C94">
        <f t="shared" si="11"/>
        <v>-1.85827959415043</v>
      </c>
      <c r="D94">
        <f t="shared" si="12"/>
        <v>0.33067564461849902</v>
      </c>
      <c r="E94">
        <f t="shared" si="13"/>
        <v>-6.2683334403878493E-2</v>
      </c>
      <c r="F94">
        <f t="shared" si="14"/>
        <v>-1.7498151442155401</v>
      </c>
      <c r="G94">
        <f t="shared" si="15"/>
        <v>2.08049078883406</v>
      </c>
      <c r="H94" s="6">
        <f t="shared" si="16"/>
        <v>2</v>
      </c>
      <c r="I94">
        <f t="shared" si="21"/>
        <v>0</v>
      </c>
      <c r="J94">
        <f t="shared" si="17"/>
        <v>0</v>
      </c>
      <c r="K94">
        <f t="shared" si="18"/>
        <v>0</v>
      </c>
      <c r="L94">
        <f t="shared" si="19"/>
        <v>0</v>
      </c>
      <c r="O94" s="5">
        <v>975628800</v>
      </c>
      <c r="P94" s="4">
        <v>0.38168502050241399</v>
      </c>
      <c r="Q94" s="4">
        <v>-1.85827959415043</v>
      </c>
      <c r="R94" s="4">
        <v>0.33067564461849902</v>
      </c>
      <c r="S94" s="4">
        <v>-6.2683334403878493E-2</v>
      </c>
      <c r="T94" s="4">
        <v>-1.7498151442155401</v>
      </c>
      <c r="U94" s="4">
        <v>2.08049078883406</v>
      </c>
      <c r="V94" s="4">
        <v>0</v>
      </c>
      <c r="W94" s="4">
        <v>0</v>
      </c>
      <c r="X94" s="4">
        <v>0</v>
      </c>
      <c r="Y94" s="4">
        <v>0</v>
      </c>
    </row>
    <row r="95" spans="1:25" x14ac:dyDescent="0.35">
      <c r="A95" s="1">
        <v>36951</v>
      </c>
      <c r="B95">
        <f t="shared" si="20"/>
        <v>1.43675928548106</v>
      </c>
      <c r="C95">
        <f t="shared" si="11"/>
        <v>-1.64985067581589</v>
      </c>
      <c r="D95">
        <f t="shared" si="12"/>
        <v>0.989129604621382</v>
      </c>
      <c r="E95">
        <f t="shared" si="13"/>
        <v>0.20176320796265301</v>
      </c>
      <c r="F95">
        <f t="shared" si="14"/>
        <v>-1.77225089886734</v>
      </c>
      <c r="G95">
        <f t="shared" si="15"/>
        <v>2.76138050348874</v>
      </c>
      <c r="H95" s="6">
        <f t="shared" si="16"/>
        <v>2</v>
      </c>
      <c r="I95">
        <f t="shared" si="21"/>
        <v>0</v>
      </c>
      <c r="J95">
        <f t="shared" si="17"/>
        <v>0</v>
      </c>
      <c r="K95">
        <f t="shared" si="18"/>
        <v>0</v>
      </c>
      <c r="L95">
        <f t="shared" si="19"/>
        <v>0</v>
      </c>
      <c r="O95" s="5">
        <v>983404800</v>
      </c>
      <c r="P95" s="4">
        <v>1.43675928548106</v>
      </c>
      <c r="Q95" s="4">
        <v>-1.64985067581589</v>
      </c>
      <c r="R95" s="4">
        <v>0.989129604621382</v>
      </c>
      <c r="S95" s="4">
        <v>0.20176320796265301</v>
      </c>
      <c r="T95" s="4">
        <v>-1.77225089886734</v>
      </c>
      <c r="U95" s="4">
        <v>2.76138050348874</v>
      </c>
      <c r="V95" s="4">
        <v>0</v>
      </c>
      <c r="W95" s="4">
        <v>0</v>
      </c>
      <c r="X95" s="4">
        <v>0</v>
      </c>
      <c r="Y95" s="4">
        <v>0</v>
      </c>
    </row>
    <row r="96" spans="1:25" x14ac:dyDescent="0.35">
      <c r="A96" s="1">
        <v>37043</v>
      </c>
      <c r="B96">
        <f t="shared" si="20"/>
        <v>2.82972980714599</v>
      </c>
      <c r="C96">
        <f t="shared" si="11"/>
        <v>-1.2041283809160901</v>
      </c>
      <c r="D96">
        <f t="shared" si="12"/>
        <v>2.03550085092871</v>
      </c>
      <c r="E96">
        <f t="shared" si="13"/>
        <v>0.69598262293881896</v>
      </c>
      <c r="F96">
        <f t="shared" si="14"/>
        <v>-1.60625519143533</v>
      </c>
      <c r="G96">
        <f t="shared" si="15"/>
        <v>3.6417560423640598</v>
      </c>
      <c r="H96" s="6">
        <f t="shared" si="16"/>
        <v>2</v>
      </c>
      <c r="I96">
        <f t="shared" si="21"/>
        <v>0.25929056473312201</v>
      </c>
      <c r="J96">
        <f t="shared" si="17"/>
        <v>0</v>
      </c>
      <c r="K96">
        <f t="shared" si="18"/>
        <v>1.1094015915223399E-2</v>
      </c>
      <c r="L96">
        <f t="shared" si="19"/>
        <v>0</v>
      </c>
      <c r="O96" s="5">
        <v>991353600</v>
      </c>
      <c r="P96" s="4">
        <v>2.82972980714599</v>
      </c>
      <c r="Q96" s="4">
        <v>-1.2041283809160901</v>
      </c>
      <c r="R96" s="4">
        <v>2.03550085092871</v>
      </c>
      <c r="S96" s="4">
        <v>0.69598262293881896</v>
      </c>
      <c r="T96" s="4">
        <v>-1.60625519143533</v>
      </c>
      <c r="U96" s="4">
        <v>3.6417560423640598</v>
      </c>
      <c r="V96" s="4">
        <v>0.25929056473312201</v>
      </c>
      <c r="W96" s="4">
        <v>0</v>
      </c>
      <c r="X96" s="4">
        <v>1.1094015915223399E-2</v>
      </c>
      <c r="Y96" s="4">
        <v>0</v>
      </c>
    </row>
    <row r="97" spans="1:25" x14ac:dyDescent="0.35">
      <c r="A97" s="1">
        <v>37135</v>
      </c>
      <c r="B97">
        <f t="shared" si="20"/>
        <v>3.0295584868183401</v>
      </c>
      <c r="C97">
        <f t="shared" si="11"/>
        <v>-1.40614513505508</v>
      </c>
      <c r="D97">
        <f t="shared" si="12"/>
        <v>1.9011789895411699</v>
      </c>
      <c r="E97">
        <f t="shared" si="13"/>
        <v>0.34129793025496702</v>
      </c>
      <c r="F97">
        <f t="shared" si="14"/>
        <v>-1.5516696647137</v>
      </c>
      <c r="G97">
        <f t="shared" si="15"/>
        <v>3.4528486542548902</v>
      </c>
      <c r="H97" s="6">
        <f t="shared" si="16"/>
        <v>2</v>
      </c>
      <c r="I97">
        <f t="shared" si="21"/>
        <v>0.32173702713073199</v>
      </c>
      <c r="J97">
        <f t="shared" si="17"/>
        <v>0</v>
      </c>
      <c r="K97">
        <f t="shared" si="18"/>
        <v>0</v>
      </c>
      <c r="L97">
        <f t="shared" si="19"/>
        <v>0</v>
      </c>
      <c r="O97" s="5">
        <v>999302400</v>
      </c>
      <c r="P97" s="4">
        <v>3.0295584868183401</v>
      </c>
      <c r="Q97" s="4">
        <v>-1.40614513505508</v>
      </c>
      <c r="R97" s="4">
        <v>1.9011789895411699</v>
      </c>
      <c r="S97" s="4">
        <v>0.34129793025496702</v>
      </c>
      <c r="T97" s="4">
        <v>-1.5516696647137</v>
      </c>
      <c r="U97" s="4">
        <v>3.4528486542548902</v>
      </c>
      <c r="V97" s="4">
        <v>0.32173702713073199</v>
      </c>
      <c r="W97" s="4">
        <v>0</v>
      </c>
      <c r="X97" s="4">
        <v>0</v>
      </c>
      <c r="Y97" s="4">
        <v>0</v>
      </c>
    </row>
    <row r="98" spans="1:25" x14ac:dyDescent="0.35">
      <c r="A98" s="1">
        <v>37226</v>
      </c>
      <c r="B98">
        <f t="shared" si="20"/>
        <v>3.3010718662501199</v>
      </c>
      <c r="C98">
        <f t="shared" si="11"/>
        <v>-1.5754978368619701</v>
      </c>
      <c r="D98">
        <f t="shared" si="12"/>
        <v>1.7551839985075199</v>
      </c>
      <c r="E98">
        <f t="shared" si="13"/>
        <v>-0.17685432293060999</v>
      </c>
      <c r="F98">
        <f t="shared" si="14"/>
        <v>-1.4726396424535499</v>
      </c>
      <c r="G98">
        <f t="shared" si="15"/>
        <v>3.2278236409610801</v>
      </c>
      <c r="H98" s="6">
        <f t="shared" si="16"/>
        <v>2</v>
      </c>
      <c r="I98">
        <f t="shared" si="21"/>
        <v>0.40658495820316398</v>
      </c>
      <c r="J98">
        <f t="shared" si="17"/>
        <v>0</v>
      </c>
      <c r="K98">
        <f t="shared" si="18"/>
        <v>0</v>
      </c>
      <c r="L98">
        <f t="shared" si="19"/>
        <v>0</v>
      </c>
      <c r="O98" s="5">
        <v>1007164800</v>
      </c>
      <c r="P98" s="4">
        <v>3.3010718662501199</v>
      </c>
      <c r="Q98" s="4">
        <v>-1.5754978368619701</v>
      </c>
      <c r="R98" s="4">
        <v>1.7551839985075199</v>
      </c>
      <c r="S98" s="4">
        <v>-0.17685432293060999</v>
      </c>
      <c r="T98" s="4">
        <v>-1.4726396424535499</v>
      </c>
      <c r="U98" s="4">
        <v>3.2278236409610801</v>
      </c>
      <c r="V98" s="4">
        <v>0.40658495820316398</v>
      </c>
      <c r="W98" s="4">
        <v>0</v>
      </c>
      <c r="X98" s="4">
        <v>0</v>
      </c>
      <c r="Y98" s="4">
        <v>0</v>
      </c>
    </row>
    <row r="99" spans="1:25" x14ac:dyDescent="0.35">
      <c r="A99" s="1">
        <v>37316</v>
      </c>
      <c r="B99">
        <f t="shared" si="20"/>
        <v>3.2143931932788998</v>
      </c>
      <c r="C99">
        <f t="shared" si="11"/>
        <v>-2.0906463464963299</v>
      </c>
      <c r="D99">
        <f t="shared" si="12"/>
        <v>1.1512344991091501</v>
      </c>
      <c r="E99">
        <f t="shared" si="13"/>
        <v>-0.67111476045833895</v>
      </c>
      <c r="F99">
        <f t="shared" si="14"/>
        <v>-1.39499052684953</v>
      </c>
      <c r="G99">
        <f t="shared" si="15"/>
        <v>2.5462250259586998</v>
      </c>
      <c r="H99" s="6">
        <f t="shared" si="16"/>
        <v>2</v>
      </c>
      <c r="I99">
        <f t="shared" si="21"/>
        <v>0.37949787289965498</v>
      </c>
      <c r="J99">
        <f t="shared" si="17"/>
        <v>0</v>
      </c>
      <c r="K99">
        <f t="shared" si="18"/>
        <v>0</v>
      </c>
      <c r="L99">
        <f t="shared" si="19"/>
        <v>0</v>
      </c>
      <c r="O99" s="5">
        <v>1014940800</v>
      </c>
      <c r="P99" s="4">
        <v>3.2143931932788998</v>
      </c>
      <c r="Q99" s="4">
        <v>-2.0906463464963299</v>
      </c>
      <c r="R99" s="4">
        <v>1.1512344991091501</v>
      </c>
      <c r="S99" s="4">
        <v>-0.67111476045833895</v>
      </c>
      <c r="T99" s="4">
        <v>-1.39499052684953</v>
      </c>
      <c r="U99" s="4">
        <v>2.5462250259586998</v>
      </c>
      <c r="V99" s="4">
        <v>0.37949787289965498</v>
      </c>
      <c r="W99" s="4">
        <v>0</v>
      </c>
      <c r="X99" s="4">
        <v>0</v>
      </c>
      <c r="Y99" s="4">
        <v>0</v>
      </c>
    </row>
    <row r="100" spans="1:25" x14ac:dyDescent="0.35">
      <c r="A100" s="1">
        <v>37408</v>
      </c>
      <c r="B100">
        <f t="shared" si="20"/>
        <v>2.4072032987444398</v>
      </c>
      <c r="C100">
        <f t="shared" si="11"/>
        <v>-1.8614938292913501</v>
      </c>
      <c r="D100">
        <f t="shared" si="12"/>
        <v>0.61773998131795904</v>
      </c>
      <c r="E100">
        <f t="shared" si="13"/>
        <v>-0.77129411339627196</v>
      </c>
      <c r="F100">
        <f t="shared" si="14"/>
        <v>-1.1962466491675401</v>
      </c>
      <c r="G100">
        <f t="shared" si="15"/>
        <v>1.8139866304855199</v>
      </c>
      <c r="H100" s="6">
        <f t="shared" si="16"/>
        <v>2</v>
      </c>
      <c r="I100">
        <f t="shared" si="21"/>
        <v>0.127251030857636</v>
      </c>
      <c r="J100">
        <f t="shared" si="17"/>
        <v>0</v>
      </c>
      <c r="K100">
        <f t="shared" si="18"/>
        <v>0</v>
      </c>
      <c r="L100">
        <f t="shared" si="19"/>
        <v>0</v>
      </c>
      <c r="O100" s="5">
        <v>1022889600</v>
      </c>
      <c r="P100" s="4">
        <v>2.4072032987444398</v>
      </c>
      <c r="Q100" s="4">
        <v>-1.8614938292913501</v>
      </c>
      <c r="R100" s="4">
        <v>0.61773998131795904</v>
      </c>
      <c r="S100" s="4">
        <v>-0.77129411339627196</v>
      </c>
      <c r="T100" s="4">
        <v>-1.1962466491675401</v>
      </c>
      <c r="U100" s="4">
        <v>1.8139866304855199</v>
      </c>
      <c r="V100" s="4">
        <v>0.127251030857636</v>
      </c>
      <c r="W100" s="4">
        <v>0</v>
      </c>
      <c r="X100" s="4">
        <v>0</v>
      </c>
      <c r="Y100" s="4">
        <v>0</v>
      </c>
    </row>
    <row r="101" spans="1:25" x14ac:dyDescent="0.35">
      <c r="A101" s="1">
        <v>37500</v>
      </c>
      <c r="B101">
        <f t="shared" si="20"/>
        <v>1.4110981172410599</v>
      </c>
      <c r="C101">
        <f t="shared" si="11"/>
        <v>-1.88388888377485</v>
      </c>
      <c r="D101">
        <f t="shared" si="12"/>
        <v>0.26807265847924999</v>
      </c>
      <c r="E101">
        <f t="shared" si="13"/>
        <v>-1.4674598336762901</v>
      </c>
      <c r="F101">
        <f t="shared" si="14"/>
        <v>-0.99765011502861001</v>
      </c>
      <c r="G101">
        <f t="shared" si="15"/>
        <v>1.26572277350787</v>
      </c>
      <c r="H101" s="6">
        <f t="shared" si="16"/>
        <v>2</v>
      </c>
      <c r="I101">
        <f t="shared" si="21"/>
        <v>0</v>
      </c>
      <c r="J101">
        <f t="shared" si="17"/>
        <v>0</v>
      </c>
      <c r="K101">
        <f t="shared" si="18"/>
        <v>0</v>
      </c>
      <c r="L101">
        <f t="shared" si="19"/>
        <v>0</v>
      </c>
      <c r="O101" s="5">
        <v>1030838400</v>
      </c>
      <c r="P101" s="4">
        <v>1.4110981172410599</v>
      </c>
      <c r="Q101" s="4">
        <v>-1.88388888377485</v>
      </c>
      <c r="R101" s="4">
        <v>0.26807265847924999</v>
      </c>
      <c r="S101" s="4">
        <v>-1.4674598336762901</v>
      </c>
      <c r="T101" s="4">
        <v>-0.99765011502861001</v>
      </c>
      <c r="U101" s="4">
        <v>1.26572277350787</v>
      </c>
      <c r="V101" s="4">
        <v>0</v>
      </c>
      <c r="W101" s="4">
        <v>0</v>
      </c>
      <c r="X101" s="4">
        <v>0</v>
      </c>
      <c r="Y101" s="4">
        <v>0</v>
      </c>
    </row>
    <row r="102" spans="1:25" x14ac:dyDescent="0.35">
      <c r="A102" s="1">
        <v>37591</v>
      </c>
      <c r="B102">
        <f t="shared" si="20"/>
        <v>1.1936416262164899</v>
      </c>
      <c r="C102">
        <f t="shared" si="11"/>
        <v>-2.2270274568794899</v>
      </c>
      <c r="D102">
        <f t="shared" si="12"/>
        <v>2.2119144983209099E-3</v>
      </c>
      <c r="E102">
        <f t="shared" si="13"/>
        <v>-1.4715001234207401</v>
      </c>
      <c r="F102">
        <f t="shared" si="14"/>
        <v>-0.90485094587188397</v>
      </c>
      <c r="G102">
        <f t="shared" si="15"/>
        <v>0.90706286037022199</v>
      </c>
      <c r="H102" s="6">
        <f t="shared" si="16"/>
        <v>2</v>
      </c>
      <c r="I102">
        <f t="shared" si="21"/>
        <v>0</v>
      </c>
      <c r="J102">
        <f t="shared" si="17"/>
        <v>0</v>
      </c>
      <c r="K102">
        <f t="shared" si="18"/>
        <v>0</v>
      </c>
      <c r="L102">
        <f t="shared" si="19"/>
        <v>0</v>
      </c>
      <c r="O102" s="5">
        <v>1038700800</v>
      </c>
      <c r="P102" s="4">
        <v>1.1936416262164899</v>
      </c>
      <c r="Q102" s="4">
        <v>-2.2270274568794899</v>
      </c>
      <c r="R102" s="4">
        <v>2.2119144983209099E-3</v>
      </c>
      <c r="S102" s="4">
        <v>-1.4715001234207401</v>
      </c>
      <c r="T102" s="4">
        <v>-0.90485094587188397</v>
      </c>
      <c r="U102" s="4">
        <v>0.90706286037022199</v>
      </c>
      <c r="V102" s="4">
        <v>0</v>
      </c>
      <c r="W102" s="4">
        <v>0</v>
      </c>
      <c r="X102" s="4">
        <v>0</v>
      </c>
      <c r="Y102" s="4">
        <v>0</v>
      </c>
    </row>
    <row r="103" spans="1:25" x14ac:dyDescent="0.35">
      <c r="A103" s="1">
        <v>37681</v>
      </c>
      <c r="B103">
        <f t="shared" si="20"/>
        <v>1.4574080170521</v>
      </c>
      <c r="C103">
        <f t="shared" si="11"/>
        <v>-2.6094940559692601</v>
      </c>
      <c r="D103">
        <f t="shared" si="12"/>
        <v>-7.8928355467144704E-2</v>
      </c>
      <c r="E103">
        <f t="shared" si="13"/>
        <v>-2.1885941788591099</v>
      </c>
      <c r="F103">
        <f t="shared" si="14"/>
        <v>-0.88517718923191302</v>
      </c>
      <c r="G103">
        <f t="shared" si="15"/>
        <v>0.80624883376478595</v>
      </c>
      <c r="H103" s="6">
        <f t="shared" si="16"/>
        <v>2</v>
      </c>
      <c r="I103">
        <f t="shared" si="21"/>
        <v>0</v>
      </c>
      <c r="J103">
        <f t="shared" si="17"/>
        <v>0</v>
      </c>
      <c r="K103">
        <f t="shared" si="18"/>
        <v>0</v>
      </c>
      <c r="L103">
        <f t="shared" si="19"/>
        <v>0</v>
      </c>
      <c r="O103" s="5">
        <v>1046476800</v>
      </c>
      <c r="P103" s="4">
        <v>1.4574080170521</v>
      </c>
      <c r="Q103" s="4">
        <v>-2.6094940559692601</v>
      </c>
      <c r="R103" s="4">
        <v>-7.8928355467144704E-2</v>
      </c>
      <c r="S103" s="4">
        <v>-2.1885941788591099</v>
      </c>
      <c r="T103" s="4">
        <v>-0.88517718923191302</v>
      </c>
      <c r="U103" s="4">
        <v>0.80624883376478595</v>
      </c>
      <c r="V103" s="4">
        <v>0</v>
      </c>
      <c r="W103" s="4">
        <v>0</v>
      </c>
      <c r="X103" s="4">
        <v>0</v>
      </c>
      <c r="Y103" s="4">
        <v>0</v>
      </c>
    </row>
    <row r="104" spans="1:25" x14ac:dyDescent="0.35">
      <c r="A104" s="1">
        <v>37773</v>
      </c>
      <c r="B104">
        <f t="shared" si="20"/>
        <v>1.23955158373686</v>
      </c>
      <c r="C104">
        <f t="shared" si="11"/>
        <v>-2.5699739972376898</v>
      </c>
      <c r="D104">
        <f t="shared" si="12"/>
        <v>-0.286747810390589</v>
      </c>
      <c r="E104">
        <f t="shared" si="13"/>
        <v>-2.8847474360288099</v>
      </c>
      <c r="F104">
        <f t="shared" si="14"/>
        <v>-0.64412363256581195</v>
      </c>
      <c r="G104">
        <f t="shared" si="15"/>
        <v>0.35737582217524</v>
      </c>
      <c r="H104" s="6">
        <f t="shared" si="16"/>
        <v>2</v>
      </c>
      <c r="I104">
        <f t="shared" si="21"/>
        <v>0</v>
      </c>
      <c r="J104">
        <f t="shared" si="17"/>
        <v>0</v>
      </c>
      <c r="K104">
        <f t="shared" si="18"/>
        <v>0</v>
      </c>
      <c r="L104">
        <f t="shared" si="19"/>
        <v>0</v>
      </c>
      <c r="O104" s="5">
        <v>1054425600</v>
      </c>
      <c r="P104" s="4">
        <v>1.23955158373686</v>
      </c>
      <c r="Q104" s="4">
        <v>-2.5699739972376898</v>
      </c>
      <c r="R104" s="4">
        <v>-0.286747810390589</v>
      </c>
      <c r="S104" s="4">
        <v>-2.8847474360288099</v>
      </c>
      <c r="T104" s="4">
        <v>-0.64412363256581195</v>
      </c>
      <c r="U104" s="4">
        <v>0.35737582217524</v>
      </c>
      <c r="V104" s="4">
        <v>0</v>
      </c>
      <c r="W104" s="4">
        <v>0</v>
      </c>
      <c r="X104" s="4">
        <v>0</v>
      </c>
      <c r="Y104" s="4">
        <v>0</v>
      </c>
    </row>
    <row r="105" spans="1:25" x14ac:dyDescent="0.35">
      <c r="A105" s="1">
        <v>37865</v>
      </c>
      <c r="B105">
        <f t="shared" si="20"/>
        <v>0.203270193801358</v>
      </c>
      <c r="C105">
        <f t="shared" si="11"/>
        <v>-2.7059823118182398</v>
      </c>
      <c r="D105">
        <f t="shared" si="12"/>
        <v>-0.920533431895591</v>
      </c>
      <c r="E105">
        <f t="shared" si="13"/>
        <v>-3.64485001216751</v>
      </c>
      <c r="F105">
        <f t="shared" si="14"/>
        <v>-0.19221983545799001</v>
      </c>
      <c r="G105">
        <f t="shared" si="15"/>
        <v>-0.72831359643759097</v>
      </c>
      <c r="H105" s="6">
        <f t="shared" si="16"/>
        <v>2</v>
      </c>
      <c r="I105">
        <f t="shared" si="21"/>
        <v>0</v>
      </c>
      <c r="J105">
        <f t="shared" si="17"/>
        <v>0</v>
      </c>
      <c r="K105">
        <f t="shared" si="18"/>
        <v>0</v>
      </c>
      <c r="L105">
        <f t="shared" si="19"/>
        <v>0</v>
      </c>
      <c r="O105" s="5">
        <v>1062374400</v>
      </c>
      <c r="P105" s="4">
        <v>0.203270193801358</v>
      </c>
      <c r="Q105" s="4">
        <v>-2.7059823118182398</v>
      </c>
      <c r="R105" s="4">
        <v>-0.920533431895591</v>
      </c>
      <c r="S105" s="4">
        <v>-3.64485001216751</v>
      </c>
      <c r="T105" s="4">
        <v>-0.19221983545799001</v>
      </c>
      <c r="U105" s="4">
        <v>-0.72831359643759097</v>
      </c>
      <c r="V105" s="4">
        <v>0</v>
      </c>
      <c r="W105" s="4">
        <v>0</v>
      </c>
      <c r="X105" s="4">
        <v>0</v>
      </c>
      <c r="Y105" s="4">
        <v>0</v>
      </c>
    </row>
    <row r="106" spans="1:25" x14ac:dyDescent="0.35">
      <c r="A106" s="1">
        <v>37956</v>
      </c>
      <c r="B106">
        <f t="shared" si="20"/>
        <v>-1.54427689201538</v>
      </c>
      <c r="C106">
        <f t="shared" si="11"/>
        <v>-2.8363735195119202</v>
      </c>
      <c r="D106">
        <f t="shared" si="12"/>
        <v>-2.63497157116409</v>
      </c>
      <c r="E106">
        <f t="shared" si="13"/>
        <v>-5.3811413570646103</v>
      </c>
      <c r="F106">
        <f t="shared" si="14"/>
        <v>9.3516165640109006E-2</v>
      </c>
      <c r="G106">
        <f t="shared" si="15"/>
        <v>-2.72848773680419</v>
      </c>
      <c r="H106" s="6">
        <f t="shared" si="16"/>
        <v>2</v>
      </c>
      <c r="I106">
        <f t="shared" si="21"/>
        <v>0</v>
      </c>
      <c r="J106">
        <f t="shared" si="17"/>
        <v>0</v>
      </c>
      <c r="K106">
        <f t="shared" si="18"/>
        <v>0</v>
      </c>
      <c r="L106">
        <f t="shared" si="19"/>
        <v>0</v>
      </c>
      <c r="O106" s="5">
        <v>1070236800</v>
      </c>
      <c r="P106" s="4">
        <v>-1.54427689201538</v>
      </c>
      <c r="Q106" s="4">
        <v>-2.8363735195119202</v>
      </c>
      <c r="R106" s="4">
        <v>-2.63497157116409</v>
      </c>
      <c r="S106" s="4">
        <v>-5.3811413570646103</v>
      </c>
      <c r="T106" s="4">
        <v>9.3516165640109006E-2</v>
      </c>
      <c r="U106" s="4">
        <v>-2.72848773680419</v>
      </c>
      <c r="V106" s="4">
        <v>0</v>
      </c>
      <c r="W106" s="4">
        <v>0</v>
      </c>
      <c r="X106" s="4">
        <v>0</v>
      </c>
      <c r="Y106" s="4">
        <v>0</v>
      </c>
    </row>
    <row r="107" spans="1:25" x14ac:dyDescent="0.35">
      <c r="A107" s="1">
        <v>38047</v>
      </c>
      <c r="B107">
        <f t="shared" si="20"/>
        <v>-1.64041310448369</v>
      </c>
      <c r="C107">
        <f t="shared" si="11"/>
        <v>-2.9884922022302902</v>
      </c>
      <c r="D107">
        <f t="shared" si="12"/>
        <v>-2.91486938868877</v>
      </c>
      <c r="E107">
        <f t="shared" si="13"/>
        <v>-6.0449698434578902</v>
      </c>
      <c r="F107">
        <f t="shared" si="14"/>
        <v>0.19818682523293199</v>
      </c>
      <c r="G107">
        <f t="shared" si="15"/>
        <v>-3.1130562139216802</v>
      </c>
      <c r="H107" s="6">
        <f t="shared" si="16"/>
        <v>2</v>
      </c>
      <c r="I107">
        <f t="shared" si="21"/>
        <v>0</v>
      </c>
      <c r="J107">
        <f t="shared" si="17"/>
        <v>0</v>
      </c>
      <c r="K107">
        <f t="shared" si="18"/>
        <v>0</v>
      </c>
      <c r="L107">
        <f t="shared" si="19"/>
        <v>0</v>
      </c>
      <c r="O107" s="5">
        <v>1078099200</v>
      </c>
      <c r="P107" s="4">
        <v>-1.64041310448369</v>
      </c>
      <c r="Q107" s="4">
        <v>-2.9884922022302902</v>
      </c>
      <c r="R107" s="4">
        <v>-2.91486938868877</v>
      </c>
      <c r="S107" s="4">
        <v>-6.0449698434578902</v>
      </c>
      <c r="T107" s="4">
        <v>0.19818682523293199</v>
      </c>
      <c r="U107" s="4">
        <v>-3.1130562139216802</v>
      </c>
      <c r="V107" s="4">
        <v>0</v>
      </c>
      <c r="W107" s="4">
        <v>0</v>
      </c>
      <c r="X107" s="4">
        <v>0</v>
      </c>
      <c r="Y107" s="4">
        <v>0</v>
      </c>
    </row>
    <row r="108" spans="1:25" x14ac:dyDescent="0.35">
      <c r="A108" s="1">
        <v>38139</v>
      </c>
      <c r="B108">
        <f t="shared" si="20"/>
        <v>-0.52024204383734896</v>
      </c>
      <c r="C108">
        <f t="shared" si="11"/>
        <v>-2.07721445699684</v>
      </c>
      <c r="D108">
        <f t="shared" si="12"/>
        <v>-1.70151366264921</v>
      </c>
      <c r="E108">
        <f t="shared" si="13"/>
        <v>-4.6368217491965096</v>
      </c>
      <c r="F108">
        <f t="shared" si="14"/>
        <v>0.87067332695093202</v>
      </c>
      <c r="G108">
        <f t="shared" si="15"/>
        <v>-2.5721869896001301</v>
      </c>
      <c r="H108" s="6">
        <f t="shared" si="16"/>
        <v>2</v>
      </c>
      <c r="I108">
        <f t="shared" si="21"/>
        <v>0</v>
      </c>
      <c r="J108">
        <f t="shared" si="17"/>
        <v>0</v>
      </c>
      <c r="K108">
        <f t="shared" si="18"/>
        <v>0</v>
      </c>
      <c r="L108">
        <f t="shared" si="19"/>
        <v>0</v>
      </c>
      <c r="O108" s="5">
        <v>1086048000</v>
      </c>
      <c r="P108" s="4">
        <v>-0.52024204383734896</v>
      </c>
      <c r="Q108" s="4">
        <v>-2.07721445699684</v>
      </c>
      <c r="R108" s="4">
        <v>-1.70151366264921</v>
      </c>
      <c r="S108" s="4">
        <v>-4.6368217491965096</v>
      </c>
      <c r="T108" s="4">
        <v>0.87067332695093202</v>
      </c>
      <c r="U108" s="4">
        <v>-2.5721869896001301</v>
      </c>
      <c r="V108" s="4">
        <v>0</v>
      </c>
      <c r="W108" s="4">
        <v>0</v>
      </c>
      <c r="X108" s="4">
        <v>0</v>
      </c>
      <c r="Y108" s="4">
        <v>0</v>
      </c>
    </row>
    <row r="109" spans="1:25" x14ac:dyDescent="0.35">
      <c r="A109" s="1">
        <v>38231</v>
      </c>
      <c r="B109">
        <f t="shared" si="20"/>
        <v>-0.26111402622201302</v>
      </c>
      <c r="C109">
        <f t="shared" si="11"/>
        <v>-1.67948551069329</v>
      </c>
      <c r="D109">
        <f t="shared" si="12"/>
        <v>-1.68756822524434</v>
      </c>
      <c r="E109">
        <f t="shared" si="13"/>
        <v>-4.4185203976963097</v>
      </c>
      <c r="F109">
        <f t="shared" si="14"/>
        <v>1.0968566548334999</v>
      </c>
      <c r="G109">
        <f t="shared" si="15"/>
        <v>-2.7844248800778399</v>
      </c>
      <c r="H109" s="6">
        <f t="shared" si="16"/>
        <v>2</v>
      </c>
      <c r="I109">
        <f t="shared" si="21"/>
        <v>0</v>
      </c>
      <c r="J109">
        <f t="shared" si="17"/>
        <v>0</v>
      </c>
      <c r="K109">
        <f t="shared" si="18"/>
        <v>0</v>
      </c>
      <c r="L109">
        <f t="shared" si="19"/>
        <v>0</v>
      </c>
      <c r="O109" s="5">
        <v>1093996800</v>
      </c>
      <c r="P109" s="4">
        <v>-0.26111402622201302</v>
      </c>
      <c r="Q109" s="4">
        <v>-1.67948551069329</v>
      </c>
      <c r="R109" s="4">
        <v>-1.68756822524434</v>
      </c>
      <c r="S109" s="4">
        <v>-4.4185203976963097</v>
      </c>
      <c r="T109" s="4">
        <v>1.0968566548334999</v>
      </c>
      <c r="U109" s="4">
        <v>-2.7844248800778399</v>
      </c>
      <c r="V109" s="4">
        <v>0</v>
      </c>
      <c r="W109" s="4">
        <v>0</v>
      </c>
      <c r="X109" s="4">
        <v>0</v>
      </c>
      <c r="Y109" s="4">
        <v>0</v>
      </c>
    </row>
    <row r="110" spans="1:25" x14ac:dyDescent="0.35">
      <c r="A110" s="1">
        <v>38322</v>
      </c>
      <c r="B110">
        <f t="shared" si="20"/>
        <v>-0.40860511492739299</v>
      </c>
      <c r="C110">
        <f t="shared" si="11"/>
        <v>-1.4829961353116401</v>
      </c>
      <c r="D110">
        <f t="shared" si="12"/>
        <v>-1.9086280813463501</v>
      </c>
      <c r="E110">
        <f t="shared" si="13"/>
        <v>-4.7246218755733604</v>
      </c>
      <c r="F110">
        <f t="shared" si="14"/>
        <v>1.18584194583507</v>
      </c>
      <c r="G110">
        <f t="shared" si="15"/>
        <v>-3.0944700271814001</v>
      </c>
      <c r="H110" s="6">
        <f t="shared" si="16"/>
        <v>2</v>
      </c>
      <c r="I110">
        <f t="shared" si="21"/>
        <v>0</v>
      </c>
      <c r="J110">
        <f t="shared" si="17"/>
        <v>0</v>
      </c>
      <c r="K110">
        <f t="shared" si="18"/>
        <v>0</v>
      </c>
      <c r="L110">
        <f t="shared" si="19"/>
        <v>0</v>
      </c>
      <c r="O110" s="5">
        <v>1101859200</v>
      </c>
      <c r="P110" s="4">
        <v>-0.40860511492739299</v>
      </c>
      <c r="Q110" s="4">
        <v>-1.4829961353116401</v>
      </c>
      <c r="R110" s="4">
        <v>-1.9086280813463501</v>
      </c>
      <c r="S110" s="4">
        <v>-4.7246218755733604</v>
      </c>
      <c r="T110" s="4">
        <v>1.18584194583507</v>
      </c>
      <c r="U110" s="4">
        <v>-3.0944700271814001</v>
      </c>
      <c r="V110" s="4">
        <v>0</v>
      </c>
      <c r="W110" s="4">
        <v>0</v>
      </c>
      <c r="X110" s="4">
        <v>0</v>
      </c>
      <c r="Y110" s="4">
        <v>0</v>
      </c>
    </row>
    <row r="111" spans="1:25" x14ac:dyDescent="0.35">
      <c r="A111" s="1">
        <v>38412</v>
      </c>
      <c r="B111">
        <f t="shared" si="20"/>
        <v>-0.82928017806529697</v>
      </c>
      <c r="C111">
        <f t="shared" si="11"/>
        <v>-1.3737727329729601</v>
      </c>
      <c r="D111">
        <f t="shared" si="12"/>
        <v>-2.1846374308840999</v>
      </c>
      <c r="E111">
        <f t="shared" si="13"/>
        <v>-5.1213286756601404</v>
      </c>
      <c r="F111">
        <f t="shared" si="14"/>
        <v>1.3737030223715401</v>
      </c>
      <c r="G111">
        <f t="shared" si="15"/>
        <v>-3.55834045325562</v>
      </c>
      <c r="H111" s="6">
        <f t="shared" si="16"/>
        <v>2</v>
      </c>
      <c r="I111">
        <f t="shared" si="21"/>
        <v>0</v>
      </c>
      <c r="J111">
        <f t="shared" si="17"/>
        <v>0</v>
      </c>
      <c r="K111">
        <f t="shared" si="18"/>
        <v>0</v>
      </c>
      <c r="L111">
        <f t="shared" si="19"/>
        <v>0</v>
      </c>
      <c r="O111" s="5">
        <v>1109635200</v>
      </c>
      <c r="P111" s="4">
        <v>-0.82928017806529697</v>
      </c>
      <c r="Q111" s="4">
        <v>-1.3737727329729601</v>
      </c>
      <c r="R111" s="4">
        <v>-2.1846374308840999</v>
      </c>
      <c r="S111" s="4">
        <v>-5.1213286756601404</v>
      </c>
      <c r="T111" s="4">
        <v>1.3737030223715401</v>
      </c>
      <c r="U111" s="4">
        <v>-3.55834045325562</v>
      </c>
      <c r="V111" s="4">
        <v>0</v>
      </c>
      <c r="W111" s="4">
        <v>0</v>
      </c>
      <c r="X111" s="4">
        <v>0</v>
      </c>
      <c r="Y111" s="4">
        <v>0</v>
      </c>
    </row>
    <row r="112" spans="1:25" x14ac:dyDescent="0.35">
      <c r="A112" s="1">
        <v>38504</v>
      </c>
      <c r="B112">
        <f t="shared" si="20"/>
        <v>0.80489337663571803</v>
      </c>
      <c r="C112">
        <f t="shared" si="11"/>
        <v>-0.15441610925826199</v>
      </c>
      <c r="D112">
        <f t="shared" si="12"/>
        <v>-0.32535927338649201</v>
      </c>
      <c r="E112">
        <f t="shared" si="13"/>
        <v>-3.2460736424341099</v>
      </c>
      <c r="F112">
        <f t="shared" si="14"/>
        <v>2.0318717361336001</v>
      </c>
      <c r="G112">
        <f t="shared" si="15"/>
        <v>-2.3572310095200799</v>
      </c>
      <c r="H112" s="6">
        <f t="shared" si="16"/>
        <v>2</v>
      </c>
      <c r="I112">
        <f t="shared" si="21"/>
        <v>0</v>
      </c>
      <c r="J112">
        <f t="shared" si="17"/>
        <v>0</v>
      </c>
      <c r="K112">
        <f t="shared" si="18"/>
        <v>0</v>
      </c>
      <c r="L112">
        <f t="shared" si="19"/>
        <v>0</v>
      </c>
      <c r="O112" s="5">
        <v>1117584000</v>
      </c>
      <c r="P112" s="4">
        <v>0.80489337663571803</v>
      </c>
      <c r="Q112" s="4">
        <v>-0.15441610925826199</v>
      </c>
      <c r="R112" s="4">
        <v>-0.32535927338649201</v>
      </c>
      <c r="S112" s="4">
        <v>-3.2460736424341099</v>
      </c>
      <c r="T112" s="4">
        <v>2.0318717361336001</v>
      </c>
      <c r="U112" s="4">
        <v>-2.3572310095200799</v>
      </c>
      <c r="V112" s="4">
        <v>0</v>
      </c>
      <c r="W112" s="4">
        <v>0</v>
      </c>
      <c r="X112" s="4">
        <v>0</v>
      </c>
      <c r="Y112" s="4">
        <v>0</v>
      </c>
    </row>
    <row r="113" spans="1:25" x14ac:dyDescent="0.35">
      <c r="A113" s="1">
        <v>38596</v>
      </c>
      <c r="B113">
        <f t="shared" si="20"/>
        <v>0.47760625452601302</v>
      </c>
      <c r="C113">
        <f t="shared" si="11"/>
        <v>0.23646720923673001</v>
      </c>
      <c r="D113">
        <f t="shared" si="12"/>
        <v>-0.29806636861261898</v>
      </c>
      <c r="E113">
        <f t="shared" si="13"/>
        <v>-3.43253488138564</v>
      </c>
      <c r="F113">
        <f t="shared" si="14"/>
        <v>2.39481631184095</v>
      </c>
      <c r="G113">
        <f t="shared" si="15"/>
        <v>-2.6928826804535602</v>
      </c>
      <c r="H113" s="6">
        <f t="shared" si="16"/>
        <v>2</v>
      </c>
      <c r="I113">
        <f t="shared" si="21"/>
        <v>0</v>
      </c>
      <c r="J113">
        <f t="shared" si="17"/>
        <v>0</v>
      </c>
      <c r="K113">
        <f t="shared" si="18"/>
        <v>0</v>
      </c>
      <c r="L113">
        <f t="shared" si="19"/>
        <v>0</v>
      </c>
      <c r="O113" s="5">
        <v>1125532800</v>
      </c>
      <c r="P113" s="4">
        <v>0.47760625452601302</v>
      </c>
      <c r="Q113" s="4">
        <v>0.23646720923673001</v>
      </c>
      <c r="R113" s="4">
        <v>-0.29806636861261898</v>
      </c>
      <c r="S113" s="4">
        <v>-3.43253488138564</v>
      </c>
      <c r="T113" s="4">
        <v>2.39481631184095</v>
      </c>
      <c r="U113" s="4">
        <v>-2.6928826804535602</v>
      </c>
      <c r="V113" s="4">
        <v>0</v>
      </c>
      <c r="W113" s="4">
        <v>0</v>
      </c>
      <c r="X113" s="4">
        <v>0</v>
      </c>
      <c r="Y113" s="4">
        <v>0</v>
      </c>
    </row>
    <row r="114" spans="1:25" x14ac:dyDescent="0.35">
      <c r="A114" s="1">
        <v>38687</v>
      </c>
      <c r="B114">
        <f t="shared" si="20"/>
        <v>1.262269321917</v>
      </c>
      <c r="C114">
        <f t="shared" si="11"/>
        <v>1.30946198044008</v>
      </c>
      <c r="D114">
        <f t="shared" si="12"/>
        <v>0.30923593822779899</v>
      </c>
      <c r="E114">
        <f t="shared" si="13"/>
        <v>-2.8264516871813199</v>
      </c>
      <c r="F114">
        <f t="shared" si="14"/>
        <v>2.94786227768815</v>
      </c>
      <c r="G114">
        <f t="shared" si="15"/>
        <v>-2.63862633946033</v>
      </c>
      <c r="H114" s="6">
        <f t="shared" si="16"/>
        <v>2</v>
      </c>
      <c r="I114">
        <f t="shared" si="21"/>
        <v>0</v>
      </c>
      <c r="J114">
        <f t="shared" si="17"/>
        <v>0</v>
      </c>
      <c r="K114">
        <f t="shared" si="18"/>
        <v>0</v>
      </c>
      <c r="L114">
        <f t="shared" si="19"/>
        <v>0</v>
      </c>
      <c r="O114" s="5">
        <v>1133395200</v>
      </c>
      <c r="P114" s="4">
        <v>1.262269321917</v>
      </c>
      <c r="Q114" s="4">
        <v>1.30946198044008</v>
      </c>
      <c r="R114" s="4">
        <v>0.30923593822779899</v>
      </c>
      <c r="S114" s="4">
        <v>-2.8264516871813199</v>
      </c>
      <c r="T114" s="4">
        <v>2.94786227768815</v>
      </c>
      <c r="U114" s="4">
        <v>-2.63862633946033</v>
      </c>
      <c r="V114" s="4">
        <v>0</v>
      </c>
      <c r="W114" s="4">
        <v>0</v>
      </c>
      <c r="X114" s="4">
        <v>0</v>
      </c>
      <c r="Y114" s="4">
        <v>0</v>
      </c>
    </row>
    <row r="115" spans="1:25" x14ac:dyDescent="0.35">
      <c r="A115" s="1">
        <v>38777</v>
      </c>
      <c r="B115">
        <f t="shared" si="20"/>
        <v>1.4066191085572699</v>
      </c>
      <c r="C115">
        <f t="shared" si="11"/>
        <v>2.1833737393561701</v>
      </c>
      <c r="D115">
        <f t="shared" si="12"/>
        <v>0.83150534283071398</v>
      </c>
      <c r="E115">
        <f t="shared" si="13"/>
        <v>-2.1126830160013599</v>
      </c>
      <c r="F115">
        <f t="shared" si="14"/>
        <v>3.11109463846722</v>
      </c>
      <c r="G115">
        <f t="shared" si="15"/>
        <v>-2.2795892956364998</v>
      </c>
      <c r="H115" s="6">
        <f t="shared" si="16"/>
        <v>2</v>
      </c>
      <c r="I115">
        <f t="shared" si="21"/>
        <v>0</v>
      </c>
      <c r="J115">
        <f t="shared" si="17"/>
        <v>5.7304293548804397E-2</v>
      </c>
      <c r="K115">
        <f t="shared" si="18"/>
        <v>0</v>
      </c>
      <c r="L115">
        <f t="shared" si="19"/>
        <v>0</v>
      </c>
      <c r="O115" s="5">
        <v>1141171200</v>
      </c>
      <c r="P115" s="4">
        <v>1.4066191085572699</v>
      </c>
      <c r="Q115" s="4">
        <v>2.1833737393561701</v>
      </c>
      <c r="R115" s="4">
        <v>0.83150534283071398</v>
      </c>
      <c r="S115" s="4">
        <v>-2.1126830160013599</v>
      </c>
      <c r="T115" s="4">
        <v>3.11109463846722</v>
      </c>
      <c r="U115" s="4">
        <v>-2.2795892956364998</v>
      </c>
      <c r="V115" s="4">
        <v>0</v>
      </c>
      <c r="W115" s="4">
        <v>5.7304293548804397E-2</v>
      </c>
      <c r="X115" s="4">
        <v>0</v>
      </c>
      <c r="Y115" s="4">
        <v>0</v>
      </c>
    </row>
    <row r="116" spans="1:25" x14ac:dyDescent="0.35">
      <c r="A116" s="1">
        <v>38869</v>
      </c>
      <c r="B116">
        <f t="shared" si="20"/>
        <v>2.43136975249777</v>
      </c>
      <c r="C116">
        <f t="shared" si="11"/>
        <v>3.3831697645387901</v>
      </c>
      <c r="D116">
        <f t="shared" si="12"/>
        <v>1.85578572662492</v>
      </c>
      <c r="E116">
        <f t="shared" si="13"/>
        <v>-1.3836960680894199</v>
      </c>
      <c r="F116">
        <f t="shared" si="14"/>
        <v>3.6663908907555598</v>
      </c>
      <c r="G116">
        <f t="shared" si="15"/>
        <v>-1.81060516413063</v>
      </c>
      <c r="H116" s="6">
        <f t="shared" si="16"/>
        <v>2</v>
      </c>
      <c r="I116">
        <f t="shared" si="21"/>
        <v>0.13480304765555301</v>
      </c>
      <c r="J116">
        <f t="shared" si="17"/>
        <v>0.43224055141837098</v>
      </c>
      <c r="K116">
        <f t="shared" si="18"/>
        <v>0</v>
      </c>
      <c r="L116">
        <f t="shared" si="19"/>
        <v>0</v>
      </c>
      <c r="O116" s="5">
        <v>1149120000</v>
      </c>
      <c r="P116" s="4">
        <v>2.43136975249777</v>
      </c>
      <c r="Q116" s="4">
        <v>3.3831697645387901</v>
      </c>
      <c r="R116" s="4">
        <v>1.85578572662492</v>
      </c>
      <c r="S116" s="4">
        <v>-1.3836960680894199</v>
      </c>
      <c r="T116" s="4">
        <v>3.6663908907555598</v>
      </c>
      <c r="U116" s="4">
        <v>-1.81060516413063</v>
      </c>
      <c r="V116" s="4">
        <v>0.13480304765555301</v>
      </c>
      <c r="W116" s="4">
        <v>0.43224055141837098</v>
      </c>
      <c r="X116" s="4">
        <v>0</v>
      </c>
      <c r="Y116" s="4">
        <v>0</v>
      </c>
    </row>
    <row r="117" spans="1:25" x14ac:dyDescent="0.35">
      <c r="A117" s="1">
        <v>38961</v>
      </c>
      <c r="B117">
        <f t="shared" si="20"/>
        <v>2.33120539821094</v>
      </c>
      <c r="C117">
        <f t="shared" si="11"/>
        <v>3.25017075858214</v>
      </c>
      <c r="D117">
        <f t="shared" si="12"/>
        <v>1.6369760885250599</v>
      </c>
      <c r="E117">
        <f t="shared" si="13"/>
        <v>-1.52766745910068</v>
      </c>
      <c r="F117">
        <f t="shared" si="14"/>
        <v>3.7979264896553899</v>
      </c>
      <c r="G117">
        <f t="shared" si="15"/>
        <v>-2.1609504011302998</v>
      </c>
      <c r="H117" s="6">
        <f t="shared" si="16"/>
        <v>2</v>
      </c>
      <c r="I117">
        <f t="shared" si="21"/>
        <v>0.10350168694091801</v>
      </c>
      <c r="J117">
        <f t="shared" si="17"/>
        <v>0.39067836205691903</v>
      </c>
      <c r="K117">
        <f t="shared" si="18"/>
        <v>0</v>
      </c>
      <c r="L117">
        <f t="shared" si="19"/>
        <v>0</v>
      </c>
      <c r="O117" s="5">
        <v>1157068800</v>
      </c>
      <c r="P117" s="4">
        <v>2.33120539821094</v>
      </c>
      <c r="Q117" s="4">
        <v>3.25017075858214</v>
      </c>
      <c r="R117" s="4">
        <v>1.6369760885250599</v>
      </c>
      <c r="S117" s="4">
        <v>-1.52766745910068</v>
      </c>
      <c r="T117" s="4">
        <v>3.7979264896553899</v>
      </c>
      <c r="U117" s="4">
        <v>-2.1609504011302998</v>
      </c>
      <c r="V117" s="4">
        <v>0.10350168694091801</v>
      </c>
      <c r="W117" s="4">
        <v>0.39067836205691903</v>
      </c>
      <c r="X117" s="4">
        <v>0</v>
      </c>
      <c r="Y117" s="4">
        <v>0</v>
      </c>
    </row>
    <row r="118" spans="1:25" x14ac:dyDescent="0.35">
      <c r="A118" s="1">
        <v>39052</v>
      </c>
      <c r="B118">
        <f t="shared" si="20"/>
        <v>2.8835677521829601</v>
      </c>
      <c r="C118">
        <f t="shared" si="11"/>
        <v>3.7052195509526502</v>
      </c>
      <c r="D118">
        <f t="shared" si="12"/>
        <v>1.93553214814698</v>
      </c>
      <c r="E118">
        <f t="shared" si="13"/>
        <v>-0.65015077625509698</v>
      </c>
      <c r="F118">
        <f t="shared" si="14"/>
        <v>3.9455998278957001</v>
      </c>
      <c r="G118">
        <f t="shared" si="15"/>
        <v>-2.0100676797486998</v>
      </c>
      <c r="H118" s="6">
        <f t="shared" si="16"/>
        <v>2</v>
      </c>
      <c r="I118">
        <f t="shared" si="21"/>
        <v>0.27611492255717501</v>
      </c>
      <c r="J118">
        <f t="shared" si="17"/>
        <v>0.53288110967270197</v>
      </c>
      <c r="K118">
        <f t="shared" si="18"/>
        <v>0</v>
      </c>
      <c r="L118">
        <f t="shared" si="19"/>
        <v>0</v>
      </c>
      <c r="O118" s="5">
        <v>1164931200</v>
      </c>
      <c r="P118" s="4">
        <v>2.8835677521829601</v>
      </c>
      <c r="Q118" s="4">
        <v>3.7052195509526502</v>
      </c>
      <c r="R118" s="4">
        <v>1.93553214814698</v>
      </c>
      <c r="S118" s="4">
        <v>-0.65015077625509698</v>
      </c>
      <c r="T118" s="4">
        <v>3.9455998278957001</v>
      </c>
      <c r="U118" s="4">
        <v>-2.0100676797486998</v>
      </c>
      <c r="V118" s="4">
        <v>0.27611492255717501</v>
      </c>
      <c r="W118" s="4">
        <v>0.53288110967270197</v>
      </c>
      <c r="X118" s="4">
        <v>0</v>
      </c>
      <c r="Y118" s="4">
        <v>0</v>
      </c>
    </row>
    <row r="119" spans="1:25" x14ac:dyDescent="0.35">
      <c r="A119" s="1">
        <v>39142</v>
      </c>
      <c r="B119">
        <f t="shared" si="20"/>
        <v>2.8927662840638502</v>
      </c>
      <c r="C119">
        <f t="shared" si="11"/>
        <v>3.8539845590444899</v>
      </c>
      <c r="D119">
        <f t="shared" si="12"/>
        <v>2.1477190977553802</v>
      </c>
      <c r="E119">
        <f t="shared" si="13"/>
        <v>-0.36804027290298502</v>
      </c>
      <c r="F119">
        <f t="shared" si="14"/>
        <v>3.9700046802709399</v>
      </c>
      <c r="G119">
        <f t="shared" si="15"/>
        <v>-1.82228558251554</v>
      </c>
      <c r="H119" s="6">
        <f t="shared" si="16"/>
        <v>2</v>
      </c>
      <c r="I119">
        <f t="shared" si="21"/>
        <v>0.27898946376995498</v>
      </c>
      <c r="J119">
        <f t="shared" si="17"/>
        <v>0.57937017470140295</v>
      </c>
      <c r="K119">
        <f t="shared" si="18"/>
        <v>4.6162218048557697E-2</v>
      </c>
      <c r="L119">
        <f t="shared" si="19"/>
        <v>0</v>
      </c>
      <c r="O119" s="5">
        <v>1172707200</v>
      </c>
      <c r="P119" s="4">
        <v>2.8927662840638502</v>
      </c>
      <c r="Q119" s="4">
        <v>3.8539845590444899</v>
      </c>
      <c r="R119" s="4">
        <v>2.1477190977553802</v>
      </c>
      <c r="S119" s="4">
        <v>-0.36804027290298502</v>
      </c>
      <c r="T119" s="4">
        <v>3.9700046802709399</v>
      </c>
      <c r="U119" s="4">
        <v>-1.82228558251554</v>
      </c>
      <c r="V119" s="4">
        <v>0.27898946376995498</v>
      </c>
      <c r="W119" s="4">
        <v>0.57937017470140295</v>
      </c>
      <c r="X119" s="4">
        <v>4.6162218048557697E-2</v>
      </c>
      <c r="Y119" s="4">
        <v>0</v>
      </c>
    </row>
    <row r="120" spans="1:25" x14ac:dyDescent="0.35">
      <c r="A120" s="1">
        <v>39234</v>
      </c>
      <c r="B120">
        <f t="shared" si="20"/>
        <v>4.4310282996320201</v>
      </c>
      <c r="C120">
        <f t="shared" si="11"/>
        <v>4.7927081763282997</v>
      </c>
      <c r="D120">
        <f t="shared" si="12"/>
        <v>3.5118670433006098</v>
      </c>
      <c r="E120">
        <f t="shared" si="13"/>
        <v>0.93996899936101996</v>
      </c>
      <c r="F120">
        <f t="shared" si="14"/>
        <v>4.3510824361615503</v>
      </c>
      <c r="G120">
        <f t="shared" si="15"/>
        <v>-0.83921539286093805</v>
      </c>
      <c r="H120" s="6">
        <f t="shared" si="16"/>
        <v>2</v>
      </c>
      <c r="I120">
        <f t="shared" si="21"/>
        <v>0.75969634363500504</v>
      </c>
      <c r="J120">
        <f t="shared" si="17"/>
        <v>0.87272130510259305</v>
      </c>
      <c r="K120">
        <f t="shared" si="18"/>
        <v>0.47245845103144002</v>
      </c>
      <c r="L120">
        <f t="shared" si="19"/>
        <v>0</v>
      </c>
      <c r="O120" s="5">
        <v>1180656000</v>
      </c>
      <c r="P120" s="4">
        <v>4.4310282996320201</v>
      </c>
      <c r="Q120" s="4">
        <v>4.7927081763282997</v>
      </c>
      <c r="R120" s="4">
        <v>3.5118670433006098</v>
      </c>
      <c r="S120" s="4">
        <v>0.93996899936101996</v>
      </c>
      <c r="T120" s="4">
        <v>4.3510824361615503</v>
      </c>
      <c r="U120" s="4">
        <v>-0.83921539286093805</v>
      </c>
      <c r="V120" s="4">
        <v>0.75969634363500504</v>
      </c>
      <c r="W120" s="4">
        <v>0.87272130510259305</v>
      </c>
      <c r="X120" s="4">
        <v>0.47245845103144002</v>
      </c>
      <c r="Y120" s="4">
        <v>0</v>
      </c>
    </row>
    <row r="121" spans="1:25" x14ac:dyDescent="0.35">
      <c r="A121" s="1">
        <v>39326</v>
      </c>
      <c r="B121">
        <f t="shared" si="20"/>
        <v>4.6181527494487096</v>
      </c>
      <c r="C121">
        <f t="shared" si="11"/>
        <v>5.6154705285303201</v>
      </c>
      <c r="D121">
        <f t="shared" si="12"/>
        <v>3.3478966097593701</v>
      </c>
      <c r="E121">
        <f t="shared" si="13"/>
        <v>1.74874722732636</v>
      </c>
      <c r="F121">
        <f t="shared" si="14"/>
        <v>4.5376349136796996</v>
      </c>
      <c r="G121">
        <f t="shared" si="15"/>
        <v>-1.18973830392031</v>
      </c>
      <c r="H121" s="6">
        <f t="shared" si="16"/>
        <v>2</v>
      </c>
      <c r="I121">
        <f t="shared" si="21"/>
        <v>0.81817273420271996</v>
      </c>
      <c r="J121">
        <f t="shared" si="17"/>
        <v>1.1298345401657199</v>
      </c>
      <c r="K121">
        <f t="shared" si="18"/>
        <v>0.42121769054980301</v>
      </c>
      <c r="L121">
        <f t="shared" si="19"/>
        <v>0</v>
      </c>
      <c r="O121" s="5">
        <v>1188604800</v>
      </c>
      <c r="P121" s="4">
        <v>4.6181527494487096</v>
      </c>
      <c r="Q121" s="4">
        <v>5.6154705285303201</v>
      </c>
      <c r="R121" s="4">
        <v>3.3478966097593701</v>
      </c>
      <c r="S121" s="4">
        <v>1.74874722732636</v>
      </c>
      <c r="T121" s="4">
        <v>4.5376349136796996</v>
      </c>
      <c r="U121" s="4">
        <v>-1.18973830392031</v>
      </c>
      <c r="V121" s="4">
        <v>0.81817273420271996</v>
      </c>
      <c r="W121" s="4">
        <v>1.1298345401657199</v>
      </c>
      <c r="X121" s="4">
        <v>0.42121769054980301</v>
      </c>
      <c r="Y121" s="4">
        <v>0</v>
      </c>
    </row>
    <row r="122" spans="1:25" x14ac:dyDescent="0.35">
      <c r="A122" s="1">
        <v>39417</v>
      </c>
      <c r="B122">
        <f t="shared" si="20"/>
        <v>3.9352935604394799</v>
      </c>
      <c r="C122">
        <f t="shared" si="11"/>
        <v>6.4988365413237004</v>
      </c>
      <c r="D122">
        <f t="shared" si="12"/>
        <v>2.74981787708768</v>
      </c>
      <c r="E122">
        <f t="shared" si="13"/>
        <v>1.7645439477628999</v>
      </c>
      <c r="F122">
        <f t="shared" si="14"/>
        <v>4.7231756725218803</v>
      </c>
      <c r="G122">
        <f t="shared" si="15"/>
        <v>-1.9733577954341801</v>
      </c>
      <c r="H122" s="6">
        <f t="shared" si="16"/>
        <v>2</v>
      </c>
      <c r="I122">
        <f t="shared" si="21"/>
        <v>0.60477923763733699</v>
      </c>
      <c r="J122">
        <f t="shared" si="17"/>
        <v>1.40588641916366</v>
      </c>
      <c r="K122">
        <f t="shared" si="18"/>
        <v>0.234318086589899</v>
      </c>
      <c r="L122">
        <f t="shared" si="19"/>
        <v>0</v>
      </c>
      <c r="O122" s="5">
        <v>1196467200</v>
      </c>
      <c r="P122" s="4">
        <v>3.9352935604394799</v>
      </c>
      <c r="Q122" s="4">
        <v>6.4988365413237004</v>
      </c>
      <c r="R122" s="4">
        <v>2.74981787708768</v>
      </c>
      <c r="S122" s="4">
        <v>1.7645439477628999</v>
      </c>
      <c r="T122" s="4">
        <v>4.7231756725218803</v>
      </c>
      <c r="U122" s="4">
        <v>-1.9733577954341801</v>
      </c>
      <c r="V122" s="4">
        <v>0.60477923763733699</v>
      </c>
      <c r="W122" s="4">
        <v>1.40588641916366</v>
      </c>
      <c r="X122" s="4">
        <v>0.234318086589899</v>
      </c>
      <c r="Y122" s="4">
        <v>0</v>
      </c>
    </row>
    <row r="123" spans="1:25" x14ac:dyDescent="0.35">
      <c r="A123" s="1">
        <v>39508</v>
      </c>
      <c r="B123">
        <f t="shared" si="20"/>
        <v>3.9201645401163798</v>
      </c>
      <c r="C123">
        <f t="shared" si="11"/>
        <v>6.9869529562924297</v>
      </c>
      <c r="D123">
        <f t="shared" si="12"/>
        <v>2.9449952564652602</v>
      </c>
      <c r="E123">
        <f t="shared" si="13"/>
        <v>1.86733864317311</v>
      </c>
      <c r="F123">
        <f t="shared" si="14"/>
        <v>4.5628342175874703</v>
      </c>
      <c r="G123">
        <f t="shared" si="15"/>
        <v>-1.6178389611221999</v>
      </c>
      <c r="H123" s="6">
        <f t="shared" si="16"/>
        <v>2</v>
      </c>
      <c r="I123">
        <f t="shared" si="21"/>
        <v>0.60005141878636903</v>
      </c>
      <c r="J123">
        <f t="shared" si="17"/>
        <v>1.5584227988413799</v>
      </c>
      <c r="K123">
        <f t="shared" si="18"/>
        <v>0.29531101764539303</v>
      </c>
      <c r="L123">
        <f t="shared" si="19"/>
        <v>0</v>
      </c>
      <c r="O123" s="5">
        <v>1204329600</v>
      </c>
      <c r="P123" s="4">
        <v>3.9201645401163798</v>
      </c>
      <c r="Q123" s="4">
        <v>6.9869529562924297</v>
      </c>
      <c r="R123" s="4">
        <v>2.9449952564652602</v>
      </c>
      <c r="S123" s="4">
        <v>1.86733864317311</v>
      </c>
      <c r="T123" s="4">
        <v>4.5628342175874703</v>
      </c>
      <c r="U123" s="4">
        <v>-1.6178389611221999</v>
      </c>
      <c r="V123" s="4">
        <v>0.60005141878636903</v>
      </c>
      <c r="W123" s="4">
        <v>1.5584227988413799</v>
      </c>
      <c r="X123" s="4">
        <v>0.29531101764539303</v>
      </c>
      <c r="Y123" s="4">
        <v>0</v>
      </c>
    </row>
    <row r="124" spans="1:25" x14ac:dyDescent="0.35">
      <c r="A124" s="1">
        <v>39600</v>
      </c>
      <c r="B124">
        <f t="shared" si="20"/>
        <v>5.9308470503599899</v>
      </c>
      <c r="C124">
        <f t="shared" si="11"/>
        <v>7.7033742956045801</v>
      </c>
      <c r="D124">
        <f t="shared" si="12"/>
        <v>4.1716536925019501</v>
      </c>
      <c r="E124">
        <f t="shared" si="13"/>
        <v>3.0214798394982201</v>
      </c>
      <c r="F124">
        <f t="shared" si="14"/>
        <v>4.6767479620776102</v>
      </c>
      <c r="G124">
        <f t="shared" si="15"/>
        <v>-0.50509426957565695</v>
      </c>
      <c r="H124" s="6">
        <f t="shared" si="16"/>
        <v>2</v>
      </c>
      <c r="I124">
        <f t="shared" si="21"/>
        <v>1.2283897032375</v>
      </c>
      <c r="J124">
        <f t="shared" si="17"/>
        <v>1.7823044673764299</v>
      </c>
      <c r="K124">
        <f t="shared" si="18"/>
        <v>0.67864177890685995</v>
      </c>
      <c r="L124">
        <f t="shared" si="19"/>
        <v>0.31921244984319502</v>
      </c>
      <c r="O124" s="5">
        <v>1212278400</v>
      </c>
      <c r="P124" s="4">
        <v>5.9308470503599899</v>
      </c>
      <c r="Q124" s="4">
        <v>7.7033742956045801</v>
      </c>
      <c r="R124" s="4">
        <v>4.1716536925019501</v>
      </c>
      <c r="S124" s="4">
        <v>3.0214798394982201</v>
      </c>
      <c r="T124" s="4">
        <v>4.6767479620776102</v>
      </c>
      <c r="U124" s="4">
        <v>-0.50509426957565695</v>
      </c>
      <c r="V124" s="4">
        <v>1.2283897032375</v>
      </c>
      <c r="W124" s="4">
        <v>1.7823044673764299</v>
      </c>
      <c r="X124" s="4">
        <v>0.67864177890685995</v>
      </c>
      <c r="Y124" s="4">
        <v>0.31921244984319502</v>
      </c>
    </row>
    <row r="125" spans="1:25" x14ac:dyDescent="0.35">
      <c r="A125" s="1">
        <v>39692</v>
      </c>
      <c r="B125">
        <f t="shared" si="20"/>
        <v>7.3560569341283797</v>
      </c>
      <c r="C125">
        <f t="shared" si="11"/>
        <v>8.2616587131122792</v>
      </c>
      <c r="D125">
        <f t="shared" si="12"/>
        <v>5.1064858128161896</v>
      </c>
      <c r="E125">
        <f t="shared" si="13"/>
        <v>3.7870335419933601</v>
      </c>
      <c r="F125">
        <f t="shared" si="14"/>
        <v>4.8890045347072499</v>
      </c>
      <c r="G125">
        <f t="shared" si="15"/>
        <v>0.21748127810895501</v>
      </c>
      <c r="H125" s="6">
        <f t="shared" si="16"/>
        <v>2</v>
      </c>
      <c r="I125">
        <f t="shared" si="21"/>
        <v>1.6737677919151199</v>
      </c>
      <c r="J125">
        <f t="shared" si="17"/>
        <v>1.9567683478475899</v>
      </c>
      <c r="K125">
        <f t="shared" si="18"/>
        <v>0.97077681650506098</v>
      </c>
      <c r="L125">
        <f t="shared" si="19"/>
        <v>0.55844798187292699</v>
      </c>
      <c r="O125" s="5">
        <v>1220227200</v>
      </c>
      <c r="P125" s="4">
        <v>7.3560569341283797</v>
      </c>
      <c r="Q125" s="4">
        <v>8.2616587131122792</v>
      </c>
      <c r="R125" s="4">
        <v>5.1064858128161896</v>
      </c>
      <c r="S125" s="4">
        <v>3.7870335419933601</v>
      </c>
      <c r="T125" s="4">
        <v>4.8890045347072499</v>
      </c>
      <c r="U125" s="4">
        <v>0.21748127810895501</v>
      </c>
      <c r="V125" s="4">
        <v>1.6737677919151199</v>
      </c>
      <c r="W125" s="4">
        <v>1.9567683478475899</v>
      </c>
      <c r="X125" s="4">
        <v>0.97077681650506098</v>
      </c>
      <c r="Y125" s="4">
        <v>0.55844798187292699</v>
      </c>
    </row>
    <row r="126" spans="1:25" x14ac:dyDescent="0.35">
      <c r="A126" s="1">
        <v>39783</v>
      </c>
      <c r="B126">
        <f t="shared" si="20"/>
        <v>7.4127942146924202</v>
      </c>
      <c r="C126">
        <f t="shared" si="11"/>
        <v>8.9909000208383798</v>
      </c>
      <c r="D126">
        <f t="shared" si="12"/>
        <v>5.9684179849376404</v>
      </c>
      <c r="E126">
        <f t="shared" si="13"/>
        <v>4.0884725473777603</v>
      </c>
      <c r="F126">
        <f t="shared" si="14"/>
        <v>5.0090615513530299</v>
      </c>
      <c r="G126">
        <f t="shared" si="15"/>
        <v>0.95935643358461298</v>
      </c>
      <c r="H126" s="6">
        <f t="shared" si="16"/>
        <v>2</v>
      </c>
      <c r="I126">
        <f t="shared" si="21"/>
        <v>1.6914981920913801</v>
      </c>
      <c r="J126">
        <f t="shared" si="17"/>
        <v>2.1846562565119898</v>
      </c>
      <c r="K126">
        <f t="shared" si="18"/>
        <v>1.24013062029301</v>
      </c>
      <c r="L126">
        <f t="shared" si="19"/>
        <v>0.652647671055548</v>
      </c>
      <c r="O126" s="5">
        <v>1228089600</v>
      </c>
      <c r="P126" s="4">
        <v>7.4127942146924202</v>
      </c>
      <c r="Q126" s="4">
        <v>8.9909000208383798</v>
      </c>
      <c r="R126" s="4">
        <v>5.9684179849376404</v>
      </c>
      <c r="S126" s="4">
        <v>4.0884725473777603</v>
      </c>
      <c r="T126" s="4">
        <v>5.0090615513530299</v>
      </c>
      <c r="U126" s="4">
        <v>0.95935643358461298</v>
      </c>
      <c r="V126" s="4">
        <v>1.6914981920913801</v>
      </c>
      <c r="W126" s="4">
        <v>2.1846562565119898</v>
      </c>
      <c r="X126" s="4">
        <v>1.24013062029301</v>
      </c>
      <c r="Y126" s="4">
        <v>0.652647671055548</v>
      </c>
    </row>
    <row r="127" spans="1:25" x14ac:dyDescent="0.35">
      <c r="A127" s="1">
        <v>39873</v>
      </c>
      <c r="B127">
        <f t="shared" si="20"/>
        <v>8.7914905629588098</v>
      </c>
      <c r="C127">
        <f t="shared" si="11"/>
        <v>9.6337022465585402</v>
      </c>
      <c r="D127">
        <f t="shared" si="12"/>
        <v>6.9112675287882803</v>
      </c>
      <c r="E127">
        <f t="shared" si="13"/>
        <v>5.1511145286222799</v>
      </c>
      <c r="F127">
        <f t="shared" si="14"/>
        <v>5.4909849529271204</v>
      </c>
      <c r="G127">
        <f t="shared" si="15"/>
        <v>1.4202825758611799</v>
      </c>
      <c r="H127" s="6">
        <f t="shared" si="16"/>
        <v>2</v>
      </c>
      <c r="I127">
        <f t="shared" si="21"/>
        <v>2.1223408009246301</v>
      </c>
      <c r="J127">
        <f t="shared" si="17"/>
        <v>2.3855319520495399</v>
      </c>
      <c r="K127">
        <f t="shared" si="18"/>
        <v>1.53477110274634</v>
      </c>
      <c r="L127">
        <f t="shared" si="19"/>
        <v>0.98472329019446403</v>
      </c>
      <c r="O127" s="5">
        <v>1235865600</v>
      </c>
      <c r="P127" s="4">
        <v>8.7914905629588098</v>
      </c>
      <c r="Q127" s="4">
        <v>9.6337022465585402</v>
      </c>
      <c r="R127" s="4">
        <v>6.9112675287882803</v>
      </c>
      <c r="S127" s="4">
        <v>5.1511145286222799</v>
      </c>
      <c r="T127" s="4">
        <v>5.4909849529271204</v>
      </c>
      <c r="U127" s="4">
        <v>1.4202825758611799</v>
      </c>
      <c r="V127" s="4">
        <v>2.1223408009246301</v>
      </c>
      <c r="W127" s="4">
        <v>2.3855319520495399</v>
      </c>
      <c r="X127" s="4">
        <v>1.53477110274634</v>
      </c>
      <c r="Y127" s="4">
        <v>0.98472329019446403</v>
      </c>
    </row>
    <row r="128" spans="1:25" x14ac:dyDescent="0.35">
      <c r="A128" s="1">
        <v>39965</v>
      </c>
      <c r="B128">
        <f t="shared" si="20"/>
        <v>9.7187600093448907</v>
      </c>
      <c r="C128">
        <f t="shared" si="11"/>
        <v>9.3881993655403697</v>
      </c>
      <c r="D128">
        <f t="shared" si="12"/>
        <v>8.5042702885581996</v>
      </c>
      <c r="E128">
        <f t="shared" si="13"/>
        <v>5.8717024872690704</v>
      </c>
      <c r="F128">
        <f t="shared" si="14"/>
        <v>5.6360902636575601</v>
      </c>
      <c r="G128">
        <f t="shared" si="15"/>
        <v>2.8681800249006502</v>
      </c>
      <c r="H128" s="6">
        <f t="shared" si="16"/>
        <v>2</v>
      </c>
      <c r="I128">
        <f t="shared" si="21"/>
        <v>2.4121125029202801</v>
      </c>
      <c r="J128">
        <f t="shared" si="17"/>
        <v>2.3088123017313702</v>
      </c>
      <c r="K128">
        <f t="shared" si="18"/>
        <v>2.0325844651744398</v>
      </c>
      <c r="L128">
        <f t="shared" si="19"/>
        <v>1.2099070272715799</v>
      </c>
      <c r="O128" s="5">
        <v>1243814400</v>
      </c>
      <c r="P128" s="4">
        <v>9.7187600093448907</v>
      </c>
      <c r="Q128" s="4">
        <v>9.3881993655403697</v>
      </c>
      <c r="R128" s="4">
        <v>8.5042702885581996</v>
      </c>
      <c r="S128" s="4">
        <v>5.8717024872690704</v>
      </c>
      <c r="T128" s="4">
        <v>5.6360902636575601</v>
      </c>
      <c r="U128" s="4">
        <v>2.8681800249006502</v>
      </c>
      <c r="V128" s="4">
        <v>2.4121125029202801</v>
      </c>
      <c r="W128" s="4">
        <v>2.3088123017313702</v>
      </c>
      <c r="X128" s="4">
        <v>2.0325844651744398</v>
      </c>
      <c r="Y128" s="4">
        <v>1.2099070272715799</v>
      </c>
    </row>
    <row r="129" spans="1:25" x14ac:dyDescent="0.35">
      <c r="A129" s="1">
        <v>40057</v>
      </c>
      <c r="B129">
        <f t="shared" si="20"/>
        <v>10.090130515810101</v>
      </c>
      <c r="C129">
        <f t="shared" si="11"/>
        <v>9.1538771994058994</v>
      </c>
      <c r="D129">
        <f t="shared" si="12"/>
        <v>9.4623162030247308</v>
      </c>
      <c r="E129">
        <f t="shared" si="13"/>
        <v>6.7504833128696999</v>
      </c>
      <c r="F129">
        <f t="shared" si="14"/>
        <v>5.9293736912320396</v>
      </c>
      <c r="G129">
        <f t="shared" si="15"/>
        <v>3.5329425117927</v>
      </c>
      <c r="H129" s="6">
        <f t="shared" si="16"/>
        <v>2</v>
      </c>
      <c r="I129">
        <f t="shared" si="21"/>
        <v>2.5</v>
      </c>
      <c r="J129">
        <f t="shared" si="17"/>
        <v>2.2355866248143399</v>
      </c>
      <c r="K129">
        <f t="shared" si="18"/>
        <v>2.3319738134452299</v>
      </c>
      <c r="L129">
        <f t="shared" si="19"/>
        <v>1.48452603527178</v>
      </c>
      <c r="O129" s="5">
        <v>1251763200</v>
      </c>
      <c r="P129" s="4">
        <v>10.090130515810101</v>
      </c>
      <c r="Q129" s="4">
        <v>9.1538771994058994</v>
      </c>
      <c r="R129" s="4">
        <v>9.4623162030247308</v>
      </c>
      <c r="S129" s="4">
        <v>6.7504833128696999</v>
      </c>
      <c r="T129" s="4">
        <v>5.9293736912320396</v>
      </c>
      <c r="U129" s="4">
        <v>3.5329425117927</v>
      </c>
      <c r="V129" s="4">
        <v>2.5</v>
      </c>
      <c r="W129" s="4">
        <v>2.2355866248143399</v>
      </c>
      <c r="X129" s="4">
        <v>2.3319738134452299</v>
      </c>
      <c r="Y129" s="4">
        <v>1.48452603527178</v>
      </c>
    </row>
    <row r="130" spans="1:25" x14ac:dyDescent="0.35">
      <c r="A130" s="1">
        <v>40148</v>
      </c>
      <c r="B130">
        <f t="shared" si="20"/>
        <v>10.018028710128601</v>
      </c>
      <c r="C130">
        <f t="shared" ref="C130:C193" si="22">IF(Q130="","",Q130)</f>
        <v>9.4825406590031704</v>
      </c>
      <c r="D130">
        <f t="shared" ref="D130:D193" si="23">IF(R130="","",R130)</f>
        <v>10.0504119866642</v>
      </c>
      <c r="E130">
        <f t="shared" ref="E130:E193" si="24">IF(S130="","",S130)</f>
        <v>6.4384219015947703</v>
      </c>
      <c r="F130">
        <f t="shared" ref="F130:F193" si="25">IF(T130="","",T130)</f>
        <v>6.4908932109278403</v>
      </c>
      <c r="G130">
        <f t="shared" ref="G130:G193" si="26">IF(U130="","",U130)</f>
        <v>3.5595187757363198</v>
      </c>
      <c r="H130" s="6">
        <f t="shared" ref="H130:H188" si="27">IF(A130="","",2)</f>
        <v>2</v>
      </c>
      <c r="I130">
        <f t="shared" si="21"/>
        <v>2.5</v>
      </c>
      <c r="J130">
        <f t="shared" ref="J130:J193" si="28">IF(W130="","",W130)</f>
        <v>2.3382939559384899</v>
      </c>
      <c r="K130">
        <f t="shared" ref="K130:K193" si="29">IF(X130="","",X130)</f>
        <v>2.5</v>
      </c>
      <c r="L130">
        <f t="shared" ref="L130:L193" si="30">IF(Y130="","",Y130)</f>
        <v>1.3870068442483601</v>
      </c>
      <c r="O130" s="5">
        <v>1259625600</v>
      </c>
      <c r="P130" s="4">
        <v>10.018028710128601</v>
      </c>
      <c r="Q130" s="4">
        <v>9.4825406590031704</v>
      </c>
      <c r="R130" s="4">
        <v>10.0504119866642</v>
      </c>
      <c r="S130" s="4">
        <v>6.4384219015947703</v>
      </c>
      <c r="T130" s="4">
        <v>6.4908932109278403</v>
      </c>
      <c r="U130" s="4">
        <v>3.5595187757363198</v>
      </c>
      <c r="V130" s="4">
        <v>2.5</v>
      </c>
      <c r="W130" s="4">
        <v>2.3382939559384899</v>
      </c>
      <c r="X130" s="4">
        <v>2.5</v>
      </c>
      <c r="Y130" s="4">
        <v>1.3870068442483601</v>
      </c>
    </row>
    <row r="131" spans="1:25" x14ac:dyDescent="0.35">
      <c r="A131" s="1">
        <v>40238</v>
      </c>
      <c r="B131">
        <f t="shared" ref="B131:B194" si="31">IF(P131="","",P131)</f>
        <v>8.5375187172793296</v>
      </c>
      <c r="C131">
        <f t="shared" si="22"/>
        <v>8.5189290077081701</v>
      </c>
      <c r="D131">
        <f t="shared" si="23"/>
        <v>9.2467248340860699</v>
      </c>
      <c r="E131">
        <f t="shared" si="24"/>
        <v>7.1985585486463197</v>
      </c>
      <c r="F131">
        <f t="shared" si="25"/>
        <v>5.8402433593746101</v>
      </c>
      <c r="G131">
        <f t="shared" si="26"/>
        <v>3.40648147471147</v>
      </c>
      <c r="H131" s="6">
        <f t="shared" si="27"/>
        <v>2</v>
      </c>
      <c r="I131">
        <f t="shared" ref="I131:I194" si="32">IF(V131="","",V131)</f>
        <v>2.0429745991497898</v>
      </c>
      <c r="J131">
        <f t="shared" si="28"/>
        <v>2.0371653149087998</v>
      </c>
      <c r="K131">
        <f t="shared" si="29"/>
        <v>2.2646015106519002</v>
      </c>
      <c r="L131">
        <f t="shared" si="30"/>
        <v>1.6245495464519699</v>
      </c>
      <c r="O131" s="5">
        <v>1267401600</v>
      </c>
      <c r="P131" s="4">
        <v>8.5375187172793296</v>
      </c>
      <c r="Q131" s="4">
        <v>8.5189290077081701</v>
      </c>
      <c r="R131" s="4">
        <v>9.2467248340860699</v>
      </c>
      <c r="S131" s="4">
        <v>7.1985585486463197</v>
      </c>
      <c r="T131" s="4">
        <v>5.8402433593746101</v>
      </c>
      <c r="U131" s="4">
        <v>3.40648147471147</v>
      </c>
      <c r="V131" s="4">
        <v>2.0429745991497898</v>
      </c>
      <c r="W131" s="4">
        <v>2.0371653149087998</v>
      </c>
      <c r="X131" s="4">
        <v>2.2646015106519002</v>
      </c>
      <c r="Y131" s="4">
        <v>1.6245495464519699</v>
      </c>
    </row>
    <row r="132" spans="1:25" x14ac:dyDescent="0.35">
      <c r="A132" s="1">
        <v>40330</v>
      </c>
      <c r="B132">
        <f t="shared" si="31"/>
        <v>6.90687967917812</v>
      </c>
      <c r="C132">
        <f t="shared" si="22"/>
        <v>7.8784898551606197</v>
      </c>
      <c r="D132">
        <f t="shared" si="23"/>
        <v>7.8660095500146499</v>
      </c>
      <c r="E132">
        <f t="shared" si="24"/>
        <v>6.6675309354810004</v>
      </c>
      <c r="F132">
        <f t="shared" si="25"/>
        <v>5.4774389559592098</v>
      </c>
      <c r="G132">
        <f t="shared" si="26"/>
        <v>2.3885705940554498</v>
      </c>
      <c r="H132" s="6">
        <f t="shared" si="27"/>
        <v>2</v>
      </c>
      <c r="I132">
        <f t="shared" si="32"/>
        <v>1.5333998997431599</v>
      </c>
      <c r="J132">
        <f t="shared" si="28"/>
        <v>1.8370280797377001</v>
      </c>
      <c r="K132">
        <f t="shared" si="29"/>
        <v>1.83312798437958</v>
      </c>
      <c r="L132">
        <f t="shared" si="30"/>
        <v>1.45860341733781</v>
      </c>
      <c r="O132" s="5">
        <v>1275350400</v>
      </c>
      <c r="P132" s="4">
        <v>6.90687967917812</v>
      </c>
      <c r="Q132" s="4">
        <v>7.8784898551606197</v>
      </c>
      <c r="R132" s="4">
        <v>7.8660095500146499</v>
      </c>
      <c r="S132" s="4">
        <v>6.6675309354810004</v>
      </c>
      <c r="T132" s="4">
        <v>5.4774389559592098</v>
      </c>
      <c r="U132" s="4">
        <v>2.3885705940554498</v>
      </c>
      <c r="V132" s="4">
        <v>1.5333998997431599</v>
      </c>
      <c r="W132" s="4">
        <v>1.8370280797377001</v>
      </c>
      <c r="X132" s="4">
        <v>1.83312798437958</v>
      </c>
      <c r="Y132" s="4">
        <v>1.45860341733781</v>
      </c>
    </row>
    <row r="133" spans="1:25" x14ac:dyDescent="0.35">
      <c r="A133" s="1">
        <v>40422</v>
      </c>
      <c r="B133">
        <f t="shared" si="31"/>
        <v>5.5661220925203301</v>
      </c>
      <c r="C133">
        <f t="shared" si="22"/>
        <v>6.8043047720482104</v>
      </c>
      <c r="D133">
        <f t="shared" si="23"/>
        <v>7.2190592590053599</v>
      </c>
      <c r="E133">
        <f t="shared" si="24"/>
        <v>5.5400588968278202</v>
      </c>
      <c r="F133">
        <f t="shared" si="25"/>
        <v>4.9859992959506796</v>
      </c>
      <c r="G133">
        <f t="shared" si="26"/>
        <v>2.2330599630546901</v>
      </c>
      <c r="H133" s="6">
        <f t="shared" si="27"/>
        <v>2</v>
      </c>
      <c r="I133">
        <f t="shared" si="32"/>
        <v>1.1144131539126001</v>
      </c>
      <c r="J133">
        <f t="shared" si="28"/>
        <v>1.5013452412650701</v>
      </c>
      <c r="K133">
        <f t="shared" si="29"/>
        <v>1.63095601843918</v>
      </c>
      <c r="L133">
        <f t="shared" si="30"/>
        <v>1.10626840525869</v>
      </c>
      <c r="O133" s="5">
        <v>1283299200</v>
      </c>
      <c r="P133" s="4">
        <v>5.5661220925203301</v>
      </c>
      <c r="Q133" s="4">
        <v>6.8043047720482104</v>
      </c>
      <c r="R133" s="4">
        <v>7.2190592590053599</v>
      </c>
      <c r="S133" s="4">
        <v>5.5400588968278202</v>
      </c>
      <c r="T133" s="4">
        <v>4.9859992959506796</v>
      </c>
      <c r="U133" s="4">
        <v>2.2330599630546901</v>
      </c>
      <c r="V133" s="4">
        <v>1.1144131539126001</v>
      </c>
      <c r="W133" s="4">
        <v>1.5013452412650701</v>
      </c>
      <c r="X133" s="4">
        <v>1.63095601843918</v>
      </c>
      <c r="Y133" s="4">
        <v>1.10626840525869</v>
      </c>
    </row>
    <row r="134" spans="1:25" x14ac:dyDescent="0.35">
      <c r="A134" s="1">
        <v>40513</v>
      </c>
      <c r="B134">
        <f t="shared" si="31"/>
        <v>6.0853992951478997</v>
      </c>
      <c r="C134">
        <f t="shared" si="22"/>
        <v>6.8561587670798696</v>
      </c>
      <c r="D134">
        <f t="shared" si="23"/>
        <v>7.6636673323017197</v>
      </c>
      <c r="E134">
        <f t="shared" si="24"/>
        <v>4.9943851779501198</v>
      </c>
      <c r="F134">
        <f t="shared" si="25"/>
        <v>5.2381416138148502</v>
      </c>
      <c r="G134">
        <f t="shared" si="26"/>
        <v>2.4255257184868801</v>
      </c>
      <c r="H134" s="6">
        <f t="shared" si="27"/>
        <v>2</v>
      </c>
      <c r="I134">
        <f t="shared" si="32"/>
        <v>1.2766872797337201</v>
      </c>
      <c r="J134">
        <f t="shared" si="28"/>
        <v>1.5175496147124601</v>
      </c>
      <c r="K134">
        <f t="shared" si="29"/>
        <v>1.7698960413442899</v>
      </c>
      <c r="L134">
        <f t="shared" si="30"/>
        <v>0.935745368109413</v>
      </c>
      <c r="O134" s="5">
        <v>1291161600</v>
      </c>
      <c r="P134" s="4">
        <v>6.0853992951478997</v>
      </c>
      <c r="Q134" s="4">
        <v>6.8561587670798696</v>
      </c>
      <c r="R134" s="4">
        <v>7.6636673323017197</v>
      </c>
      <c r="S134" s="4">
        <v>4.9943851779501198</v>
      </c>
      <c r="T134" s="4">
        <v>5.2381416138148502</v>
      </c>
      <c r="U134" s="4">
        <v>2.4255257184868801</v>
      </c>
      <c r="V134" s="4">
        <v>1.2766872797337201</v>
      </c>
      <c r="W134" s="4">
        <v>1.5175496147124601</v>
      </c>
      <c r="X134" s="4">
        <v>1.7698960413442899</v>
      </c>
      <c r="Y134" s="4">
        <v>0.935745368109413</v>
      </c>
    </row>
    <row r="135" spans="1:25" x14ac:dyDescent="0.35">
      <c r="A135" s="1">
        <v>40603</v>
      </c>
      <c r="B135">
        <f t="shared" si="31"/>
        <v>5.5054468360387396</v>
      </c>
      <c r="C135">
        <f t="shared" si="22"/>
        <v>6.0919075376252501</v>
      </c>
      <c r="D135">
        <f t="shared" si="23"/>
        <v>6.4304371969190504</v>
      </c>
      <c r="E135">
        <f t="shared" si="24"/>
        <v>4.1845517299401003</v>
      </c>
      <c r="F135">
        <f t="shared" si="25"/>
        <v>4.7569416751519</v>
      </c>
      <c r="G135">
        <f t="shared" si="26"/>
        <v>1.6734955217671601</v>
      </c>
      <c r="H135" s="6">
        <f t="shared" si="27"/>
        <v>2</v>
      </c>
      <c r="I135">
        <f t="shared" si="32"/>
        <v>1.0954521362621099</v>
      </c>
      <c r="J135">
        <f t="shared" si="28"/>
        <v>1.27872110550789</v>
      </c>
      <c r="K135">
        <f t="shared" si="29"/>
        <v>1.3845116240372</v>
      </c>
      <c r="L135">
        <f t="shared" si="30"/>
        <v>0.682672415606281</v>
      </c>
      <c r="O135" s="5">
        <v>1298937600</v>
      </c>
      <c r="P135" s="4">
        <v>5.5054468360387396</v>
      </c>
      <c r="Q135" s="4">
        <v>6.0919075376252501</v>
      </c>
      <c r="R135" s="4">
        <v>6.4304371969190504</v>
      </c>
      <c r="S135" s="4">
        <v>4.1845517299401003</v>
      </c>
      <c r="T135" s="4">
        <v>4.7569416751519</v>
      </c>
      <c r="U135" s="4">
        <v>1.6734955217671601</v>
      </c>
      <c r="V135" s="4">
        <v>1.0954521362621099</v>
      </c>
      <c r="W135" s="4">
        <v>1.27872110550789</v>
      </c>
      <c r="X135" s="4">
        <v>1.3845116240372</v>
      </c>
      <c r="Y135" s="4">
        <v>0.682672415606281</v>
      </c>
    </row>
    <row r="136" spans="1:25" x14ac:dyDescent="0.35">
      <c r="A136" s="1">
        <v>40695</v>
      </c>
      <c r="B136">
        <f t="shared" si="31"/>
        <v>7.0825747827165699</v>
      </c>
      <c r="C136">
        <f t="shared" si="22"/>
        <v>6.4174809007642599</v>
      </c>
      <c r="D136">
        <f t="shared" si="23"/>
        <v>7.5972711212676103</v>
      </c>
      <c r="E136">
        <f t="shared" si="24"/>
        <v>5.5884184833258104</v>
      </c>
      <c r="F136">
        <f t="shared" si="25"/>
        <v>4.77854333175768</v>
      </c>
      <c r="G136">
        <f t="shared" si="26"/>
        <v>2.8187277895099401</v>
      </c>
      <c r="H136" s="6">
        <f t="shared" si="27"/>
        <v>2</v>
      </c>
      <c r="I136">
        <f t="shared" si="32"/>
        <v>1.5883046195989301</v>
      </c>
      <c r="J136">
        <f t="shared" si="28"/>
        <v>1.3804627814888299</v>
      </c>
      <c r="K136">
        <f t="shared" si="29"/>
        <v>1.74914722539613</v>
      </c>
      <c r="L136">
        <f t="shared" si="30"/>
        <v>1.12138077603932</v>
      </c>
      <c r="O136" s="5">
        <v>1306886400</v>
      </c>
      <c r="P136" s="4">
        <v>7.0825747827165699</v>
      </c>
      <c r="Q136" s="4">
        <v>6.4174809007642599</v>
      </c>
      <c r="R136" s="4">
        <v>7.5972711212676103</v>
      </c>
      <c r="S136" s="4">
        <v>5.5884184833258104</v>
      </c>
      <c r="T136" s="4">
        <v>4.77854333175768</v>
      </c>
      <c r="U136" s="4">
        <v>2.8187277895099401</v>
      </c>
      <c r="V136" s="4">
        <v>1.5883046195989301</v>
      </c>
      <c r="W136" s="4">
        <v>1.3804627814888299</v>
      </c>
      <c r="X136" s="4">
        <v>1.74914722539613</v>
      </c>
      <c r="Y136" s="4">
        <v>1.12138077603932</v>
      </c>
    </row>
    <row r="137" spans="1:25" x14ac:dyDescent="0.35">
      <c r="A137" s="1">
        <v>40787</v>
      </c>
      <c r="B137">
        <f t="shared" si="31"/>
        <v>8.2089529860384705</v>
      </c>
      <c r="C137">
        <f t="shared" si="22"/>
        <v>6.0657494235763796</v>
      </c>
      <c r="D137">
        <f t="shared" si="23"/>
        <v>7.9176980648718596</v>
      </c>
      <c r="E137">
        <f t="shared" si="24"/>
        <v>6.5550770984250004</v>
      </c>
      <c r="F137">
        <f t="shared" si="25"/>
        <v>4.3744761098198603</v>
      </c>
      <c r="G137">
        <f t="shared" si="26"/>
        <v>3.5432219550520201</v>
      </c>
      <c r="H137" s="6">
        <f t="shared" si="27"/>
        <v>2</v>
      </c>
      <c r="I137">
        <f t="shared" si="32"/>
        <v>1.9402978081370199</v>
      </c>
      <c r="J137">
        <f t="shared" si="28"/>
        <v>1.2705466948676201</v>
      </c>
      <c r="K137">
        <f t="shared" si="29"/>
        <v>1.8492806452724599</v>
      </c>
      <c r="L137">
        <f t="shared" si="30"/>
        <v>1.4234615932578101</v>
      </c>
      <c r="O137" s="5">
        <v>1314835200</v>
      </c>
      <c r="P137" s="4">
        <v>8.2089529860384705</v>
      </c>
      <c r="Q137" s="4">
        <v>6.0657494235763796</v>
      </c>
      <c r="R137" s="4">
        <v>7.9176980648718596</v>
      </c>
      <c r="S137" s="4">
        <v>6.5550770984250004</v>
      </c>
      <c r="T137" s="4">
        <v>4.3744761098198603</v>
      </c>
      <c r="U137" s="4">
        <v>3.5432219550520201</v>
      </c>
      <c r="V137" s="4">
        <v>1.9402978081370199</v>
      </c>
      <c r="W137" s="4">
        <v>1.2705466948676201</v>
      </c>
      <c r="X137" s="4">
        <v>1.8492806452724599</v>
      </c>
      <c r="Y137" s="4">
        <v>1.4234615932578101</v>
      </c>
    </row>
    <row r="138" spans="1:25" x14ac:dyDescent="0.35">
      <c r="A138" s="1">
        <v>40878</v>
      </c>
      <c r="B138">
        <f t="shared" si="31"/>
        <v>8.2213610062887597</v>
      </c>
      <c r="C138">
        <f t="shared" si="22"/>
        <v>5.4976343843375099</v>
      </c>
      <c r="D138">
        <f t="shared" si="23"/>
        <v>7.3824386970943996</v>
      </c>
      <c r="E138">
        <f t="shared" si="24"/>
        <v>6.27947388732448</v>
      </c>
      <c r="F138">
        <f t="shared" si="25"/>
        <v>4.0394968866325396</v>
      </c>
      <c r="G138">
        <f t="shared" si="26"/>
        <v>3.3429418104618698</v>
      </c>
      <c r="H138" s="6">
        <f t="shared" si="27"/>
        <v>2</v>
      </c>
      <c r="I138">
        <f t="shared" si="32"/>
        <v>1.9441753144652401</v>
      </c>
      <c r="J138">
        <f t="shared" si="28"/>
        <v>1.09301074510547</v>
      </c>
      <c r="K138">
        <f t="shared" si="29"/>
        <v>1.6820120928419999</v>
      </c>
      <c r="L138">
        <f t="shared" si="30"/>
        <v>1.3373355897889001</v>
      </c>
      <c r="O138" s="5">
        <v>1322697600</v>
      </c>
      <c r="P138" s="4">
        <v>8.2213610062887597</v>
      </c>
      <c r="Q138" s="4">
        <v>5.4976343843375099</v>
      </c>
      <c r="R138" s="4">
        <v>7.3824386970943996</v>
      </c>
      <c r="S138" s="4">
        <v>6.27947388732448</v>
      </c>
      <c r="T138" s="4">
        <v>4.0394968866325396</v>
      </c>
      <c r="U138" s="4">
        <v>3.3429418104618698</v>
      </c>
      <c r="V138" s="4">
        <v>1.9441753144652401</v>
      </c>
      <c r="W138" s="4">
        <v>1.09301074510547</v>
      </c>
      <c r="X138" s="4">
        <v>1.6820120928419999</v>
      </c>
      <c r="Y138" s="4">
        <v>1.3373355897889001</v>
      </c>
    </row>
    <row r="139" spans="1:25" x14ac:dyDescent="0.35">
      <c r="A139" s="1">
        <v>40969</v>
      </c>
      <c r="B139">
        <f t="shared" si="31"/>
        <v>8.9854491405390799</v>
      </c>
      <c r="C139">
        <f t="shared" si="22"/>
        <v>4.62765703314476</v>
      </c>
      <c r="D139">
        <f t="shared" si="23"/>
        <v>7.7076368936470701</v>
      </c>
      <c r="E139">
        <f t="shared" si="24"/>
        <v>7.2320025397468699</v>
      </c>
      <c r="F139">
        <f t="shared" si="25"/>
        <v>3.5275492139505502</v>
      </c>
      <c r="G139">
        <f t="shared" si="26"/>
        <v>4.1800876796965296</v>
      </c>
      <c r="H139" s="6">
        <f t="shared" si="27"/>
        <v>2</v>
      </c>
      <c r="I139">
        <f t="shared" si="32"/>
        <v>2.1829528564184599</v>
      </c>
      <c r="J139">
        <f t="shared" si="28"/>
        <v>0.82114282285773699</v>
      </c>
      <c r="K139">
        <f t="shared" si="29"/>
        <v>1.7836365292647101</v>
      </c>
      <c r="L139">
        <f t="shared" si="30"/>
        <v>1.6350007936708999</v>
      </c>
      <c r="O139" s="5">
        <v>1330560000</v>
      </c>
      <c r="P139" s="4">
        <v>8.9854491405390799</v>
      </c>
      <c r="Q139" s="4">
        <v>4.62765703314476</v>
      </c>
      <c r="R139" s="4">
        <v>7.7076368936470701</v>
      </c>
      <c r="S139" s="4">
        <v>7.2320025397468699</v>
      </c>
      <c r="T139" s="4">
        <v>3.5275492139505502</v>
      </c>
      <c r="U139" s="4">
        <v>4.1800876796965296</v>
      </c>
      <c r="V139" s="4">
        <v>2.1829528564184599</v>
      </c>
      <c r="W139" s="4">
        <v>0.82114282285773699</v>
      </c>
      <c r="X139" s="4">
        <v>1.7836365292647101</v>
      </c>
      <c r="Y139" s="4">
        <v>1.6350007936708999</v>
      </c>
    </row>
    <row r="140" spans="1:25" x14ac:dyDescent="0.35">
      <c r="A140" s="1">
        <v>41061</v>
      </c>
      <c r="B140">
        <f t="shared" si="31"/>
        <v>9.7295993433916799</v>
      </c>
      <c r="C140">
        <f t="shared" si="22"/>
        <v>3.9274460471863901</v>
      </c>
      <c r="D140">
        <f t="shared" si="23"/>
        <v>8.2775308635411893</v>
      </c>
      <c r="E140">
        <f t="shared" si="24"/>
        <v>8.0869241979332607</v>
      </c>
      <c r="F140">
        <f t="shared" si="25"/>
        <v>3.1352617771620102</v>
      </c>
      <c r="G140">
        <f t="shared" si="26"/>
        <v>5.1422690863792004</v>
      </c>
      <c r="H140" s="6">
        <f t="shared" si="27"/>
        <v>2</v>
      </c>
      <c r="I140">
        <f t="shared" si="32"/>
        <v>2.4154997948099002</v>
      </c>
      <c r="J140">
        <f t="shared" si="28"/>
        <v>0.602326889745748</v>
      </c>
      <c r="K140">
        <f t="shared" si="29"/>
        <v>1.96172839485662</v>
      </c>
      <c r="L140">
        <f t="shared" si="30"/>
        <v>1.90216381185415</v>
      </c>
      <c r="O140" s="5">
        <v>1338508800</v>
      </c>
      <c r="P140" s="4">
        <v>9.7295993433916799</v>
      </c>
      <c r="Q140" s="4">
        <v>3.9274460471863901</v>
      </c>
      <c r="R140" s="4">
        <v>8.2775308635411893</v>
      </c>
      <c r="S140" s="4">
        <v>8.0869241979332607</v>
      </c>
      <c r="T140" s="4">
        <v>3.1352617771620102</v>
      </c>
      <c r="U140" s="4">
        <v>5.1422690863792004</v>
      </c>
      <c r="V140" s="4">
        <v>2.4154997948099002</v>
      </c>
      <c r="W140" s="4">
        <v>0.602326889745748</v>
      </c>
      <c r="X140" s="4">
        <v>1.96172839485662</v>
      </c>
      <c r="Y140" s="4">
        <v>1.90216381185415</v>
      </c>
    </row>
    <row r="141" spans="1:25" x14ac:dyDescent="0.35">
      <c r="A141" s="1">
        <v>41153</v>
      </c>
      <c r="B141">
        <f t="shared" si="31"/>
        <v>8.5492188017152309</v>
      </c>
      <c r="C141">
        <f t="shared" si="22"/>
        <v>2.99250163430878</v>
      </c>
      <c r="D141">
        <f t="shared" si="23"/>
        <v>7.6768016193235598</v>
      </c>
      <c r="E141">
        <f t="shared" si="24"/>
        <v>7.6911979881049097</v>
      </c>
      <c r="F141">
        <f t="shared" si="25"/>
        <v>2.5568780690926598</v>
      </c>
      <c r="G141">
        <f t="shared" si="26"/>
        <v>5.1199235502309097</v>
      </c>
      <c r="H141" s="6">
        <f t="shared" si="27"/>
        <v>2</v>
      </c>
      <c r="I141">
        <f t="shared" si="32"/>
        <v>2.0466308755360099</v>
      </c>
      <c r="J141">
        <f t="shared" si="28"/>
        <v>0.31015676072149301</v>
      </c>
      <c r="K141">
        <f t="shared" si="29"/>
        <v>1.7740005060386099</v>
      </c>
      <c r="L141">
        <f t="shared" si="30"/>
        <v>1.7784993712827799</v>
      </c>
      <c r="O141" s="5">
        <v>1346457600</v>
      </c>
      <c r="P141" s="4">
        <v>8.5492188017152309</v>
      </c>
      <c r="Q141" s="4">
        <v>2.99250163430878</v>
      </c>
      <c r="R141" s="4">
        <v>7.6768016193235598</v>
      </c>
      <c r="S141" s="4">
        <v>7.6911979881049097</v>
      </c>
      <c r="T141" s="4">
        <v>2.5568780690926598</v>
      </c>
      <c r="U141" s="4">
        <v>5.1199235502309097</v>
      </c>
      <c r="V141" s="4">
        <v>2.0466308755360099</v>
      </c>
      <c r="W141" s="4">
        <v>0.31015676072149301</v>
      </c>
      <c r="X141" s="4">
        <v>1.7740005060386099</v>
      </c>
      <c r="Y141" s="4">
        <v>1.7784993712827799</v>
      </c>
    </row>
    <row r="142" spans="1:25" x14ac:dyDescent="0.35">
      <c r="A142" s="1">
        <v>41244</v>
      </c>
      <c r="B142">
        <f t="shared" si="31"/>
        <v>7.7750856618123398</v>
      </c>
      <c r="C142">
        <f t="shared" si="22"/>
        <v>2.7388924391075702</v>
      </c>
      <c r="D142">
        <f t="shared" si="23"/>
        <v>6.84624678795298</v>
      </c>
      <c r="E142">
        <f t="shared" si="24"/>
        <v>6.2006373435541304</v>
      </c>
      <c r="F142">
        <f t="shared" si="25"/>
        <v>2.4710980622380401</v>
      </c>
      <c r="G142">
        <f t="shared" si="26"/>
        <v>4.3751487257149497</v>
      </c>
      <c r="H142" s="6">
        <f t="shared" si="27"/>
        <v>2</v>
      </c>
      <c r="I142">
        <f t="shared" si="32"/>
        <v>1.80471426931635</v>
      </c>
      <c r="J142">
        <f t="shared" si="28"/>
        <v>0.23090388722111699</v>
      </c>
      <c r="K142">
        <f t="shared" si="29"/>
        <v>1.5144521212353099</v>
      </c>
      <c r="L142">
        <f t="shared" si="30"/>
        <v>1.31269916986067</v>
      </c>
      <c r="O142" s="5">
        <v>1354320000</v>
      </c>
      <c r="P142" s="4">
        <v>7.7750856618123398</v>
      </c>
      <c r="Q142" s="4">
        <v>2.7388924391075702</v>
      </c>
      <c r="R142" s="4">
        <v>6.84624678795298</v>
      </c>
      <c r="S142" s="4">
        <v>6.2006373435541304</v>
      </c>
      <c r="T142" s="4">
        <v>2.4710980622380401</v>
      </c>
      <c r="U142" s="4">
        <v>4.3751487257149497</v>
      </c>
      <c r="V142" s="4">
        <v>1.80471426931635</v>
      </c>
      <c r="W142" s="4">
        <v>0.23090388722111699</v>
      </c>
      <c r="X142" s="4">
        <v>1.5144521212353099</v>
      </c>
      <c r="Y142" s="4">
        <v>1.31269916986067</v>
      </c>
    </row>
    <row r="143" spans="1:25" x14ac:dyDescent="0.35">
      <c r="A143" s="1">
        <v>41334</v>
      </c>
      <c r="B143">
        <f t="shared" si="31"/>
        <v>6.4245317740800001</v>
      </c>
      <c r="C143">
        <f t="shared" si="22"/>
        <v>2.0382691216209299</v>
      </c>
      <c r="D143">
        <f t="shared" si="23"/>
        <v>5.9029247553335704</v>
      </c>
      <c r="E143">
        <f t="shared" si="24"/>
        <v>5.8779471695780199</v>
      </c>
      <c r="F143">
        <f t="shared" si="25"/>
        <v>2.01218088625345</v>
      </c>
      <c r="G143">
        <f t="shared" si="26"/>
        <v>3.8907438690801301</v>
      </c>
      <c r="H143" s="6">
        <f t="shared" si="27"/>
        <v>2</v>
      </c>
      <c r="I143">
        <f t="shared" si="32"/>
        <v>1.3826661793999999</v>
      </c>
      <c r="J143">
        <f t="shared" si="28"/>
        <v>1.19591005065409E-2</v>
      </c>
      <c r="K143">
        <f t="shared" si="29"/>
        <v>1.21966398604174</v>
      </c>
      <c r="L143">
        <f t="shared" si="30"/>
        <v>1.21185849049313</v>
      </c>
      <c r="O143" s="5">
        <v>1362096000</v>
      </c>
      <c r="P143" s="4">
        <v>6.4245317740800001</v>
      </c>
      <c r="Q143" s="4">
        <v>2.0382691216209299</v>
      </c>
      <c r="R143" s="4">
        <v>5.9029247553335704</v>
      </c>
      <c r="S143" s="4">
        <v>5.8779471695780199</v>
      </c>
      <c r="T143" s="4">
        <v>2.01218088625345</v>
      </c>
      <c r="U143" s="4">
        <v>3.8907438690801301</v>
      </c>
      <c r="V143" s="4">
        <v>1.3826661793999999</v>
      </c>
      <c r="W143" s="4">
        <v>1.19591005065409E-2</v>
      </c>
      <c r="X143" s="4">
        <v>1.21966398604174</v>
      </c>
      <c r="Y143" s="4">
        <v>1.21185849049313</v>
      </c>
    </row>
    <row r="144" spans="1:25" x14ac:dyDescent="0.35">
      <c r="A144" s="1">
        <v>41426</v>
      </c>
      <c r="B144">
        <f t="shared" si="31"/>
        <v>3.7227901156467902</v>
      </c>
      <c r="C144">
        <f t="shared" si="22"/>
        <v>1.3264368437641301</v>
      </c>
      <c r="D144">
        <f t="shared" si="23"/>
        <v>4.0603675569578197</v>
      </c>
      <c r="E144">
        <f t="shared" si="24"/>
        <v>4.6375788233614497</v>
      </c>
      <c r="F144">
        <f t="shared" si="25"/>
        <v>1.57389595039456</v>
      </c>
      <c r="G144">
        <f t="shared" si="26"/>
        <v>2.4864716065632702</v>
      </c>
      <c r="H144" s="6">
        <f t="shared" si="27"/>
        <v>2</v>
      </c>
      <c r="I144">
        <f t="shared" si="32"/>
        <v>0.53837191113962302</v>
      </c>
      <c r="J144">
        <f t="shared" si="28"/>
        <v>0</v>
      </c>
      <c r="K144">
        <f t="shared" si="29"/>
        <v>0.64386486154931699</v>
      </c>
      <c r="L144">
        <f t="shared" si="30"/>
        <v>0.82424338230045202</v>
      </c>
      <c r="O144" s="5">
        <v>1370044800</v>
      </c>
      <c r="P144" s="4">
        <v>3.7227901156467902</v>
      </c>
      <c r="Q144" s="4">
        <v>1.3264368437641301</v>
      </c>
      <c r="R144" s="4">
        <v>4.0603675569578197</v>
      </c>
      <c r="S144" s="4">
        <v>4.6375788233614497</v>
      </c>
      <c r="T144" s="4">
        <v>1.57389595039456</v>
      </c>
      <c r="U144" s="4">
        <v>2.4864716065632702</v>
      </c>
      <c r="V144" s="4">
        <v>0.53837191113962302</v>
      </c>
      <c r="W144" s="4">
        <v>0</v>
      </c>
      <c r="X144" s="4">
        <v>0.64386486154931699</v>
      </c>
      <c r="Y144" s="4">
        <v>0.82424338230045202</v>
      </c>
    </row>
    <row r="145" spans="1:25" x14ac:dyDescent="0.35">
      <c r="A145" s="1">
        <v>41518</v>
      </c>
      <c r="B145">
        <f t="shared" si="31"/>
        <v>2.9965244377626701</v>
      </c>
      <c r="C145">
        <f t="shared" si="22"/>
        <v>0.61312931376733804</v>
      </c>
      <c r="D145">
        <f t="shared" si="23"/>
        <v>3.7742166264176702</v>
      </c>
      <c r="E145">
        <f t="shared" si="24"/>
        <v>4.3979486328679602</v>
      </c>
      <c r="F145">
        <f t="shared" si="25"/>
        <v>1.3118509852184199</v>
      </c>
      <c r="G145">
        <f t="shared" si="26"/>
        <v>2.46236564119926</v>
      </c>
      <c r="H145" s="6">
        <f t="shared" si="27"/>
        <v>2</v>
      </c>
      <c r="I145">
        <f t="shared" si="32"/>
        <v>0.31141388680083398</v>
      </c>
      <c r="J145">
        <f t="shared" si="28"/>
        <v>0</v>
      </c>
      <c r="K145">
        <f t="shared" si="29"/>
        <v>0.55444269575552196</v>
      </c>
      <c r="L145">
        <f t="shared" si="30"/>
        <v>0.74935894777123602</v>
      </c>
      <c r="O145" s="5">
        <v>1377993600</v>
      </c>
      <c r="P145" s="4">
        <v>2.9965244377626701</v>
      </c>
      <c r="Q145" s="4">
        <v>0.61312931376733804</v>
      </c>
      <c r="R145" s="4">
        <v>3.7742166264176702</v>
      </c>
      <c r="S145" s="4">
        <v>4.3979486328679602</v>
      </c>
      <c r="T145" s="4">
        <v>1.3118509852184199</v>
      </c>
      <c r="U145" s="4">
        <v>2.46236564119926</v>
      </c>
      <c r="V145" s="4">
        <v>0.31141388680083398</v>
      </c>
      <c r="W145" s="4">
        <v>0</v>
      </c>
      <c r="X145" s="4">
        <v>0.55444269575552196</v>
      </c>
      <c r="Y145" s="4">
        <v>0.74935894777123602</v>
      </c>
    </row>
    <row r="146" spans="1:25" x14ac:dyDescent="0.35">
      <c r="A146" s="1">
        <v>41609</v>
      </c>
      <c r="B146">
        <f t="shared" si="31"/>
        <v>1.4214136437973699</v>
      </c>
      <c r="C146">
        <f t="shared" si="22"/>
        <v>-1.38083793753375E-2</v>
      </c>
      <c r="D146">
        <f t="shared" si="23"/>
        <v>2.4470285640996199</v>
      </c>
      <c r="E146">
        <f t="shared" si="24"/>
        <v>2.1238787089362701</v>
      </c>
      <c r="F146">
        <f t="shared" si="25"/>
        <v>0.86420275025455195</v>
      </c>
      <c r="G146">
        <f t="shared" si="26"/>
        <v>1.5828258138450699</v>
      </c>
      <c r="H146" s="6">
        <f t="shared" si="27"/>
        <v>2</v>
      </c>
      <c r="I146">
        <f t="shared" si="32"/>
        <v>0</v>
      </c>
      <c r="J146">
        <f t="shared" si="28"/>
        <v>0</v>
      </c>
      <c r="K146">
        <f t="shared" si="29"/>
        <v>0.13969642628112999</v>
      </c>
      <c r="L146">
        <f t="shared" si="30"/>
        <v>3.8712096542583799E-2</v>
      </c>
      <c r="O146" s="5">
        <v>1385856000</v>
      </c>
      <c r="P146" s="4">
        <v>1.4214136437973699</v>
      </c>
      <c r="Q146" s="4">
        <v>-1.38083793753375E-2</v>
      </c>
      <c r="R146" s="4">
        <v>2.4470285640996199</v>
      </c>
      <c r="S146" s="4">
        <v>2.1238787089362701</v>
      </c>
      <c r="T146" s="4">
        <v>0.86420275025455195</v>
      </c>
      <c r="U146" s="4">
        <v>1.5828258138450699</v>
      </c>
      <c r="V146" s="4">
        <v>0</v>
      </c>
      <c r="W146" s="4">
        <v>0</v>
      </c>
      <c r="X146" s="4">
        <v>0.13969642628112999</v>
      </c>
      <c r="Y146" s="4">
        <v>3.8712096542583799E-2</v>
      </c>
    </row>
    <row r="147" spans="1:25" x14ac:dyDescent="0.35">
      <c r="A147" s="1">
        <v>41699</v>
      </c>
      <c r="B147">
        <f t="shared" si="31"/>
        <v>2.2815481419280101</v>
      </c>
      <c r="C147">
        <f t="shared" si="22"/>
        <v>-0.30251643292278801</v>
      </c>
      <c r="D147">
        <f t="shared" si="23"/>
        <v>2.0603814943293601</v>
      </c>
      <c r="E147">
        <f t="shared" si="24"/>
        <v>2.9771262198323498</v>
      </c>
      <c r="F147">
        <f t="shared" si="25"/>
        <v>0.63381682177426202</v>
      </c>
      <c r="G147">
        <f t="shared" si="26"/>
        <v>1.4265646725551</v>
      </c>
      <c r="H147" s="6">
        <f t="shared" si="27"/>
        <v>2</v>
      </c>
      <c r="I147">
        <f t="shared" si="32"/>
        <v>8.7983794352502101E-2</v>
      </c>
      <c r="J147">
        <f t="shared" si="28"/>
        <v>0</v>
      </c>
      <c r="K147">
        <f t="shared" si="29"/>
        <v>1.8869216977925901E-2</v>
      </c>
      <c r="L147">
        <f t="shared" si="30"/>
        <v>0.30535194369760899</v>
      </c>
      <c r="O147" s="5">
        <v>1393632000</v>
      </c>
      <c r="P147" s="4">
        <v>2.2815481419280101</v>
      </c>
      <c r="Q147" s="4">
        <v>-0.30251643292278801</v>
      </c>
      <c r="R147" s="4">
        <v>2.0603814943293601</v>
      </c>
      <c r="S147" s="4">
        <v>2.9771262198323498</v>
      </c>
      <c r="T147" s="4">
        <v>0.63381682177426202</v>
      </c>
      <c r="U147" s="4">
        <v>1.4265646725551</v>
      </c>
      <c r="V147" s="4">
        <v>8.7983794352502101E-2</v>
      </c>
      <c r="W147" s="4">
        <v>0</v>
      </c>
      <c r="X147" s="4">
        <v>1.8869216977925901E-2</v>
      </c>
      <c r="Y147" s="4">
        <v>0.30535194369760899</v>
      </c>
    </row>
    <row r="148" spans="1:25" x14ac:dyDescent="0.35">
      <c r="A148" s="1">
        <v>41791</v>
      </c>
      <c r="B148">
        <f t="shared" si="31"/>
        <v>3.5164846611032501</v>
      </c>
      <c r="C148">
        <f t="shared" si="22"/>
        <v>-0.45805487385996702</v>
      </c>
      <c r="D148">
        <f t="shared" si="23"/>
        <v>2.5856170205537401</v>
      </c>
      <c r="E148">
        <f t="shared" si="24"/>
        <v>3.33606134826148</v>
      </c>
      <c r="F148">
        <f t="shared" si="25"/>
        <v>0.39057471539857402</v>
      </c>
      <c r="G148">
        <f t="shared" si="26"/>
        <v>2.19504230515517</v>
      </c>
      <c r="H148" s="6">
        <f t="shared" si="27"/>
        <v>2</v>
      </c>
      <c r="I148">
        <f t="shared" si="32"/>
        <v>0.47390145659476701</v>
      </c>
      <c r="J148">
        <f t="shared" si="28"/>
        <v>0</v>
      </c>
      <c r="K148">
        <f t="shared" si="29"/>
        <v>0.183005318923043</v>
      </c>
      <c r="L148">
        <f t="shared" si="30"/>
        <v>0.41751917133171301</v>
      </c>
      <c r="O148" s="5">
        <v>1401580800</v>
      </c>
      <c r="P148" s="4">
        <v>3.5164846611032501</v>
      </c>
      <c r="Q148" s="4">
        <v>-0.45805487385996702</v>
      </c>
      <c r="R148" s="4">
        <v>2.5856170205537401</v>
      </c>
      <c r="S148" s="4">
        <v>3.33606134826148</v>
      </c>
      <c r="T148" s="4">
        <v>0.39057471539857402</v>
      </c>
      <c r="U148" s="4">
        <v>2.19504230515517</v>
      </c>
      <c r="V148" s="4">
        <v>0.47390145659476701</v>
      </c>
      <c r="W148" s="4">
        <v>0</v>
      </c>
      <c r="X148" s="4">
        <v>0.183005318923043</v>
      </c>
      <c r="Y148" s="4">
        <v>0.41751917133171301</v>
      </c>
    </row>
    <row r="149" spans="1:25" x14ac:dyDescent="0.35">
      <c r="A149" s="1">
        <v>41883</v>
      </c>
      <c r="B149">
        <f t="shared" si="31"/>
        <v>3.8079576922981802</v>
      </c>
      <c r="C149">
        <f t="shared" si="22"/>
        <v>-0.959689351503211</v>
      </c>
      <c r="D149">
        <f t="shared" si="23"/>
        <v>2.5196772307723401</v>
      </c>
      <c r="E149">
        <f t="shared" si="24"/>
        <v>3.9511289077513898</v>
      </c>
      <c r="F149">
        <f t="shared" si="25"/>
        <v>-8.8111564438506807E-3</v>
      </c>
      <c r="G149">
        <f t="shared" si="26"/>
        <v>2.5284883872161998</v>
      </c>
      <c r="H149" s="6">
        <f t="shared" si="27"/>
        <v>2</v>
      </c>
      <c r="I149">
        <f t="shared" si="32"/>
        <v>0.56498677884318305</v>
      </c>
      <c r="J149">
        <f t="shared" si="28"/>
        <v>0</v>
      </c>
      <c r="K149">
        <f t="shared" si="29"/>
        <v>0.162399134616355</v>
      </c>
      <c r="L149">
        <f t="shared" si="30"/>
        <v>0.60972778367230995</v>
      </c>
      <c r="O149" s="5">
        <v>1409529600</v>
      </c>
      <c r="P149" s="4">
        <v>3.8079576922981802</v>
      </c>
      <c r="Q149" s="4">
        <v>-0.959689351503211</v>
      </c>
      <c r="R149" s="4">
        <v>2.5196772307723401</v>
      </c>
      <c r="S149" s="4">
        <v>3.9511289077513898</v>
      </c>
      <c r="T149" s="4">
        <v>-8.8111564438506807E-3</v>
      </c>
      <c r="U149" s="4">
        <v>2.5284883872161998</v>
      </c>
      <c r="V149" s="4">
        <v>0.56498677884318305</v>
      </c>
      <c r="W149" s="4">
        <v>0</v>
      </c>
      <c r="X149" s="4">
        <v>0.162399134616355</v>
      </c>
      <c r="Y149" s="4">
        <v>0.60972778367230995</v>
      </c>
    </row>
    <row r="150" spans="1:25" x14ac:dyDescent="0.35">
      <c r="A150" s="1">
        <v>41974</v>
      </c>
      <c r="B150">
        <f t="shared" si="31"/>
        <v>3.8843784834797601</v>
      </c>
      <c r="C150">
        <f t="shared" si="22"/>
        <v>-1.03367540671142</v>
      </c>
      <c r="D150">
        <f t="shared" si="23"/>
        <v>2.0489764691393599</v>
      </c>
      <c r="E150">
        <f t="shared" si="24"/>
        <v>2.5679858266283899</v>
      </c>
      <c r="F150">
        <f t="shared" si="25"/>
        <v>-0.18837591319399</v>
      </c>
      <c r="G150">
        <f t="shared" si="26"/>
        <v>2.2373523823333601</v>
      </c>
      <c r="H150" s="6">
        <f t="shared" si="27"/>
        <v>2</v>
      </c>
      <c r="I150">
        <f t="shared" si="32"/>
        <v>0.58886827608742398</v>
      </c>
      <c r="J150">
        <f t="shared" si="28"/>
        <v>0</v>
      </c>
      <c r="K150">
        <f t="shared" si="29"/>
        <v>1.5305146606050301E-2</v>
      </c>
      <c r="L150">
        <f t="shared" si="30"/>
        <v>0.17749557082137299</v>
      </c>
      <c r="O150" s="5">
        <v>1417392000</v>
      </c>
      <c r="P150" s="4">
        <v>3.8843784834797601</v>
      </c>
      <c r="Q150" s="4">
        <v>-1.03367540671142</v>
      </c>
      <c r="R150" s="4">
        <v>2.0489764691393599</v>
      </c>
      <c r="S150" s="4">
        <v>2.5679858266283899</v>
      </c>
      <c r="T150" s="4">
        <v>-0.18837591319399</v>
      </c>
      <c r="U150" s="4">
        <v>2.2373523823333601</v>
      </c>
      <c r="V150" s="4">
        <v>0.58886827608742398</v>
      </c>
      <c r="W150" s="4">
        <v>0</v>
      </c>
      <c r="X150" s="4">
        <v>1.5305146606050301E-2</v>
      </c>
      <c r="Y150" s="4">
        <v>0.17749557082137299</v>
      </c>
    </row>
    <row r="151" spans="1:25" x14ac:dyDescent="0.35">
      <c r="A151" s="1">
        <v>42064</v>
      </c>
      <c r="B151">
        <f t="shared" si="31"/>
        <v>5.2584891901672099</v>
      </c>
      <c r="C151">
        <f t="shared" si="22"/>
        <v>-1.2712643238610299</v>
      </c>
      <c r="D151">
        <f t="shared" si="23"/>
        <v>0.86783796004274205</v>
      </c>
      <c r="E151">
        <f t="shared" si="24"/>
        <v>1.5623242682446199</v>
      </c>
      <c r="F151">
        <f t="shared" si="25"/>
        <v>-0.68155389589779602</v>
      </c>
      <c r="G151">
        <f t="shared" si="26"/>
        <v>1.5493918559405599</v>
      </c>
      <c r="H151" s="6">
        <f t="shared" si="27"/>
        <v>2</v>
      </c>
      <c r="I151">
        <f t="shared" si="32"/>
        <v>1.0182778719272501</v>
      </c>
      <c r="J151">
        <f t="shared" si="28"/>
        <v>0</v>
      </c>
      <c r="K151">
        <f t="shared" si="29"/>
        <v>0</v>
      </c>
      <c r="L151">
        <f t="shared" si="30"/>
        <v>0</v>
      </c>
      <c r="O151" s="5">
        <v>1425168000</v>
      </c>
      <c r="P151" s="4">
        <v>5.2584891901672099</v>
      </c>
      <c r="Q151" s="4">
        <v>-1.2712643238610299</v>
      </c>
      <c r="R151" s="4">
        <v>0.86783796004274205</v>
      </c>
      <c r="S151" s="4">
        <v>1.5623242682446199</v>
      </c>
      <c r="T151" s="4">
        <v>-0.68155389589779602</v>
      </c>
      <c r="U151" s="4">
        <v>1.5493918559405599</v>
      </c>
      <c r="V151" s="4">
        <v>1.0182778719272501</v>
      </c>
      <c r="W151" s="4">
        <v>0</v>
      </c>
      <c r="X151" s="4">
        <v>0</v>
      </c>
      <c r="Y151" s="4">
        <v>0</v>
      </c>
    </row>
    <row r="152" spans="1:25" x14ac:dyDescent="0.35">
      <c r="A152" s="1">
        <v>42156</v>
      </c>
      <c r="B152">
        <f t="shared" si="31"/>
        <v>4.5014263179461302</v>
      </c>
      <c r="C152">
        <f t="shared" si="22"/>
        <v>-1.1908210554463301</v>
      </c>
      <c r="D152">
        <f t="shared" si="23"/>
        <v>-0.38702890906545601</v>
      </c>
      <c r="E152">
        <f t="shared" si="24"/>
        <v>0.57509929482147004</v>
      </c>
      <c r="F152">
        <f t="shared" si="25"/>
        <v>-0.80571962520032303</v>
      </c>
      <c r="G152">
        <f t="shared" si="26"/>
        <v>0.41869071613487202</v>
      </c>
      <c r="H152" s="6">
        <f t="shared" si="27"/>
        <v>2</v>
      </c>
      <c r="I152">
        <f t="shared" si="32"/>
        <v>0.78169572435816603</v>
      </c>
      <c r="J152">
        <f t="shared" si="28"/>
        <v>0</v>
      </c>
      <c r="K152">
        <f t="shared" si="29"/>
        <v>0</v>
      </c>
      <c r="L152">
        <f t="shared" si="30"/>
        <v>0</v>
      </c>
      <c r="O152" s="5">
        <v>1433116800</v>
      </c>
      <c r="P152" s="4">
        <v>4.5014263179461302</v>
      </c>
      <c r="Q152" s="4">
        <v>-1.1908210554463301</v>
      </c>
      <c r="R152" s="4">
        <v>-0.38702890906545601</v>
      </c>
      <c r="S152" s="4">
        <v>0.57509929482147004</v>
      </c>
      <c r="T152" s="4">
        <v>-0.80571962520032303</v>
      </c>
      <c r="U152" s="4">
        <v>0.41869071613487202</v>
      </c>
      <c r="V152" s="4">
        <v>0.78169572435816603</v>
      </c>
      <c r="W152" s="4">
        <v>0</v>
      </c>
      <c r="X152" s="4">
        <v>0</v>
      </c>
      <c r="Y152" s="4">
        <v>0</v>
      </c>
    </row>
    <row r="153" spans="1:25" x14ac:dyDescent="0.35">
      <c r="A153" s="1">
        <v>42248</v>
      </c>
      <c r="B153">
        <f t="shared" si="31"/>
        <v>4.0885886269811103</v>
      </c>
      <c r="C153">
        <f t="shared" si="22"/>
        <v>-1.23436026523339</v>
      </c>
      <c r="D153">
        <f t="shared" si="23"/>
        <v>-0.48998899778624999</v>
      </c>
      <c r="E153">
        <f t="shared" si="24"/>
        <v>0.200812361448683</v>
      </c>
      <c r="F153">
        <f t="shared" si="25"/>
        <v>-0.81506491799476899</v>
      </c>
      <c r="G153">
        <f t="shared" si="26"/>
        <v>0.32507592020853099</v>
      </c>
      <c r="H153" s="6">
        <f t="shared" si="27"/>
        <v>2</v>
      </c>
      <c r="I153">
        <f t="shared" si="32"/>
        <v>0.65268394593159595</v>
      </c>
      <c r="J153">
        <f t="shared" si="28"/>
        <v>0</v>
      </c>
      <c r="K153">
        <f t="shared" si="29"/>
        <v>0</v>
      </c>
      <c r="L153">
        <f t="shared" si="30"/>
        <v>0</v>
      </c>
      <c r="O153" s="5">
        <v>1441065600</v>
      </c>
      <c r="P153" s="4">
        <v>4.0885886269811103</v>
      </c>
      <c r="Q153" s="4">
        <v>-1.23436026523339</v>
      </c>
      <c r="R153" s="4">
        <v>-0.48998899778624999</v>
      </c>
      <c r="S153" s="4">
        <v>0.200812361448683</v>
      </c>
      <c r="T153" s="4">
        <v>-0.81506491799476899</v>
      </c>
      <c r="U153" s="4">
        <v>0.32507592020853099</v>
      </c>
      <c r="V153" s="4">
        <v>0.65268394593159595</v>
      </c>
      <c r="W153" s="4">
        <v>0</v>
      </c>
      <c r="X153" s="4">
        <v>0</v>
      </c>
      <c r="Y153" s="4">
        <v>0</v>
      </c>
    </row>
    <row r="154" spans="1:25" x14ac:dyDescent="0.35">
      <c r="A154" s="1">
        <v>42339</v>
      </c>
      <c r="B154">
        <f t="shared" si="31"/>
        <v>4.8372611346165399</v>
      </c>
      <c r="C154">
        <f t="shared" si="22"/>
        <v>-1.24449293734299</v>
      </c>
      <c r="D154">
        <f t="shared" si="23"/>
        <v>-0.33386525124065802</v>
      </c>
      <c r="E154">
        <f t="shared" si="24"/>
        <v>-0.66986926775849598</v>
      </c>
      <c r="F154">
        <f t="shared" si="25"/>
        <v>-0.972801397317275</v>
      </c>
      <c r="G154">
        <f t="shared" si="26"/>
        <v>0.63893614607662197</v>
      </c>
      <c r="H154" s="6">
        <f t="shared" si="27"/>
        <v>2</v>
      </c>
      <c r="I154">
        <f t="shared" si="32"/>
        <v>0.88664410456766996</v>
      </c>
      <c r="J154">
        <f t="shared" si="28"/>
        <v>0</v>
      </c>
      <c r="K154">
        <f t="shared" si="29"/>
        <v>0</v>
      </c>
      <c r="L154">
        <f t="shared" si="30"/>
        <v>0</v>
      </c>
      <c r="O154" s="5">
        <v>1448928000</v>
      </c>
      <c r="P154" s="4">
        <v>4.8372611346165399</v>
      </c>
      <c r="Q154" s="4">
        <v>-1.24449293734299</v>
      </c>
      <c r="R154" s="4">
        <v>-0.33386525124065802</v>
      </c>
      <c r="S154" s="4">
        <v>-0.66986926775849598</v>
      </c>
      <c r="T154" s="4">
        <v>-0.972801397317275</v>
      </c>
      <c r="U154" s="4">
        <v>0.63893614607662197</v>
      </c>
      <c r="V154" s="4">
        <v>0.88664410456766996</v>
      </c>
      <c r="W154" s="4">
        <v>0</v>
      </c>
      <c r="X154" s="4">
        <v>0</v>
      </c>
      <c r="Y154" s="4">
        <v>0</v>
      </c>
    </row>
    <row r="155" spans="1:25" x14ac:dyDescent="0.35">
      <c r="A155" s="1">
        <v>42430</v>
      </c>
      <c r="B155">
        <f t="shared" si="31"/>
        <v>2.7734184378164901</v>
      </c>
      <c r="C155">
        <f t="shared" si="22"/>
        <v>-1.59091866999668</v>
      </c>
      <c r="D155">
        <f t="shared" si="23"/>
        <v>-2.5870789791572499</v>
      </c>
      <c r="E155">
        <f t="shared" si="24"/>
        <v>-1.79644067832001</v>
      </c>
      <c r="F155">
        <f t="shared" si="25"/>
        <v>-1.60822221033456</v>
      </c>
      <c r="G155">
        <f t="shared" si="26"/>
        <v>-0.97885676882267703</v>
      </c>
      <c r="H155" s="6">
        <f t="shared" si="27"/>
        <v>2</v>
      </c>
      <c r="I155">
        <f t="shared" si="32"/>
        <v>0.24169326181765299</v>
      </c>
      <c r="J155">
        <f t="shared" si="28"/>
        <v>0</v>
      </c>
      <c r="K155">
        <f t="shared" si="29"/>
        <v>0</v>
      </c>
      <c r="L155">
        <f t="shared" si="30"/>
        <v>0</v>
      </c>
      <c r="O155" s="5">
        <v>1456790400</v>
      </c>
      <c r="P155" s="4">
        <v>2.7734184378164901</v>
      </c>
      <c r="Q155" s="4">
        <v>-1.59091866999668</v>
      </c>
      <c r="R155" s="4">
        <v>-2.5870789791572499</v>
      </c>
      <c r="S155" s="4">
        <v>-1.79644067832001</v>
      </c>
      <c r="T155" s="4">
        <v>-1.60822221033456</v>
      </c>
      <c r="U155" s="4">
        <v>-0.97885676882267703</v>
      </c>
      <c r="V155" s="4">
        <v>0.24169326181765299</v>
      </c>
      <c r="W155" s="4">
        <v>0</v>
      </c>
      <c r="X155" s="4">
        <v>0</v>
      </c>
      <c r="Y155" s="4">
        <v>0</v>
      </c>
    </row>
    <row r="156" spans="1:25" x14ac:dyDescent="0.35">
      <c r="A156" s="1">
        <v>42522</v>
      </c>
      <c r="B156">
        <f t="shared" si="31"/>
        <v>4.0756413323864198</v>
      </c>
      <c r="C156">
        <f t="shared" si="22"/>
        <v>-1.1100112528995101</v>
      </c>
      <c r="D156">
        <f t="shared" si="23"/>
        <v>-1.8967649018320101</v>
      </c>
      <c r="E156">
        <f t="shared" si="24"/>
        <v>-1.21768538480698</v>
      </c>
      <c r="F156">
        <f t="shared" si="25"/>
        <v>-1.50517138387673</v>
      </c>
      <c r="G156">
        <f t="shared" si="26"/>
        <v>-0.39159351795526598</v>
      </c>
      <c r="H156" s="6">
        <f t="shared" si="27"/>
        <v>2</v>
      </c>
      <c r="I156">
        <f t="shared" si="32"/>
        <v>0.64863791637075696</v>
      </c>
      <c r="J156">
        <f t="shared" si="28"/>
        <v>0</v>
      </c>
      <c r="K156">
        <f t="shared" si="29"/>
        <v>0</v>
      </c>
      <c r="L156">
        <f t="shared" si="30"/>
        <v>0</v>
      </c>
      <c r="O156" s="5">
        <v>1464739200</v>
      </c>
      <c r="P156" s="4">
        <v>4.0756413323864198</v>
      </c>
      <c r="Q156" s="4">
        <v>-1.1100112528995101</v>
      </c>
      <c r="R156" s="4">
        <v>-1.8967649018320101</v>
      </c>
      <c r="S156" s="4">
        <v>-1.21768538480698</v>
      </c>
      <c r="T156" s="4">
        <v>-1.50517138387673</v>
      </c>
      <c r="U156" s="4">
        <v>-0.39159351795526598</v>
      </c>
      <c r="V156" s="4">
        <v>0.64863791637075696</v>
      </c>
      <c r="W156" s="4">
        <v>0</v>
      </c>
      <c r="X156" s="4">
        <v>0</v>
      </c>
      <c r="Y156" s="4">
        <v>0</v>
      </c>
    </row>
    <row r="157" spans="1:25" x14ac:dyDescent="0.35">
      <c r="A157" s="1">
        <v>42614</v>
      </c>
      <c r="B157">
        <f t="shared" si="31"/>
        <v>4.1894246832062496</v>
      </c>
      <c r="C157">
        <f t="shared" si="22"/>
        <v>-1.0478987596831899</v>
      </c>
      <c r="D157">
        <f t="shared" si="23"/>
        <v>-1.43352384494399</v>
      </c>
      <c r="E157">
        <f t="shared" si="24"/>
        <v>-1.1588010214758</v>
      </c>
      <c r="F157">
        <f t="shared" si="25"/>
        <v>-1.29769183310284</v>
      </c>
      <c r="G157">
        <f t="shared" si="26"/>
        <v>-0.13583201184114099</v>
      </c>
      <c r="H157" s="6">
        <f t="shared" si="27"/>
        <v>2</v>
      </c>
      <c r="I157">
        <f t="shared" si="32"/>
        <v>0.684195213501952</v>
      </c>
      <c r="J157">
        <f t="shared" si="28"/>
        <v>0</v>
      </c>
      <c r="K157">
        <f t="shared" si="29"/>
        <v>0</v>
      </c>
      <c r="L157">
        <f t="shared" si="30"/>
        <v>0</v>
      </c>
      <c r="O157" s="5">
        <v>1472688000</v>
      </c>
      <c r="P157" s="4">
        <v>4.1894246832062496</v>
      </c>
      <c r="Q157" s="4">
        <v>-1.0478987596831899</v>
      </c>
      <c r="R157" s="4">
        <v>-1.43352384494399</v>
      </c>
      <c r="S157" s="4">
        <v>-1.1588010214758</v>
      </c>
      <c r="T157" s="4">
        <v>-1.29769183310284</v>
      </c>
      <c r="U157" s="4">
        <v>-0.13583201184114099</v>
      </c>
      <c r="V157" s="4">
        <v>0.684195213501952</v>
      </c>
      <c r="W157" s="4">
        <v>0</v>
      </c>
      <c r="X157" s="4">
        <v>0</v>
      </c>
      <c r="Y157" s="4">
        <v>0</v>
      </c>
    </row>
    <row r="158" spans="1:25" x14ac:dyDescent="0.35">
      <c r="A158" s="1">
        <v>42705</v>
      </c>
      <c r="B158">
        <f t="shared" si="31"/>
        <v>4.7664729301912301</v>
      </c>
      <c r="C158">
        <f t="shared" si="22"/>
        <v>-0.36297989210130899</v>
      </c>
      <c r="D158">
        <f t="shared" si="23"/>
        <v>-1.0480787434893</v>
      </c>
      <c r="E158">
        <f t="shared" si="24"/>
        <v>-1.62944293049078</v>
      </c>
      <c r="F158">
        <f t="shared" si="25"/>
        <v>-0.80135210355718001</v>
      </c>
      <c r="G158">
        <f t="shared" si="26"/>
        <v>-0.246726639932105</v>
      </c>
      <c r="H158" s="6">
        <f t="shared" si="27"/>
        <v>2</v>
      </c>
      <c r="I158">
        <f t="shared" si="32"/>
        <v>0.86452279068475801</v>
      </c>
      <c r="J158">
        <f t="shared" si="28"/>
        <v>0</v>
      </c>
      <c r="K158">
        <f t="shared" si="29"/>
        <v>0</v>
      </c>
      <c r="L158">
        <f t="shared" si="30"/>
        <v>0</v>
      </c>
      <c r="O158" s="5">
        <v>1480550400</v>
      </c>
      <c r="P158" s="4">
        <v>4.7664729301912301</v>
      </c>
      <c r="Q158" s="4">
        <v>-0.36297989210130899</v>
      </c>
      <c r="R158" s="4">
        <v>-1.0480787434893</v>
      </c>
      <c r="S158" s="4">
        <v>-1.62944293049078</v>
      </c>
      <c r="T158" s="4">
        <v>-0.80135210355718001</v>
      </c>
      <c r="U158" s="4">
        <v>-0.246726639932105</v>
      </c>
      <c r="V158" s="4">
        <v>0.86452279068475801</v>
      </c>
      <c r="W158" s="4">
        <v>0</v>
      </c>
      <c r="X158" s="4">
        <v>0</v>
      </c>
      <c r="Y158" s="4">
        <v>0</v>
      </c>
    </row>
    <row r="159" spans="1:25" x14ac:dyDescent="0.35">
      <c r="A159" s="1">
        <v>42795</v>
      </c>
      <c r="B159">
        <f t="shared" si="31"/>
        <v>5.71851697863654</v>
      </c>
      <c r="C159">
        <f t="shared" si="22"/>
        <v>-0.17766970363791099</v>
      </c>
      <c r="D159">
        <f t="shared" si="23"/>
        <v>-0.12850637304888701</v>
      </c>
      <c r="E159">
        <f t="shared" si="24"/>
        <v>-1.3773788097653501</v>
      </c>
      <c r="F159">
        <f t="shared" si="25"/>
        <v>-0.93156002494315104</v>
      </c>
      <c r="G159">
        <f t="shared" si="26"/>
        <v>0.80305365189427402</v>
      </c>
      <c r="H159" s="6">
        <f t="shared" si="27"/>
        <v>2</v>
      </c>
      <c r="I159">
        <f t="shared" si="32"/>
        <v>1.1620365558239201</v>
      </c>
      <c r="J159">
        <f t="shared" si="28"/>
        <v>0</v>
      </c>
      <c r="K159">
        <f t="shared" si="29"/>
        <v>0</v>
      </c>
      <c r="L159">
        <f t="shared" si="30"/>
        <v>0</v>
      </c>
      <c r="O159" s="5">
        <v>1488326400</v>
      </c>
      <c r="P159" s="4">
        <v>5.71851697863654</v>
      </c>
      <c r="Q159" s="4">
        <v>-0.17766970363791099</v>
      </c>
      <c r="R159" s="4">
        <v>-0.12850637304888701</v>
      </c>
      <c r="S159" s="4">
        <v>-1.3773788097653501</v>
      </c>
      <c r="T159" s="4">
        <v>-0.93156002494315104</v>
      </c>
      <c r="U159" s="4">
        <v>0.80305365189427402</v>
      </c>
      <c r="V159" s="4">
        <v>1.1620365558239201</v>
      </c>
      <c r="W159" s="4">
        <v>0</v>
      </c>
      <c r="X159" s="4">
        <v>0</v>
      </c>
      <c r="Y159" s="4">
        <v>0</v>
      </c>
    </row>
    <row r="160" spans="1:25" x14ac:dyDescent="0.35">
      <c r="A160" s="1">
        <v>42887</v>
      </c>
      <c r="B160">
        <f t="shared" si="31"/>
        <v>4.8641795006686097</v>
      </c>
      <c r="C160">
        <f t="shared" si="22"/>
        <v>8.2155104844124305E-2</v>
      </c>
      <c r="D160">
        <f t="shared" si="23"/>
        <v>-0.40136073983440901</v>
      </c>
      <c r="E160">
        <f t="shared" si="24"/>
        <v>-0.32490427089601798</v>
      </c>
      <c r="F160">
        <f t="shared" si="25"/>
        <v>-0.69152095569959904</v>
      </c>
      <c r="G160">
        <f t="shared" si="26"/>
        <v>0.29016021586518698</v>
      </c>
      <c r="H160" s="6">
        <f t="shared" si="27"/>
        <v>2</v>
      </c>
      <c r="I160">
        <f t="shared" si="32"/>
        <v>0.89505609395894004</v>
      </c>
      <c r="J160">
        <f t="shared" si="28"/>
        <v>0</v>
      </c>
      <c r="K160">
        <f t="shared" si="29"/>
        <v>0</v>
      </c>
      <c r="L160">
        <f t="shared" si="30"/>
        <v>0</v>
      </c>
      <c r="O160" s="5">
        <v>1496275200</v>
      </c>
      <c r="P160" s="4">
        <v>4.8641795006686097</v>
      </c>
      <c r="Q160" s="4">
        <v>8.2155104844124305E-2</v>
      </c>
      <c r="R160" s="4">
        <v>-0.40136073983440901</v>
      </c>
      <c r="S160" s="4">
        <v>-0.32490427089601798</v>
      </c>
      <c r="T160" s="4">
        <v>-0.69152095569959904</v>
      </c>
      <c r="U160" s="4">
        <v>0.29016021586518698</v>
      </c>
      <c r="V160" s="4">
        <v>0.89505609395894004</v>
      </c>
      <c r="W160" s="4">
        <v>0</v>
      </c>
      <c r="X160" s="4">
        <v>0</v>
      </c>
      <c r="Y160" s="4">
        <v>0</v>
      </c>
    </row>
    <row r="161" spans="1:25" x14ac:dyDescent="0.35">
      <c r="A161" s="1">
        <v>42979</v>
      </c>
      <c r="B161">
        <f t="shared" si="31"/>
        <v>3.49728515322695</v>
      </c>
      <c r="C161">
        <f t="shared" si="22"/>
        <v>-0.112508926535762</v>
      </c>
      <c r="D161">
        <f t="shared" si="23"/>
        <v>-0.77260314385015005</v>
      </c>
      <c r="E161">
        <f t="shared" si="24"/>
        <v>-1.1551145555547</v>
      </c>
      <c r="F161">
        <f t="shared" si="25"/>
        <v>-0.84139687661955898</v>
      </c>
      <c r="G161">
        <f t="shared" si="26"/>
        <v>6.8793732769405605E-2</v>
      </c>
      <c r="H161" s="6">
        <f t="shared" si="27"/>
        <v>2</v>
      </c>
      <c r="I161">
        <f t="shared" si="32"/>
        <v>0.46790161038342198</v>
      </c>
      <c r="J161">
        <f t="shared" si="28"/>
        <v>0</v>
      </c>
      <c r="K161">
        <f t="shared" si="29"/>
        <v>0</v>
      </c>
      <c r="L161">
        <f t="shared" si="30"/>
        <v>0</v>
      </c>
      <c r="O161" s="5">
        <v>1504224000</v>
      </c>
      <c r="P161" s="4">
        <v>3.49728515322695</v>
      </c>
      <c r="Q161" s="4">
        <v>-0.112508926535762</v>
      </c>
      <c r="R161" s="4">
        <v>-0.77260314385015005</v>
      </c>
      <c r="S161" s="4">
        <v>-1.1551145555547</v>
      </c>
      <c r="T161" s="4">
        <v>-0.84139687661955898</v>
      </c>
      <c r="U161" s="4">
        <v>6.8793732769405605E-2</v>
      </c>
      <c r="V161" s="4">
        <v>0.46790161038342198</v>
      </c>
      <c r="W161" s="4">
        <v>0</v>
      </c>
      <c r="X161" s="4">
        <v>0</v>
      </c>
      <c r="Y161" s="4">
        <v>0</v>
      </c>
    </row>
    <row r="162" spans="1:25" x14ac:dyDescent="0.35">
      <c r="A162" s="1">
        <v>43070</v>
      </c>
      <c r="B162">
        <f t="shared" si="31"/>
        <v>2.6901278041856802</v>
      </c>
      <c r="C162">
        <f t="shared" si="22"/>
        <v>6.2494953717021198E-2</v>
      </c>
      <c r="D162">
        <f t="shared" si="23"/>
        <v>-1.0844595286682299</v>
      </c>
      <c r="E162">
        <f t="shared" si="24"/>
        <v>-1.3088724699402501</v>
      </c>
      <c r="F162">
        <f t="shared" si="25"/>
        <v>-0.78601201611053095</v>
      </c>
      <c r="G162">
        <f t="shared" si="26"/>
        <v>-0.29844751255767998</v>
      </c>
      <c r="H162" s="6">
        <f t="shared" si="27"/>
        <v>2</v>
      </c>
      <c r="I162">
        <f t="shared" si="32"/>
        <v>0.21566493880802501</v>
      </c>
      <c r="J162">
        <f t="shared" si="28"/>
        <v>0</v>
      </c>
      <c r="K162">
        <f t="shared" si="29"/>
        <v>0</v>
      </c>
      <c r="L162">
        <f t="shared" si="30"/>
        <v>0</v>
      </c>
      <c r="O162" s="5">
        <v>1512086400</v>
      </c>
      <c r="P162" s="4">
        <v>2.6901278041856802</v>
      </c>
      <c r="Q162" s="4">
        <v>6.2494953717021198E-2</v>
      </c>
      <c r="R162" s="4">
        <v>-1.0844595286682299</v>
      </c>
      <c r="S162" s="4">
        <v>-1.3088724699402501</v>
      </c>
      <c r="T162" s="4">
        <v>-0.78601201611053095</v>
      </c>
      <c r="U162" s="4">
        <v>-0.29844751255767998</v>
      </c>
      <c r="V162" s="4">
        <v>0.21566493880802501</v>
      </c>
      <c r="W162" s="4">
        <v>0</v>
      </c>
      <c r="X162" s="4">
        <v>0</v>
      </c>
      <c r="Y162" s="4">
        <v>0</v>
      </c>
    </row>
    <row r="163" spans="1:25" x14ac:dyDescent="0.35">
      <c r="A163" s="1">
        <v>43160</v>
      </c>
      <c r="B163">
        <f t="shared" si="31"/>
        <v>2.7412483390456299</v>
      </c>
      <c r="C163">
        <f t="shared" si="22"/>
        <v>-0.210703336503683</v>
      </c>
      <c r="D163">
        <f t="shared" si="23"/>
        <v>-1.86915089334226</v>
      </c>
      <c r="E163">
        <f t="shared" si="24"/>
        <v>-1.85015691988315</v>
      </c>
      <c r="F163">
        <f t="shared" si="25"/>
        <v>-1.01922569866876</v>
      </c>
      <c r="G163">
        <f t="shared" si="26"/>
        <v>-0.84992519467350702</v>
      </c>
      <c r="H163" s="6">
        <f t="shared" si="27"/>
        <v>2</v>
      </c>
      <c r="I163">
        <f t="shared" si="32"/>
        <v>0.23164010595175799</v>
      </c>
      <c r="J163">
        <f t="shared" si="28"/>
        <v>0</v>
      </c>
      <c r="K163">
        <f t="shared" si="29"/>
        <v>0</v>
      </c>
      <c r="L163">
        <f t="shared" si="30"/>
        <v>0</v>
      </c>
      <c r="O163" s="5">
        <v>1519862400</v>
      </c>
      <c r="P163" s="4">
        <v>2.7412483390456299</v>
      </c>
      <c r="Q163" s="4">
        <v>-0.210703336503683</v>
      </c>
      <c r="R163" s="4">
        <v>-1.86915089334226</v>
      </c>
      <c r="S163" s="4">
        <v>-1.85015691988315</v>
      </c>
      <c r="T163" s="4">
        <v>-1.01922569866876</v>
      </c>
      <c r="U163" s="4">
        <v>-0.84992519467350702</v>
      </c>
      <c r="V163" s="4">
        <v>0.23164010595175799</v>
      </c>
      <c r="W163" s="4">
        <v>0</v>
      </c>
      <c r="X163" s="4">
        <v>0</v>
      </c>
      <c r="Y163" s="4">
        <v>0</v>
      </c>
    </row>
    <row r="164" spans="1:25" x14ac:dyDescent="0.35">
      <c r="A164" s="1">
        <v>43252</v>
      </c>
      <c r="B164">
        <f t="shared" si="31"/>
        <v>3.64808374358724</v>
      </c>
      <c r="C164">
        <f t="shared" si="22"/>
        <v>0.17301000340341199</v>
      </c>
      <c r="D164">
        <f t="shared" si="23"/>
        <v>-0.52302900793001506</v>
      </c>
      <c r="E164">
        <f t="shared" si="24"/>
        <v>-0.16586126851896599</v>
      </c>
      <c r="F164">
        <f t="shared" si="25"/>
        <v>-0.82544738220458302</v>
      </c>
      <c r="G164">
        <f t="shared" si="26"/>
        <v>0.30241837427458401</v>
      </c>
      <c r="H164" s="6">
        <f t="shared" si="27"/>
        <v>2</v>
      </c>
      <c r="I164">
        <f t="shared" si="32"/>
        <v>0.51502616987101302</v>
      </c>
      <c r="J164">
        <f t="shared" si="28"/>
        <v>0</v>
      </c>
      <c r="K164">
        <f t="shared" si="29"/>
        <v>0</v>
      </c>
      <c r="L164">
        <f t="shared" si="30"/>
        <v>0</v>
      </c>
      <c r="O164" s="5">
        <v>1527811200</v>
      </c>
      <c r="P164" s="4">
        <v>3.64808374358724</v>
      </c>
      <c r="Q164" s="4">
        <v>0.17301000340341199</v>
      </c>
      <c r="R164" s="4">
        <v>-0.52302900793001506</v>
      </c>
      <c r="S164" s="4">
        <v>-0.16586126851896599</v>
      </c>
      <c r="T164" s="4">
        <v>-0.82544738220458302</v>
      </c>
      <c r="U164" s="4">
        <v>0.30241837427458401</v>
      </c>
      <c r="V164" s="4">
        <v>0.51502616987101302</v>
      </c>
      <c r="W164" s="4">
        <v>0</v>
      </c>
      <c r="X164" s="4">
        <v>0</v>
      </c>
      <c r="Y164" s="4">
        <v>0</v>
      </c>
    </row>
    <row r="165" spans="1:25" x14ac:dyDescent="0.35">
      <c r="A165" s="1">
        <v>43344</v>
      </c>
      <c r="B165">
        <f t="shared" si="31"/>
        <v>3.4814392789487099</v>
      </c>
      <c r="C165">
        <f t="shared" si="22"/>
        <v>0.28040785373557597</v>
      </c>
      <c r="D165">
        <f t="shared" si="23"/>
        <v>-0.13533964459702499</v>
      </c>
      <c r="E165">
        <f t="shared" si="24"/>
        <v>0.54350996269310803</v>
      </c>
      <c r="F165">
        <f t="shared" si="25"/>
        <v>-0.75996921656243399</v>
      </c>
      <c r="G165">
        <f t="shared" si="26"/>
        <v>0.62462957196540503</v>
      </c>
      <c r="H165" s="6">
        <f t="shared" si="27"/>
        <v>2</v>
      </c>
      <c r="I165">
        <f t="shared" si="32"/>
        <v>0.46294977467147302</v>
      </c>
      <c r="J165">
        <f t="shared" si="28"/>
        <v>0</v>
      </c>
      <c r="K165">
        <f t="shared" si="29"/>
        <v>0</v>
      </c>
      <c r="L165">
        <f t="shared" si="30"/>
        <v>0</v>
      </c>
      <c r="O165" s="5">
        <v>1535760000</v>
      </c>
      <c r="P165" s="4">
        <v>3.4814392789487099</v>
      </c>
      <c r="Q165" s="4">
        <v>0.28040785373557597</v>
      </c>
      <c r="R165" s="4">
        <v>-0.13533964459702499</v>
      </c>
      <c r="S165" s="4">
        <v>0.54350996269310803</v>
      </c>
      <c r="T165" s="4">
        <v>-0.75996921656243399</v>
      </c>
      <c r="U165" s="4">
        <v>0.62462957196540503</v>
      </c>
      <c r="V165" s="4">
        <v>0.46294977467147302</v>
      </c>
      <c r="W165" s="4">
        <v>0</v>
      </c>
      <c r="X165" s="4">
        <v>0</v>
      </c>
      <c r="Y165" s="4">
        <v>0</v>
      </c>
    </row>
    <row r="166" spans="1:25" x14ac:dyDescent="0.35">
      <c r="A166" s="1">
        <v>43435</v>
      </c>
      <c r="B166">
        <f t="shared" si="31"/>
        <v>3.01842872455342</v>
      </c>
      <c r="C166">
        <f t="shared" si="22"/>
        <v>0.80342119431708503</v>
      </c>
      <c r="D166">
        <f t="shared" si="23"/>
        <v>-0.22763290278492401</v>
      </c>
      <c r="E166">
        <f t="shared" si="24"/>
        <v>-1.56954000595808E-2</v>
      </c>
      <c r="F166">
        <f t="shared" si="25"/>
        <v>-0.504643337447232</v>
      </c>
      <c r="G166">
        <f t="shared" si="26"/>
        <v>0.277010434662325</v>
      </c>
      <c r="H166" s="6">
        <f t="shared" si="27"/>
        <v>2</v>
      </c>
      <c r="I166">
        <f t="shared" si="32"/>
        <v>0.31825897642294299</v>
      </c>
      <c r="J166">
        <f t="shared" si="28"/>
        <v>0</v>
      </c>
      <c r="K166">
        <f t="shared" si="29"/>
        <v>0</v>
      </c>
      <c r="L166">
        <f t="shared" si="30"/>
        <v>0</v>
      </c>
      <c r="O166" s="5">
        <v>1543622400</v>
      </c>
      <c r="P166" s="4">
        <v>3.01842872455342</v>
      </c>
      <c r="Q166" s="4">
        <v>0.80342119431708503</v>
      </c>
      <c r="R166" s="4">
        <v>-0.22763290278492401</v>
      </c>
      <c r="S166" s="4">
        <v>-1.56954000595808E-2</v>
      </c>
      <c r="T166" s="4">
        <v>-0.504643337447232</v>
      </c>
      <c r="U166" s="4">
        <v>0.277010434662325</v>
      </c>
      <c r="V166" s="4">
        <v>0.31825897642294299</v>
      </c>
      <c r="W166" s="4">
        <v>0</v>
      </c>
      <c r="X166" s="4">
        <v>0</v>
      </c>
      <c r="Y166" s="4">
        <v>0</v>
      </c>
    </row>
    <row r="167" spans="1:25" x14ac:dyDescent="0.35">
      <c r="A167" s="1">
        <v>43525</v>
      </c>
      <c r="B167">
        <f t="shared" si="31"/>
        <v>3.5741496460916</v>
      </c>
      <c r="C167">
        <f t="shared" si="22"/>
        <v>-5.0122025578417398E-2</v>
      </c>
      <c r="D167">
        <f t="shared" si="23"/>
        <v>-0.18694565350145401</v>
      </c>
      <c r="E167">
        <f t="shared" si="24"/>
        <v>0.12372528393896499</v>
      </c>
      <c r="F167">
        <f t="shared" si="25"/>
        <v>-1.3077099978601301</v>
      </c>
      <c r="G167">
        <f t="shared" si="26"/>
        <v>1.1207643443586801</v>
      </c>
      <c r="H167" s="6">
        <f t="shared" si="27"/>
        <v>2</v>
      </c>
      <c r="I167">
        <f t="shared" si="32"/>
        <v>0.49192176440362601</v>
      </c>
      <c r="J167">
        <f t="shared" si="28"/>
        <v>0</v>
      </c>
      <c r="K167">
        <f t="shared" si="29"/>
        <v>0</v>
      </c>
      <c r="L167">
        <f t="shared" si="30"/>
        <v>0</v>
      </c>
      <c r="O167" s="5">
        <v>1551398400</v>
      </c>
      <c r="P167" s="4">
        <v>3.5741496460916</v>
      </c>
      <c r="Q167" s="4">
        <v>-5.0122025578417398E-2</v>
      </c>
      <c r="R167" s="4">
        <v>-0.18694565350145401</v>
      </c>
      <c r="S167" s="4">
        <v>0.12372528393896499</v>
      </c>
      <c r="T167" s="4">
        <v>-1.3077099978601301</v>
      </c>
      <c r="U167" s="4">
        <v>1.1207643443586801</v>
      </c>
      <c r="V167" s="4">
        <v>0.49192176440362601</v>
      </c>
      <c r="W167" s="4">
        <v>0</v>
      </c>
      <c r="X167" s="4">
        <v>0</v>
      </c>
      <c r="Y167" s="4">
        <v>0</v>
      </c>
    </row>
    <row r="168" spans="1:25" x14ac:dyDescent="0.35">
      <c r="A168" s="1">
        <v>43617</v>
      </c>
      <c r="B168">
        <f t="shared" si="31"/>
        <v>4.1969285259014804</v>
      </c>
      <c r="C168">
        <f t="shared" si="22"/>
        <v>0.49111358573444702</v>
      </c>
      <c r="D168">
        <f t="shared" si="23"/>
        <v>0.88235961763429904</v>
      </c>
      <c r="E168">
        <f t="shared" si="24"/>
        <v>1.67674578819263</v>
      </c>
      <c r="F168">
        <f t="shared" si="25"/>
        <v>-0.97528527425933398</v>
      </c>
      <c r="G168">
        <f t="shared" si="26"/>
        <v>1.8576448918936601</v>
      </c>
      <c r="H168" s="6">
        <f t="shared" si="27"/>
        <v>2</v>
      </c>
      <c r="I168">
        <f t="shared" si="32"/>
        <v>0.68654016434421195</v>
      </c>
      <c r="J168">
        <f t="shared" si="28"/>
        <v>0</v>
      </c>
      <c r="K168">
        <f t="shared" si="29"/>
        <v>0</v>
      </c>
      <c r="L168">
        <f t="shared" si="30"/>
        <v>0</v>
      </c>
      <c r="O168" s="5">
        <v>1559347200</v>
      </c>
      <c r="P168" s="4">
        <v>4.1969285259014804</v>
      </c>
      <c r="Q168" s="4">
        <v>0.49111358573444702</v>
      </c>
      <c r="R168" s="4">
        <v>0.88235961763429904</v>
      </c>
      <c r="S168" s="4">
        <v>1.67674578819263</v>
      </c>
      <c r="T168" s="4">
        <v>-0.97528527425933398</v>
      </c>
      <c r="U168" s="4">
        <v>1.8576448918936601</v>
      </c>
      <c r="V168" s="4">
        <v>0.68654016434421195</v>
      </c>
      <c r="W168" s="4">
        <v>0</v>
      </c>
      <c r="X168" s="4">
        <v>0</v>
      </c>
      <c r="Y168" s="4">
        <v>0</v>
      </c>
    </row>
    <row r="169" spans="1:25" x14ac:dyDescent="0.35">
      <c r="A169" s="1">
        <v>43709</v>
      </c>
      <c r="B169">
        <f t="shared" si="31"/>
        <v>5.0357793329168796</v>
      </c>
      <c r="C169">
        <f t="shared" si="22"/>
        <v>0.882151811930455</v>
      </c>
      <c r="D169">
        <f t="shared" si="23"/>
        <v>1.55093243992076</v>
      </c>
      <c r="E169">
        <f t="shared" si="24"/>
        <v>1.9289459626461301</v>
      </c>
      <c r="F169">
        <f t="shared" si="25"/>
        <v>-0.53176383183363296</v>
      </c>
      <c r="G169">
        <f t="shared" si="26"/>
        <v>2.0826962717544202</v>
      </c>
      <c r="H169" s="6">
        <f t="shared" si="27"/>
        <v>2</v>
      </c>
      <c r="I169">
        <f t="shared" si="32"/>
        <v>0.94868104153652499</v>
      </c>
      <c r="J169">
        <f t="shared" si="28"/>
        <v>0</v>
      </c>
      <c r="K169">
        <f t="shared" si="29"/>
        <v>0</v>
      </c>
      <c r="L169">
        <f t="shared" si="30"/>
        <v>0</v>
      </c>
      <c r="O169" s="5">
        <v>1567296000</v>
      </c>
      <c r="P169" s="4">
        <v>5.0357793329168796</v>
      </c>
      <c r="Q169" s="4">
        <v>0.882151811930455</v>
      </c>
      <c r="R169" s="4">
        <v>1.55093243992076</v>
      </c>
      <c r="S169" s="4">
        <v>1.9289459626461301</v>
      </c>
      <c r="T169" s="4">
        <v>-0.53176383183363296</v>
      </c>
      <c r="U169" s="4">
        <v>2.0826962717544202</v>
      </c>
      <c r="V169" s="4">
        <v>0.94868104153652499</v>
      </c>
      <c r="W169" s="4">
        <v>0</v>
      </c>
      <c r="X169" s="4">
        <v>0</v>
      </c>
      <c r="Y169" s="4">
        <v>0</v>
      </c>
    </row>
    <row r="170" spans="1:25" x14ac:dyDescent="0.35">
      <c r="A170" s="1">
        <v>43800</v>
      </c>
      <c r="B170">
        <f t="shared" si="31"/>
        <v>4.0891321518783403</v>
      </c>
      <c r="C170">
        <f t="shared" si="22"/>
        <v>1.02747017993208</v>
      </c>
      <c r="D170">
        <f t="shared" si="23"/>
        <v>0.64756942469269796</v>
      </c>
      <c r="E170">
        <f t="shared" si="24"/>
        <v>0.80216198593780697</v>
      </c>
      <c r="F170">
        <f t="shared" si="25"/>
        <v>-0.215281465310036</v>
      </c>
      <c r="G170">
        <f t="shared" si="26"/>
        <v>0.86285089000273596</v>
      </c>
      <c r="H170" s="6">
        <f t="shared" si="27"/>
        <v>2</v>
      </c>
      <c r="I170">
        <f t="shared" si="32"/>
        <v>0.65285379746198102</v>
      </c>
      <c r="J170">
        <f t="shared" si="28"/>
        <v>0</v>
      </c>
      <c r="K170">
        <f t="shared" si="29"/>
        <v>0</v>
      </c>
      <c r="L170">
        <f t="shared" si="30"/>
        <v>0</v>
      </c>
      <c r="O170" s="5">
        <v>1575158400</v>
      </c>
      <c r="P170" s="4">
        <v>4.0891321518783403</v>
      </c>
      <c r="Q170" s="4">
        <v>1.02747017993208</v>
      </c>
      <c r="R170" s="4">
        <v>0.64756942469269796</v>
      </c>
      <c r="S170" s="4">
        <v>0.80216198593780697</v>
      </c>
      <c r="T170" s="4">
        <v>-0.215281465310036</v>
      </c>
      <c r="U170" s="4">
        <v>0.86285089000273596</v>
      </c>
      <c r="V170" s="4">
        <v>0.65285379746198102</v>
      </c>
      <c r="W170" s="4">
        <v>0</v>
      </c>
      <c r="X170" s="4">
        <v>0</v>
      </c>
      <c r="Y170" s="4">
        <v>0</v>
      </c>
    </row>
    <row r="171" spans="1:25" x14ac:dyDescent="0.35">
      <c r="A171" s="1">
        <v>43891</v>
      </c>
      <c r="B171">
        <f t="shared" si="31"/>
        <v>6.8568938459263302</v>
      </c>
      <c r="C171">
        <f t="shared" si="22"/>
        <v>2.0510964366129798</v>
      </c>
      <c r="D171">
        <f t="shared" si="23"/>
        <v>1.7653326149234501</v>
      </c>
      <c r="E171">
        <f t="shared" si="24"/>
        <v>1.02312109910051</v>
      </c>
      <c r="F171">
        <f t="shared" si="25"/>
        <v>0.12583752829997799</v>
      </c>
      <c r="G171">
        <f t="shared" si="26"/>
        <v>1.6394950866234801</v>
      </c>
      <c r="H171" s="6">
        <f t="shared" si="27"/>
        <v>2</v>
      </c>
      <c r="I171">
        <f t="shared" si="32"/>
        <v>1.5177793268519799</v>
      </c>
      <c r="J171">
        <f t="shared" si="28"/>
        <v>1.5967636441556601E-2</v>
      </c>
      <c r="K171">
        <f t="shared" si="29"/>
        <v>0</v>
      </c>
      <c r="L171">
        <f t="shared" si="30"/>
        <v>0</v>
      </c>
      <c r="O171" s="5">
        <v>1583020800</v>
      </c>
      <c r="P171" s="4">
        <v>6.8568938459263302</v>
      </c>
      <c r="Q171" s="4">
        <v>2.0510964366129798</v>
      </c>
      <c r="R171" s="4">
        <v>1.7653326149234501</v>
      </c>
      <c r="S171" s="4">
        <v>1.02312109910051</v>
      </c>
      <c r="T171" s="4">
        <v>0.12583752829997799</v>
      </c>
      <c r="U171" s="4">
        <v>1.6394950866234801</v>
      </c>
      <c r="V171" s="4">
        <v>1.5177793268519799</v>
      </c>
      <c r="W171" s="4">
        <v>1.5967636441556601E-2</v>
      </c>
      <c r="X171" s="4">
        <v>0</v>
      </c>
      <c r="Y171" s="4">
        <v>0</v>
      </c>
    </row>
    <row r="172" spans="1:25" x14ac:dyDescent="0.35">
      <c r="A172" s="1">
        <v>43983</v>
      </c>
      <c r="B172">
        <f t="shared" si="31"/>
        <v>19.7743180686439</v>
      </c>
      <c r="C172">
        <f t="shared" si="22"/>
        <v>8.3407235707574294</v>
      </c>
      <c r="D172">
        <f t="shared" si="23"/>
        <v>11.855638152990499</v>
      </c>
      <c r="E172">
        <f t="shared" si="24"/>
        <v>4.40925291634034</v>
      </c>
      <c r="F172">
        <f t="shared" si="25"/>
        <v>2.27869737079501</v>
      </c>
      <c r="G172">
        <f t="shared" si="26"/>
        <v>9.5769407821954999</v>
      </c>
      <c r="H172" s="6">
        <f t="shared" si="27"/>
        <v>2</v>
      </c>
      <c r="I172">
        <f t="shared" si="32"/>
        <v>2.5</v>
      </c>
      <c r="J172">
        <f t="shared" si="28"/>
        <v>1.9814761158617</v>
      </c>
      <c r="K172">
        <f t="shared" si="29"/>
        <v>2.5</v>
      </c>
      <c r="L172">
        <f t="shared" si="30"/>
        <v>0.75289153635635597</v>
      </c>
      <c r="O172" s="5">
        <v>1590969600</v>
      </c>
      <c r="P172" s="4">
        <v>19.7743180686439</v>
      </c>
      <c r="Q172" s="4">
        <v>8.3407235707574294</v>
      </c>
      <c r="R172" s="4">
        <v>11.855638152990499</v>
      </c>
      <c r="S172" s="4">
        <v>4.40925291634034</v>
      </c>
      <c r="T172" s="4">
        <v>2.27869737079501</v>
      </c>
      <c r="U172" s="4">
        <v>9.5769407821954999</v>
      </c>
      <c r="V172" s="4">
        <v>2.5</v>
      </c>
      <c r="W172" s="4">
        <v>1.9814761158617</v>
      </c>
      <c r="X172" s="4">
        <v>2.5</v>
      </c>
      <c r="Y172" s="4">
        <v>0.75289153635635597</v>
      </c>
    </row>
    <row r="173" spans="1:25" x14ac:dyDescent="0.35">
      <c r="A173" s="1">
        <v>44075</v>
      </c>
      <c r="B173">
        <f t="shared" si="31"/>
        <v>22.016196924400099</v>
      </c>
      <c r="C173">
        <f t="shared" si="22"/>
        <v>10.3614085352405</v>
      </c>
      <c r="D173">
        <f t="shared" si="23"/>
        <v>13.6144397235035</v>
      </c>
      <c r="E173">
        <f t="shared" si="24"/>
        <v>5.3718787335909299</v>
      </c>
      <c r="F173">
        <f t="shared" si="25"/>
        <v>3.1583320764288501</v>
      </c>
      <c r="G173">
        <f t="shared" si="26"/>
        <v>10.456107647074599</v>
      </c>
      <c r="H173" s="6">
        <f t="shared" si="27"/>
        <v>2</v>
      </c>
      <c r="I173">
        <f t="shared" si="32"/>
        <v>2.5</v>
      </c>
      <c r="J173">
        <f t="shared" si="28"/>
        <v>2.5</v>
      </c>
      <c r="K173">
        <f t="shared" si="29"/>
        <v>2.5</v>
      </c>
      <c r="L173">
        <f t="shared" si="30"/>
        <v>1.05371210424716</v>
      </c>
      <c r="O173" s="5">
        <v>1598918400</v>
      </c>
      <c r="P173" s="4">
        <v>22.016196924400099</v>
      </c>
      <c r="Q173" s="4">
        <v>10.3614085352405</v>
      </c>
      <c r="R173" s="4">
        <v>13.6144397235035</v>
      </c>
      <c r="S173" s="4">
        <v>5.3718787335909299</v>
      </c>
      <c r="T173" s="4">
        <v>3.1583320764288501</v>
      </c>
      <c r="U173" s="4">
        <v>10.456107647074599</v>
      </c>
      <c r="V173" s="4">
        <v>2.5</v>
      </c>
      <c r="W173" s="4">
        <v>2.5</v>
      </c>
      <c r="X173" s="4">
        <v>2.5</v>
      </c>
      <c r="Y173" s="4">
        <v>1.05371210424716</v>
      </c>
    </row>
    <row r="174" spans="1:25" x14ac:dyDescent="0.35">
      <c r="A174" s="1">
        <v>44166</v>
      </c>
      <c r="B174">
        <f t="shared" si="31"/>
        <v>23.642913465728501</v>
      </c>
      <c r="C174">
        <f t="shared" si="22"/>
        <v>11.137581716888</v>
      </c>
      <c r="D174">
        <f t="shared" si="23"/>
        <v>14.681379279344201</v>
      </c>
      <c r="E174">
        <f t="shared" si="24"/>
        <v>5.7791561115748697</v>
      </c>
      <c r="F174">
        <f t="shared" si="25"/>
        <v>3.8621611551731698</v>
      </c>
      <c r="G174">
        <f t="shared" si="26"/>
        <v>10.819218124171099</v>
      </c>
      <c r="H174" s="6">
        <f t="shared" si="27"/>
        <v>2</v>
      </c>
      <c r="I174">
        <f t="shared" si="32"/>
        <v>2.5</v>
      </c>
      <c r="J174">
        <f t="shared" si="28"/>
        <v>2.5</v>
      </c>
      <c r="K174">
        <f t="shared" si="29"/>
        <v>2.5</v>
      </c>
      <c r="L174">
        <f t="shared" si="30"/>
        <v>1.18098628486715</v>
      </c>
      <c r="O174" s="5">
        <v>1606780800</v>
      </c>
      <c r="P174" s="4">
        <v>23.642913465728501</v>
      </c>
      <c r="Q174" s="4">
        <v>11.137581716888</v>
      </c>
      <c r="R174" s="4">
        <v>14.681379279344201</v>
      </c>
      <c r="S174" s="4">
        <v>5.7791561115748697</v>
      </c>
      <c r="T174" s="4">
        <v>3.8621611551731698</v>
      </c>
      <c r="U174" s="4">
        <v>10.819218124171099</v>
      </c>
      <c r="V174" s="4">
        <v>2.5</v>
      </c>
      <c r="W174" s="4">
        <v>2.5</v>
      </c>
      <c r="X174" s="4">
        <v>2.5</v>
      </c>
      <c r="Y174" s="4">
        <v>1.18098628486715</v>
      </c>
    </row>
    <row r="175" spans="1:25" x14ac:dyDescent="0.35">
      <c r="A175" s="1">
        <v>44256</v>
      </c>
      <c r="B175">
        <f t="shared" si="31"/>
        <v>20.048947382805402</v>
      </c>
      <c r="C175">
        <f t="shared" si="22"/>
        <v>9.8834201992764594</v>
      </c>
      <c r="D175">
        <f t="shared" si="23"/>
        <v>10.982429403527901</v>
      </c>
      <c r="E175">
        <f t="shared" si="24"/>
        <v>3.49148056001449</v>
      </c>
      <c r="F175">
        <f t="shared" si="25"/>
        <v>3.19429571074757</v>
      </c>
      <c r="G175">
        <f t="shared" si="26"/>
        <v>7.7881336927803604</v>
      </c>
      <c r="H175" s="6">
        <f t="shared" si="27"/>
        <v>2</v>
      </c>
      <c r="I175">
        <f t="shared" si="32"/>
        <v>2.5</v>
      </c>
      <c r="J175">
        <f t="shared" si="28"/>
        <v>2.4635688122739001</v>
      </c>
      <c r="K175">
        <f t="shared" si="29"/>
        <v>2.5</v>
      </c>
      <c r="L175">
        <f t="shared" si="30"/>
        <v>0.46608767500452802</v>
      </c>
      <c r="O175" s="5">
        <v>1614556800</v>
      </c>
      <c r="P175" s="4">
        <v>20.048947382805402</v>
      </c>
      <c r="Q175" s="4">
        <v>9.8834201992764594</v>
      </c>
      <c r="R175" s="4">
        <v>10.982429403527901</v>
      </c>
      <c r="S175" s="4">
        <v>3.49148056001449</v>
      </c>
      <c r="T175" s="4">
        <v>3.19429571074757</v>
      </c>
      <c r="U175" s="4">
        <v>7.7881336927803604</v>
      </c>
      <c r="V175" s="4">
        <v>2.5</v>
      </c>
      <c r="W175" s="4">
        <v>2.4635688122739001</v>
      </c>
      <c r="X175" s="4">
        <v>2.5</v>
      </c>
      <c r="Y175" s="4">
        <v>0.46608767500452802</v>
      </c>
    </row>
    <row r="176" spans="1:25" x14ac:dyDescent="0.35">
      <c r="A176" s="1">
        <v>44348</v>
      </c>
      <c r="B176">
        <f t="shared" si="31"/>
        <v>11.4337335748735</v>
      </c>
      <c r="C176">
        <f t="shared" si="22"/>
        <v>6.0722909668212104</v>
      </c>
      <c r="D176">
        <f t="shared" si="23"/>
        <v>5.1191738855336997</v>
      </c>
      <c r="E176">
        <f t="shared" si="24"/>
        <v>0.33141902650747401</v>
      </c>
      <c r="F176">
        <f t="shared" si="25"/>
        <v>1.5387179629085499</v>
      </c>
      <c r="G176">
        <f t="shared" si="26"/>
        <v>3.58045592262514</v>
      </c>
      <c r="H176" s="6">
        <f t="shared" si="27"/>
        <v>2</v>
      </c>
      <c r="I176">
        <f t="shared" si="32"/>
        <v>2.5</v>
      </c>
      <c r="J176">
        <f t="shared" si="28"/>
        <v>1.27259092713163</v>
      </c>
      <c r="K176">
        <f t="shared" si="29"/>
        <v>0.97474183922928204</v>
      </c>
      <c r="L176">
        <f t="shared" si="30"/>
        <v>0</v>
      </c>
      <c r="O176" s="5">
        <v>1622505600</v>
      </c>
      <c r="P176" s="4">
        <v>11.4337335748735</v>
      </c>
      <c r="Q176" s="4">
        <v>6.0722909668212104</v>
      </c>
      <c r="R176" s="4">
        <v>5.1191738855336997</v>
      </c>
      <c r="S176" s="4">
        <v>0.33141902650747401</v>
      </c>
      <c r="T176" s="4">
        <v>1.5387179629085499</v>
      </c>
      <c r="U176" s="4">
        <v>3.58045592262514</v>
      </c>
      <c r="V176" s="4">
        <v>2.5</v>
      </c>
      <c r="W176" s="4">
        <v>1.27259092713163</v>
      </c>
      <c r="X176" s="4">
        <v>0.97474183922928204</v>
      </c>
      <c r="Y176" s="4">
        <v>0</v>
      </c>
    </row>
    <row r="177" spans="1:25" x14ac:dyDescent="0.35">
      <c r="A177" s="1">
        <v>44440</v>
      </c>
      <c r="B177">
        <f t="shared" si="31"/>
        <v>7.6981613325214404</v>
      </c>
      <c r="C177">
        <f t="shared" si="22"/>
        <v>4.57479514962065</v>
      </c>
      <c r="D177">
        <f t="shared" si="23"/>
        <v>2.64330894078316</v>
      </c>
      <c r="E177">
        <f t="shared" si="24"/>
        <v>-1.34371343926043</v>
      </c>
      <c r="F177">
        <f t="shared" si="25"/>
        <v>1.0226678806980301</v>
      </c>
      <c r="G177">
        <f t="shared" si="26"/>
        <v>1.62064106008514</v>
      </c>
      <c r="H177" s="6">
        <f t="shared" si="27"/>
        <v>2</v>
      </c>
      <c r="I177">
        <f t="shared" si="32"/>
        <v>1.7806754164129499</v>
      </c>
      <c r="J177">
        <f t="shared" si="28"/>
        <v>0.80462348425645303</v>
      </c>
      <c r="K177">
        <f t="shared" si="29"/>
        <v>0.20103404399473701</v>
      </c>
      <c r="L177">
        <f t="shared" si="30"/>
        <v>0</v>
      </c>
      <c r="O177" s="5">
        <v>1630454400</v>
      </c>
      <c r="P177" s="4">
        <v>7.6981613325214404</v>
      </c>
      <c r="Q177" s="4">
        <v>4.57479514962065</v>
      </c>
      <c r="R177" s="4">
        <v>2.64330894078316</v>
      </c>
      <c r="S177" s="4">
        <v>-1.34371343926043</v>
      </c>
      <c r="T177" s="4">
        <v>1.0226678806980301</v>
      </c>
      <c r="U177" s="4">
        <v>1.62064106008514</v>
      </c>
      <c r="V177" s="4">
        <v>1.7806754164129499</v>
      </c>
      <c r="W177" s="4">
        <v>0.80462348425645303</v>
      </c>
      <c r="X177" s="4">
        <v>0.20103404399473701</v>
      </c>
      <c r="Y177" s="4">
        <v>0</v>
      </c>
    </row>
    <row r="178" spans="1:25" x14ac:dyDescent="0.35">
      <c r="A178" s="1">
        <v>44531</v>
      </c>
      <c r="B178">
        <f t="shared" si="31"/>
        <v>4.8853732476355001</v>
      </c>
      <c r="C178">
        <f t="shared" si="22"/>
        <v>3.4102301300896301</v>
      </c>
      <c r="D178">
        <f t="shared" si="23"/>
        <v>0.91088644613862502</v>
      </c>
      <c r="E178">
        <f t="shared" si="24"/>
        <v>-2.8445842723256201</v>
      </c>
      <c r="F178">
        <f t="shared" si="25"/>
        <v>0.33377753953602102</v>
      </c>
      <c r="G178">
        <f t="shared" si="26"/>
        <v>0.57710890660260095</v>
      </c>
      <c r="H178" s="6">
        <f t="shared" si="27"/>
        <v>2</v>
      </c>
      <c r="I178">
        <f t="shared" si="32"/>
        <v>0.90167913988609305</v>
      </c>
      <c r="J178">
        <f t="shared" si="28"/>
        <v>0.44069691565301</v>
      </c>
      <c r="K178">
        <f t="shared" si="29"/>
        <v>0</v>
      </c>
      <c r="L178">
        <f t="shared" si="30"/>
        <v>0</v>
      </c>
      <c r="O178" s="5">
        <v>1638316800</v>
      </c>
      <c r="P178" s="4">
        <v>4.8853732476355001</v>
      </c>
      <c r="Q178" s="4">
        <v>3.4102301300896301</v>
      </c>
      <c r="R178" s="4">
        <v>0.91088644613862502</v>
      </c>
      <c r="S178" s="4">
        <v>-2.8445842723256201</v>
      </c>
      <c r="T178" s="4">
        <v>0.33377753953602102</v>
      </c>
      <c r="U178" s="4">
        <v>0.57710890660260095</v>
      </c>
      <c r="V178" s="4">
        <v>0.90167913988609305</v>
      </c>
      <c r="W178" s="4">
        <v>0.44069691565301</v>
      </c>
      <c r="X178" s="4">
        <v>0</v>
      </c>
      <c r="Y178" s="4">
        <v>0</v>
      </c>
    </row>
    <row r="179" spans="1:25" x14ac:dyDescent="0.35">
      <c r="A179" s="1">
        <v>44621</v>
      </c>
      <c r="B179">
        <f t="shared" si="31"/>
        <v>2.01650732235756</v>
      </c>
      <c r="C179">
        <f t="shared" si="22"/>
        <v>2.2521675299510799</v>
      </c>
      <c r="D179">
        <f t="shared" si="23"/>
        <v>-2.2919643471625202</v>
      </c>
      <c r="E179">
        <f t="shared" si="24"/>
        <v>-4.8143442442552704</v>
      </c>
      <c r="F179">
        <f t="shared" si="25"/>
        <v>-0.48529593023814599</v>
      </c>
      <c r="G179">
        <f t="shared" si="26"/>
        <v>-1.8066684169243801</v>
      </c>
      <c r="H179" s="6">
        <f t="shared" si="27"/>
        <v>2</v>
      </c>
      <c r="I179">
        <f t="shared" si="32"/>
        <v>5.1585382367359501E-3</v>
      </c>
      <c r="J179">
        <f t="shared" si="28"/>
        <v>7.8802353109713605E-2</v>
      </c>
      <c r="K179">
        <f t="shared" si="29"/>
        <v>0</v>
      </c>
      <c r="L179">
        <f t="shared" si="30"/>
        <v>0</v>
      </c>
      <c r="O179" s="5">
        <v>1646092800</v>
      </c>
      <c r="P179" s="4">
        <v>2.01650732235756</v>
      </c>
      <c r="Q179" s="4">
        <v>2.2521675299510799</v>
      </c>
      <c r="R179" s="4">
        <v>-2.2919643471625202</v>
      </c>
      <c r="S179" s="4">
        <v>-4.8143442442552704</v>
      </c>
      <c r="T179" s="4">
        <v>-0.48529593023814599</v>
      </c>
      <c r="U179" s="4">
        <v>-1.8066684169243801</v>
      </c>
      <c r="V179" s="4">
        <v>5.1585382367359501E-3</v>
      </c>
      <c r="W179" s="4">
        <v>7.8802353109713605E-2</v>
      </c>
      <c r="X179" s="4">
        <v>0</v>
      </c>
      <c r="Y179" s="4">
        <v>0</v>
      </c>
    </row>
    <row r="180" spans="1:25" x14ac:dyDescent="0.35">
      <c r="A180" s="1">
        <v>44713</v>
      </c>
      <c r="B180">
        <f t="shared" si="31"/>
        <v>0.15095650738458399</v>
      </c>
      <c r="C180">
        <f t="shared" si="22"/>
        <v>1.9583708877805199</v>
      </c>
      <c r="D180">
        <f t="shared" si="23"/>
        <v>-4.4863119314580802</v>
      </c>
      <c r="E180">
        <f t="shared" si="24"/>
        <v>-6.1315907928869704</v>
      </c>
      <c r="F180">
        <f t="shared" si="25"/>
        <v>-0.622635392643207</v>
      </c>
      <c r="G180">
        <f t="shared" si="26"/>
        <v>-3.8636765388148802</v>
      </c>
      <c r="H180" s="6">
        <f t="shared" si="27"/>
        <v>2</v>
      </c>
      <c r="I180">
        <f t="shared" si="32"/>
        <v>0</v>
      </c>
      <c r="J180">
        <f t="shared" si="28"/>
        <v>0</v>
      </c>
      <c r="K180">
        <f t="shared" si="29"/>
        <v>0</v>
      </c>
      <c r="L180">
        <f t="shared" si="30"/>
        <v>0</v>
      </c>
      <c r="O180" s="5">
        <v>1654041600</v>
      </c>
      <c r="P180" s="4">
        <v>0.15095650738458399</v>
      </c>
      <c r="Q180" s="4">
        <v>1.9583708877805199</v>
      </c>
      <c r="R180" s="4">
        <v>-4.4863119314580802</v>
      </c>
      <c r="S180" s="4">
        <v>-6.1315907928869704</v>
      </c>
      <c r="T180" s="4">
        <v>-0.622635392643207</v>
      </c>
      <c r="U180" s="4">
        <v>-3.8636765388148802</v>
      </c>
      <c r="V180" s="4">
        <v>0</v>
      </c>
      <c r="W180" s="4">
        <v>0</v>
      </c>
      <c r="X180" s="4">
        <v>0</v>
      </c>
      <c r="Y180" s="4">
        <v>0</v>
      </c>
    </row>
    <row r="181" spans="1:25" x14ac:dyDescent="0.35">
      <c r="A181" s="1">
        <v>44805</v>
      </c>
      <c r="B181">
        <f t="shared" si="31"/>
        <v>-0.205284644119404</v>
      </c>
      <c r="C181">
        <f t="shared" si="22"/>
        <v>1.7235788062770001</v>
      </c>
      <c r="D181">
        <f t="shared" si="23"/>
        <v>-4.5236174735014503</v>
      </c>
      <c r="E181">
        <f t="shared" si="24"/>
        <v>-5.5817422810150701</v>
      </c>
      <c r="F181">
        <f t="shared" si="25"/>
        <v>-0.85621583564108805</v>
      </c>
      <c r="G181">
        <f t="shared" si="26"/>
        <v>-3.6674016378603702</v>
      </c>
      <c r="H181" s="6">
        <f t="shared" si="27"/>
        <v>2</v>
      </c>
      <c r="I181">
        <f t="shared" si="32"/>
        <v>0</v>
      </c>
      <c r="J181">
        <f t="shared" si="28"/>
        <v>0</v>
      </c>
      <c r="K181">
        <f t="shared" si="29"/>
        <v>0</v>
      </c>
      <c r="L181">
        <f t="shared" si="30"/>
        <v>0</v>
      </c>
      <c r="O181" s="5">
        <v>1661990400</v>
      </c>
      <c r="P181" s="4">
        <v>-0.205284644119404</v>
      </c>
      <c r="Q181" s="4">
        <v>1.7235788062770001</v>
      </c>
      <c r="R181" s="4">
        <v>-4.5236174735014503</v>
      </c>
      <c r="S181" s="4">
        <v>-5.5817422810150701</v>
      </c>
      <c r="T181" s="4">
        <v>-0.85621583564108805</v>
      </c>
      <c r="U181" s="4">
        <v>-3.6674016378603702</v>
      </c>
      <c r="V181" s="4">
        <v>0</v>
      </c>
      <c r="W181" s="4">
        <v>0</v>
      </c>
      <c r="X181" s="4">
        <v>0</v>
      </c>
      <c r="Y181" s="4">
        <v>0</v>
      </c>
    </row>
    <row r="182" spans="1:25" x14ac:dyDescent="0.35">
      <c r="A182" s="1">
        <v>44896</v>
      </c>
      <c r="B182">
        <f t="shared" si="31"/>
        <v>-1.97211564231127</v>
      </c>
      <c r="C182">
        <f t="shared" si="22"/>
        <v>1.0251229052428901</v>
      </c>
      <c r="D182">
        <f t="shared" si="23"/>
        <v>-5.24355925009435</v>
      </c>
      <c r="E182">
        <f t="shared" si="24"/>
        <v>-6.1459027707797498</v>
      </c>
      <c r="F182">
        <f t="shared" si="25"/>
        <v>-1.5071869151034301</v>
      </c>
      <c r="G182">
        <f t="shared" si="26"/>
        <v>-3.7363723349909201</v>
      </c>
      <c r="H182" s="6">
        <f t="shared" si="27"/>
        <v>2</v>
      </c>
      <c r="I182">
        <f t="shared" si="32"/>
        <v>0</v>
      </c>
      <c r="J182">
        <f t="shared" si="28"/>
        <v>0</v>
      </c>
      <c r="K182">
        <f t="shared" si="29"/>
        <v>0</v>
      </c>
      <c r="L182">
        <f t="shared" si="30"/>
        <v>0</v>
      </c>
      <c r="O182" s="5">
        <v>1669852800</v>
      </c>
      <c r="P182" s="4">
        <v>-1.97211564231127</v>
      </c>
      <c r="Q182" s="4">
        <v>1.0251229052428901</v>
      </c>
      <c r="R182" s="4">
        <v>-5.24355925009435</v>
      </c>
      <c r="S182" s="4">
        <v>-6.1459027707797498</v>
      </c>
      <c r="T182" s="4">
        <v>-1.5071869151034301</v>
      </c>
      <c r="U182" s="4">
        <v>-3.7363723349909201</v>
      </c>
      <c r="V182" s="4">
        <v>0</v>
      </c>
      <c r="W182" s="4">
        <v>0</v>
      </c>
      <c r="X182" s="4">
        <v>0</v>
      </c>
      <c r="Y182" s="4">
        <v>0</v>
      </c>
    </row>
    <row r="183" spans="1:25" x14ac:dyDescent="0.35">
      <c r="A183" s="1">
        <v>44986</v>
      </c>
      <c r="B183">
        <f t="shared" si="31"/>
        <v>-5.4063134397471302</v>
      </c>
      <c r="C183">
        <f t="shared" si="22"/>
        <v>-0.74603946027704404</v>
      </c>
      <c r="D183">
        <f t="shared" si="23"/>
        <v>-7.3574575432184997</v>
      </c>
      <c r="E183">
        <f t="shared" si="24"/>
        <v>-7.2824011615686004</v>
      </c>
      <c r="F183">
        <f t="shared" si="25"/>
        <v>-2.45973835090938</v>
      </c>
      <c r="G183">
        <f t="shared" si="26"/>
        <v>-4.8977191923091397</v>
      </c>
      <c r="H183" s="6">
        <f t="shared" si="27"/>
        <v>2</v>
      </c>
      <c r="I183">
        <f t="shared" si="32"/>
        <v>0</v>
      </c>
      <c r="J183">
        <f t="shared" si="28"/>
        <v>0</v>
      </c>
      <c r="K183">
        <f t="shared" si="29"/>
        <v>0</v>
      </c>
      <c r="L183">
        <f t="shared" si="30"/>
        <v>0</v>
      </c>
      <c r="O183" s="5">
        <v>1677628800</v>
      </c>
      <c r="P183" s="4">
        <v>-5.4063134397471302</v>
      </c>
      <c r="Q183" s="4">
        <v>-0.74603946027704404</v>
      </c>
      <c r="R183" s="4">
        <v>-7.3574575432184997</v>
      </c>
      <c r="S183" s="4">
        <v>-7.2824011615686004</v>
      </c>
      <c r="T183" s="4">
        <v>-2.45973835090938</v>
      </c>
      <c r="U183" s="4">
        <v>-4.8977191923091397</v>
      </c>
      <c r="V183" s="4">
        <v>0</v>
      </c>
      <c r="W183" s="4">
        <v>0</v>
      </c>
      <c r="X183" s="4">
        <v>0</v>
      </c>
      <c r="Y183" s="4">
        <v>0</v>
      </c>
    </row>
    <row r="184" spans="1:25" x14ac:dyDescent="0.35">
      <c r="A184" s="1">
        <v>45078</v>
      </c>
      <c r="B184">
        <f t="shared" si="31"/>
        <v>-8.5399556836875803</v>
      </c>
      <c r="C184">
        <f t="shared" si="22"/>
        <v>-2.7579457503456499</v>
      </c>
      <c r="D184">
        <f t="shared" si="23"/>
        <v>-9.6554979889385404</v>
      </c>
      <c r="E184">
        <f t="shared" si="24"/>
        <v>-7.7021837707333196</v>
      </c>
      <c r="F184">
        <f t="shared" si="25"/>
        <v>-3.4449734935459002</v>
      </c>
      <c r="G184">
        <f t="shared" si="26"/>
        <v>-6.2105244953926499</v>
      </c>
      <c r="H184" s="6">
        <f t="shared" si="27"/>
        <v>2</v>
      </c>
      <c r="I184">
        <f t="shared" si="32"/>
        <v>0</v>
      </c>
      <c r="J184">
        <f t="shared" si="28"/>
        <v>0</v>
      </c>
      <c r="K184">
        <f t="shared" si="29"/>
        <v>0</v>
      </c>
      <c r="L184">
        <f t="shared" si="30"/>
        <v>0</v>
      </c>
      <c r="O184" s="5">
        <v>1685577600</v>
      </c>
      <c r="P184" s="4">
        <v>-8.5399556836875803</v>
      </c>
      <c r="Q184" s="4">
        <v>-2.7579457503456499</v>
      </c>
      <c r="R184" s="4">
        <v>-9.6554979889385404</v>
      </c>
      <c r="S184" s="4">
        <v>-7.7021837707333196</v>
      </c>
      <c r="T184" s="4">
        <v>-3.4449734935459002</v>
      </c>
      <c r="U184" s="4">
        <v>-6.2105244953926499</v>
      </c>
      <c r="V184" s="4">
        <v>0</v>
      </c>
      <c r="W184" s="4">
        <v>0</v>
      </c>
      <c r="X184" s="4">
        <v>0</v>
      </c>
      <c r="Y184" s="4">
        <v>0</v>
      </c>
    </row>
    <row r="185" spans="1:25" x14ac:dyDescent="0.35">
      <c r="A185" s="1">
        <v>45170</v>
      </c>
      <c r="B185">
        <f t="shared" si="31"/>
        <v>-11.0415008533448</v>
      </c>
      <c r="C185">
        <f t="shared" si="22"/>
        <v>-4.5205031372074798</v>
      </c>
      <c r="D185">
        <f t="shared" si="23"/>
        <v>-11.4175371539471</v>
      </c>
      <c r="E185">
        <f t="shared" si="24"/>
        <v>-8.9536891158151697</v>
      </c>
      <c r="F185">
        <f t="shared" si="25"/>
        <v>-4.3840131946516099</v>
      </c>
      <c r="G185">
        <f t="shared" si="26"/>
        <v>-7.0335239592955201</v>
      </c>
      <c r="H185" s="6">
        <f t="shared" si="27"/>
        <v>2</v>
      </c>
      <c r="I185">
        <f t="shared" si="32"/>
        <v>0</v>
      </c>
      <c r="J185">
        <f t="shared" si="28"/>
        <v>0</v>
      </c>
      <c r="K185">
        <f t="shared" si="29"/>
        <v>0</v>
      </c>
      <c r="L185">
        <f t="shared" si="30"/>
        <v>0</v>
      </c>
      <c r="O185" s="5">
        <v>1693526400</v>
      </c>
      <c r="P185" s="4">
        <v>-11.0415008533448</v>
      </c>
      <c r="Q185" s="4">
        <v>-4.5205031372074798</v>
      </c>
      <c r="R185" s="4">
        <v>-11.4175371539471</v>
      </c>
      <c r="S185" s="4">
        <v>-8.9536891158151697</v>
      </c>
      <c r="T185" s="4">
        <v>-4.3840131946516099</v>
      </c>
      <c r="U185" s="4">
        <v>-7.0335239592955201</v>
      </c>
      <c r="V185" s="4">
        <v>0</v>
      </c>
      <c r="W185" s="4">
        <v>0</v>
      </c>
      <c r="X185" s="4">
        <v>0</v>
      </c>
      <c r="Y185" s="4">
        <v>0</v>
      </c>
    </row>
    <row r="186" spans="1:25" x14ac:dyDescent="0.35">
      <c r="A186" s="1">
        <v>45261</v>
      </c>
      <c r="B186">
        <f t="shared" si="31"/>
        <v>-12.586537549847099</v>
      </c>
      <c r="C186">
        <f t="shared" si="22"/>
        <v>-5.9952281833340297</v>
      </c>
      <c r="D186">
        <f t="shared" si="23"/>
        <v>-11.639331321615099</v>
      </c>
      <c r="E186">
        <f t="shared" si="24"/>
        <v>-9.2499046950606196</v>
      </c>
      <c r="F186">
        <f t="shared" si="25"/>
        <v>-5.3265999714680996</v>
      </c>
      <c r="G186">
        <f t="shared" si="26"/>
        <v>-6.3127313501470397</v>
      </c>
      <c r="H186" s="6">
        <f t="shared" si="27"/>
        <v>2</v>
      </c>
      <c r="I186">
        <f t="shared" si="32"/>
        <v>0</v>
      </c>
      <c r="J186">
        <f t="shared" si="28"/>
        <v>0</v>
      </c>
      <c r="K186">
        <f t="shared" si="29"/>
        <v>0</v>
      </c>
      <c r="L186">
        <f t="shared" si="30"/>
        <v>0</v>
      </c>
      <c r="O186" s="5">
        <v>1701388800</v>
      </c>
      <c r="P186" s="4">
        <v>-12.586537549847099</v>
      </c>
      <c r="Q186" s="4">
        <v>-5.9952281833340297</v>
      </c>
      <c r="R186" s="4">
        <v>-11.639331321615099</v>
      </c>
      <c r="S186" s="4">
        <v>-9.2499046950606196</v>
      </c>
      <c r="T186" s="4">
        <v>-5.3265999714680996</v>
      </c>
      <c r="U186" s="4">
        <v>-6.3127313501470397</v>
      </c>
      <c r="V186" s="4">
        <v>0</v>
      </c>
      <c r="W186" s="4">
        <v>0</v>
      </c>
      <c r="X186" s="4">
        <v>0</v>
      </c>
      <c r="Y186" s="4">
        <v>0</v>
      </c>
    </row>
    <row r="187" spans="1:25" x14ac:dyDescent="0.35">
      <c r="A187" s="1">
        <v>45352</v>
      </c>
      <c r="B187">
        <f t="shared" si="31"/>
        <v>-15.822903312489601</v>
      </c>
      <c r="C187">
        <f t="shared" si="22"/>
        <v>-7.64428739123196</v>
      </c>
      <c r="D187">
        <f t="shared" si="23"/>
        <v>-14.799499470217301</v>
      </c>
      <c r="E187">
        <f t="shared" si="24"/>
        <v>-11.9040225119774</v>
      </c>
      <c r="F187">
        <f t="shared" si="25"/>
        <v>-6.2145669245612796</v>
      </c>
      <c r="G187">
        <f t="shared" si="26"/>
        <v>-8.5849325456559793</v>
      </c>
      <c r="H187" s="6">
        <f t="shared" si="27"/>
        <v>2</v>
      </c>
      <c r="I187">
        <f t="shared" si="32"/>
        <v>0</v>
      </c>
      <c r="J187">
        <f t="shared" si="28"/>
        <v>0</v>
      </c>
      <c r="K187">
        <f t="shared" si="29"/>
        <v>0</v>
      </c>
      <c r="L187">
        <f t="shared" si="30"/>
        <v>0</v>
      </c>
      <c r="O187" s="5">
        <v>1709251200</v>
      </c>
      <c r="P187" s="4">
        <v>-15.822903312489601</v>
      </c>
      <c r="Q187" s="4">
        <v>-7.64428739123196</v>
      </c>
      <c r="R187" s="4">
        <v>-14.799499470217301</v>
      </c>
      <c r="S187" s="4">
        <v>-11.9040225119774</v>
      </c>
      <c r="T187" s="4">
        <v>-6.2145669245612796</v>
      </c>
      <c r="U187" s="4">
        <v>-8.5849325456559793</v>
      </c>
      <c r="V187" s="4">
        <v>0</v>
      </c>
      <c r="W187" s="4">
        <v>0</v>
      </c>
      <c r="X187" s="4">
        <v>0</v>
      </c>
      <c r="Y187" s="4">
        <v>0</v>
      </c>
    </row>
    <row r="188" spans="1:25" x14ac:dyDescent="0.35">
      <c r="A188" s="1">
        <v>45444</v>
      </c>
      <c r="B188">
        <f t="shared" si="31"/>
        <v>-15.7566786030541</v>
      </c>
      <c r="C188">
        <f t="shared" si="22"/>
        <v>-8.1925173285904993</v>
      </c>
      <c r="D188">
        <f t="shared" si="23"/>
        <v>-14.711009260247801</v>
      </c>
      <c r="E188">
        <f t="shared" si="24"/>
        <v>-11.140361507170899</v>
      </c>
      <c r="F188">
        <f t="shared" si="25"/>
        <v>-6.6425883919861199</v>
      </c>
      <c r="G188">
        <f t="shared" si="26"/>
        <v>-8.0684208682616898</v>
      </c>
      <c r="H188" s="6">
        <f t="shared" si="27"/>
        <v>2</v>
      </c>
      <c r="I188">
        <f t="shared" si="32"/>
        <v>0</v>
      </c>
      <c r="J188">
        <f t="shared" si="28"/>
        <v>0</v>
      </c>
      <c r="K188">
        <f t="shared" si="29"/>
        <v>0</v>
      </c>
      <c r="L188">
        <f t="shared" si="30"/>
        <v>0</v>
      </c>
      <c r="O188" s="5">
        <v>1717200000</v>
      </c>
      <c r="P188" s="4">
        <v>-15.7566786030541</v>
      </c>
      <c r="Q188" s="4">
        <v>-8.1925173285904993</v>
      </c>
      <c r="R188" s="4">
        <v>-14.711009260247801</v>
      </c>
      <c r="S188" s="4">
        <v>-11.140361507170899</v>
      </c>
      <c r="T188" s="4">
        <v>-6.6425883919861199</v>
      </c>
      <c r="U188" s="4">
        <v>-8.0684208682616898</v>
      </c>
      <c r="V188" s="4">
        <v>0</v>
      </c>
      <c r="W188" s="4">
        <v>0</v>
      </c>
      <c r="X188" s="4">
        <v>0</v>
      </c>
      <c r="Y188" s="4">
        <v>0</v>
      </c>
    </row>
    <row r="189" spans="1:25" x14ac:dyDescent="0.35">
      <c r="A189" s="1">
        <v>45536</v>
      </c>
      <c r="B189">
        <f t="shared" si="31"/>
        <v>-16.431503713949201</v>
      </c>
      <c r="C189">
        <f t="shared" si="22"/>
        <v>-8.8711156828611806</v>
      </c>
      <c r="D189">
        <f t="shared" si="23"/>
        <v>-14.532104756925699</v>
      </c>
      <c r="E189">
        <f t="shared" si="24"/>
        <v>-9.9414713068903602</v>
      </c>
      <c r="F189">
        <f t="shared" si="25"/>
        <v>-6.9916444226068997</v>
      </c>
      <c r="G189">
        <f t="shared" si="26"/>
        <v>-7.5404603343187997</v>
      </c>
      <c r="H189" s="6">
        <f>IF(A189="","",2)</f>
        <v>2</v>
      </c>
      <c r="I189">
        <f t="shared" si="32"/>
        <v>0</v>
      </c>
      <c r="J189">
        <f t="shared" si="28"/>
        <v>0</v>
      </c>
      <c r="K189">
        <f t="shared" si="29"/>
        <v>0</v>
      </c>
      <c r="L189">
        <f t="shared" si="30"/>
        <v>0</v>
      </c>
      <c r="O189">
        <v>1725148800</v>
      </c>
      <c r="P189">
        <v>-16.431503713949201</v>
      </c>
      <c r="Q189">
        <v>-8.8711156828611806</v>
      </c>
      <c r="R189">
        <v>-14.532104756925699</v>
      </c>
      <c r="S189">
        <v>-9.9414713068903602</v>
      </c>
      <c r="T189">
        <v>-6.9916444226068997</v>
      </c>
      <c r="U189">
        <v>-7.5404603343187997</v>
      </c>
      <c r="V189">
        <v>0</v>
      </c>
      <c r="W189">
        <v>0</v>
      </c>
      <c r="X189">
        <v>0</v>
      </c>
      <c r="Y189">
        <v>0</v>
      </c>
    </row>
    <row r="190" spans="1:25" x14ac:dyDescent="0.35">
      <c r="A190" s="1"/>
      <c r="B190">
        <f t="shared" si="31"/>
        <v>-16.348849521265699</v>
      </c>
      <c r="C190">
        <f t="shared" si="22"/>
        <v>-9.1522797508151701</v>
      </c>
      <c r="D190">
        <f t="shared" si="23"/>
        <v>-14.679982540186501</v>
      </c>
      <c r="E190">
        <f t="shared" si="24"/>
        <v>-10.7230956538034</v>
      </c>
      <c r="F190">
        <f t="shared" si="25"/>
        <v>-7.2269871380417996</v>
      </c>
      <c r="G190">
        <f t="shared" si="26"/>
        <v>-7.45299540214471</v>
      </c>
      <c r="H190" s="1"/>
      <c r="I190">
        <f t="shared" si="32"/>
        <v>0</v>
      </c>
      <c r="J190">
        <f t="shared" si="28"/>
        <v>0</v>
      </c>
      <c r="K190">
        <f t="shared" si="29"/>
        <v>0</v>
      </c>
      <c r="L190">
        <f t="shared" si="30"/>
        <v>0</v>
      </c>
      <c r="O190">
        <v>1733011200</v>
      </c>
      <c r="P190">
        <v>-16.348849521265699</v>
      </c>
      <c r="Q190">
        <v>-9.1522797508151701</v>
      </c>
      <c r="R190">
        <v>-14.679982540186501</v>
      </c>
      <c r="S190">
        <v>-10.7230956538034</v>
      </c>
      <c r="T190">
        <v>-7.2269871380417996</v>
      </c>
      <c r="U190">
        <v>-7.45299540214471</v>
      </c>
      <c r="V190">
        <v>0</v>
      </c>
      <c r="W190">
        <v>0</v>
      </c>
      <c r="X190">
        <v>0</v>
      </c>
      <c r="Y190">
        <v>0</v>
      </c>
    </row>
    <row r="191" spans="1:25" x14ac:dyDescent="0.35">
      <c r="A191" s="1"/>
      <c r="B191">
        <f t="shared" si="31"/>
        <v>-17.671856021140599</v>
      </c>
      <c r="C191">
        <f t="shared" si="22"/>
        <v>-9.7526052856416392</v>
      </c>
      <c r="D191">
        <f t="shared" si="23"/>
        <v>-15.1373972475995</v>
      </c>
      <c r="E191">
        <f t="shared" si="24"/>
        <v>-10.959839301953799</v>
      </c>
      <c r="F191">
        <f t="shared" si="25"/>
        <v>-7.4574143871439098</v>
      </c>
      <c r="G191">
        <f t="shared" si="26"/>
        <v>-7.6799828604555902</v>
      </c>
      <c r="H191" s="1"/>
      <c r="I191">
        <f t="shared" si="32"/>
        <v>0</v>
      </c>
      <c r="J191">
        <f t="shared" si="28"/>
        <v>0</v>
      </c>
      <c r="K191">
        <f t="shared" si="29"/>
        <v>0</v>
      </c>
      <c r="L191">
        <f t="shared" si="30"/>
        <v>0</v>
      </c>
      <c r="O191">
        <v>1740787200</v>
      </c>
      <c r="P191">
        <v>-17.671856021140599</v>
      </c>
      <c r="Q191">
        <v>-9.7526052856416392</v>
      </c>
      <c r="R191">
        <v>-15.1373972475995</v>
      </c>
      <c r="S191">
        <v>-10.959839301953799</v>
      </c>
      <c r="T191">
        <v>-7.4574143871439098</v>
      </c>
      <c r="U191">
        <v>-7.6799828604555902</v>
      </c>
      <c r="V191">
        <v>0</v>
      </c>
      <c r="W191">
        <v>0</v>
      </c>
      <c r="X191">
        <v>0</v>
      </c>
      <c r="Y191">
        <v>0</v>
      </c>
    </row>
    <row r="192" spans="1:25" x14ac:dyDescent="0.35">
      <c r="A192" s="1"/>
      <c r="B192" t="str">
        <f t="shared" si="31"/>
        <v/>
      </c>
      <c r="C192" t="str">
        <f t="shared" si="22"/>
        <v/>
      </c>
      <c r="D192" t="str">
        <f t="shared" si="23"/>
        <v/>
      </c>
      <c r="E192" t="str">
        <f t="shared" si="24"/>
        <v/>
      </c>
      <c r="F192" t="str">
        <f t="shared" si="25"/>
        <v/>
      </c>
      <c r="G192" t="str">
        <f t="shared" si="26"/>
        <v/>
      </c>
      <c r="H192" s="1"/>
      <c r="I192" t="str">
        <f t="shared" si="32"/>
        <v/>
      </c>
      <c r="J192" t="str">
        <f t="shared" si="28"/>
        <v/>
      </c>
      <c r="K192" t="str">
        <f t="shared" si="29"/>
        <v/>
      </c>
      <c r="L192" t="str">
        <f t="shared" si="30"/>
        <v/>
      </c>
    </row>
    <row r="193" spans="2:12" x14ac:dyDescent="0.35">
      <c r="B193" t="str">
        <f t="shared" si="31"/>
        <v/>
      </c>
      <c r="C193" t="str">
        <f t="shared" si="22"/>
        <v/>
      </c>
      <c r="D193" t="str">
        <f t="shared" si="23"/>
        <v/>
      </c>
      <c r="E193" t="str">
        <f t="shared" si="24"/>
        <v/>
      </c>
      <c r="F193" t="str">
        <f t="shared" si="25"/>
        <v/>
      </c>
      <c r="G193" t="str">
        <f t="shared" si="26"/>
        <v/>
      </c>
      <c r="H193" s="1"/>
      <c r="I193" t="str">
        <f t="shared" si="32"/>
        <v/>
      </c>
      <c r="J193" t="str">
        <f t="shared" si="28"/>
        <v/>
      </c>
      <c r="K193" t="str">
        <f t="shared" si="29"/>
        <v/>
      </c>
      <c r="L193" t="str">
        <f t="shared" si="30"/>
        <v/>
      </c>
    </row>
    <row r="194" spans="2:12" x14ac:dyDescent="0.35">
      <c r="B194" t="str">
        <f t="shared" si="31"/>
        <v/>
      </c>
      <c r="C194" t="str">
        <f t="shared" ref="C194:C198" si="33">IF(Q194="","",Q194)</f>
        <v/>
      </c>
      <c r="D194" t="str">
        <f t="shared" ref="D194:D198" si="34">IF(R194="","",R194)</f>
        <v/>
      </c>
      <c r="E194" t="str">
        <f t="shared" ref="E194:E198" si="35">IF(S194="","",S194)</f>
        <v/>
      </c>
      <c r="F194" t="str">
        <f t="shared" ref="F194:F198" si="36">IF(T194="","",T194)</f>
        <v/>
      </c>
      <c r="G194" t="str">
        <f t="shared" ref="G194:G198" si="37">IF(U194="","",U194)</f>
        <v/>
      </c>
      <c r="H194" s="1"/>
      <c r="I194" t="str">
        <f t="shared" si="32"/>
        <v/>
      </c>
      <c r="J194" t="str">
        <f t="shared" ref="J194:J202" si="38">IF(W194="","",W194)</f>
        <v/>
      </c>
      <c r="K194" t="str">
        <f t="shared" ref="K194:K202" si="39">IF(X194="","",X194)</f>
        <v/>
      </c>
      <c r="L194" t="str">
        <f t="shared" ref="L194:L202" si="40">IF(Y194="","",Y194)</f>
        <v/>
      </c>
    </row>
    <row r="195" spans="2:12" x14ac:dyDescent="0.35">
      <c r="B195" t="str">
        <f t="shared" ref="B195:B198" si="41">IF(P195="","",P195)</f>
        <v/>
      </c>
      <c r="C195" t="str">
        <f t="shared" si="33"/>
        <v/>
      </c>
      <c r="D195" t="str">
        <f t="shared" si="34"/>
        <v/>
      </c>
      <c r="E195" t="str">
        <f t="shared" si="35"/>
        <v/>
      </c>
      <c r="F195" t="str">
        <f t="shared" si="36"/>
        <v/>
      </c>
      <c r="G195" t="str">
        <f t="shared" si="37"/>
        <v/>
      </c>
      <c r="H195" s="1"/>
      <c r="I195" t="str">
        <f t="shared" ref="I195:I202" si="42">IF(V195="","",V195)</f>
        <v/>
      </c>
      <c r="J195" t="str">
        <f t="shared" si="38"/>
        <v/>
      </c>
      <c r="K195" t="str">
        <f t="shared" si="39"/>
        <v/>
      </c>
      <c r="L195" t="str">
        <f t="shared" si="40"/>
        <v/>
      </c>
    </row>
    <row r="196" spans="2:12" x14ac:dyDescent="0.35">
      <c r="B196" t="str">
        <f t="shared" si="41"/>
        <v/>
      </c>
      <c r="C196" t="str">
        <f t="shared" si="33"/>
        <v/>
      </c>
      <c r="D196" t="str">
        <f t="shared" si="34"/>
        <v/>
      </c>
      <c r="E196" t="str">
        <f t="shared" si="35"/>
        <v/>
      </c>
      <c r="F196" t="str">
        <f t="shared" si="36"/>
        <v/>
      </c>
      <c r="G196" t="str">
        <f t="shared" si="37"/>
        <v/>
      </c>
      <c r="H196" s="1"/>
      <c r="I196" t="str">
        <f t="shared" si="42"/>
        <v/>
      </c>
      <c r="J196" t="str">
        <f t="shared" si="38"/>
        <v/>
      </c>
      <c r="K196" t="str">
        <f t="shared" si="39"/>
        <v/>
      </c>
      <c r="L196" t="str">
        <f t="shared" si="40"/>
        <v/>
      </c>
    </row>
    <row r="197" spans="2:12" x14ac:dyDescent="0.35">
      <c r="B197" t="str">
        <f t="shared" si="41"/>
        <v/>
      </c>
      <c r="C197" t="str">
        <f t="shared" si="33"/>
        <v/>
      </c>
      <c r="D197" t="str">
        <f t="shared" si="34"/>
        <v/>
      </c>
      <c r="E197" t="str">
        <f t="shared" si="35"/>
        <v/>
      </c>
      <c r="F197" t="str">
        <f t="shared" si="36"/>
        <v/>
      </c>
      <c r="G197" t="str">
        <f t="shared" si="37"/>
        <v/>
      </c>
      <c r="H197" s="1"/>
      <c r="I197" t="str">
        <f t="shared" si="42"/>
        <v/>
      </c>
      <c r="J197" t="str">
        <f t="shared" si="38"/>
        <v/>
      </c>
      <c r="K197" t="str">
        <f t="shared" si="39"/>
        <v/>
      </c>
      <c r="L197" t="str">
        <f t="shared" si="40"/>
        <v/>
      </c>
    </row>
    <row r="198" spans="2:12" x14ac:dyDescent="0.35">
      <c r="B198" t="str">
        <f t="shared" si="41"/>
        <v/>
      </c>
      <c r="C198" t="str">
        <f t="shared" si="33"/>
        <v/>
      </c>
      <c r="D198" t="str">
        <f t="shared" si="34"/>
        <v/>
      </c>
      <c r="E198" t="str">
        <f t="shared" si="35"/>
        <v/>
      </c>
      <c r="F198" t="str">
        <f t="shared" si="36"/>
        <v/>
      </c>
      <c r="G198" t="str">
        <f t="shared" si="37"/>
        <v/>
      </c>
      <c r="H198" s="1"/>
      <c r="I198" t="str">
        <f t="shared" si="42"/>
        <v/>
      </c>
      <c r="J198" t="str">
        <f t="shared" si="38"/>
        <v/>
      </c>
      <c r="K198" t="str">
        <f t="shared" si="39"/>
        <v/>
      </c>
      <c r="L198" t="str">
        <f t="shared" si="40"/>
        <v/>
      </c>
    </row>
    <row r="199" spans="2:12" x14ac:dyDescent="0.35">
      <c r="H199" s="1"/>
      <c r="I199" t="str">
        <f t="shared" si="42"/>
        <v/>
      </c>
      <c r="J199" t="str">
        <f t="shared" si="38"/>
        <v/>
      </c>
      <c r="K199" t="str">
        <f t="shared" si="39"/>
        <v/>
      </c>
      <c r="L199" t="str">
        <f t="shared" si="40"/>
        <v/>
      </c>
    </row>
    <row r="200" spans="2:12" x14ac:dyDescent="0.35">
      <c r="H200" s="1"/>
      <c r="I200" t="str">
        <f t="shared" si="42"/>
        <v/>
      </c>
      <c r="J200" t="str">
        <f t="shared" si="38"/>
        <v/>
      </c>
      <c r="K200" t="str">
        <f t="shared" si="39"/>
        <v/>
      </c>
      <c r="L200" t="str">
        <f t="shared" si="40"/>
        <v/>
      </c>
    </row>
    <row r="201" spans="2:12" x14ac:dyDescent="0.35">
      <c r="H201" s="1"/>
      <c r="I201" t="str">
        <f t="shared" si="42"/>
        <v/>
      </c>
      <c r="J201" t="str">
        <f t="shared" si="38"/>
        <v/>
      </c>
      <c r="K201" t="str">
        <f t="shared" si="39"/>
        <v/>
      </c>
      <c r="L201" t="str">
        <f t="shared" si="40"/>
        <v/>
      </c>
    </row>
    <row r="202" spans="2:12" x14ac:dyDescent="0.35">
      <c r="H202" s="1"/>
      <c r="I202" t="str">
        <f t="shared" si="42"/>
        <v/>
      </c>
      <c r="J202" t="str">
        <f t="shared" si="38"/>
        <v/>
      </c>
      <c r="K202" t="str">
        <f t="shared" si="39"/>
        <v/>
      </c>
      <c r="L202" t="str">
        <f t="shared" si="40"/>
        <v/>
      </c>
    </row>
    <row r="203" spans="2:12" x14ac:dyDescent="0.35">
      <c r="H203" s="1"/>
    </row>
    <row r="204" spans="2:12" x14ac:dyDescent="0.35">
      <c r="H204" s="1"/>
    </row>
    <row r="205" spans="2:12" x14ac:dyDescent="0.35">
      <c r="H205" s="1"/>
    </row>
    <row r="206" spans="2:12" x14ac:dyDescent="0.35">
      <c r="H206" s="1"/>
    </row>
    <row r="207" spans="2:12" x14ac:dyDescent="0.35">
      <c r="H207" s="1"/>
    </row>
    <row r="208" spans="2:12" x14ac:dyDescent="0.35">
      <c r="H208" s="1"/>
    </row>
    <row r="209" spans="8:8" x14ac:dyDescent="0.35">
      <c r="H209" s="1"/>
    </row>
    <row r="210" spans="8:8" x14ac:dyDescent="0.35">
      <c r="H210" s="1"/>
    </row>
    <row r="211" spans="8:8" x14ac:dyDescent="0.35">
      <c r="H211" s="1"/>
    </row>
    <row r="212" spans="8:8" x14ac:dyDescent="0.35">
      <c r="H212" s="1"/>
    </row>
    <row r="213" spans="8:8" x14ac:dyDescent="0.35">
      <c r="H213" s="1"/>
    </row>
    <row r="214" spans="8:8" x14ac:dyDescent="0.35">
      <c r="H214" s="1"/>
    </row>
    <row r="215" spans="8:8" x14ac:dyDescent="0.35">
      <c r="H215" s="1"/>
    </row>
    <row r="216" spans="8:8" x14ac:dyDescent="0.35">
      <c r="H216" s="1"/>
    </row>
    <row r="217" spans="8:8" x14ac:dyDescent="0.35">
      <c r="H217" s="1"/>
    </row>
    <row r="218" spans="8:8" x14ac:dyDescent="0.35">
      <c r="H218" s="1"/>
    </row>
    <row r="219" spans="8:8" x14ac:dyDescent="0.35">
      <c r="H219" s="1"/>
    </row>
    <row r="220" spans="8:8" x14ac:dyDescent="0.35">
      <c r="H220" s="1"/>
    </row>
    <row r="221" spans="8:8" x14ac:dyDescent="0.35">
      <c r="H221" s="1"/>
    </row>
    <row r="222" spans="8:8" x14ac:dyDescent="0.35">
      <c r="H222" s="1"/>
    </row>
    <row r="223" spans="8:8" x14ac:dyDescent="0.35">
      <c r="H223" s="1"/>
    </row>
    <row r="224" spans="8:8" x14ac:dyDescent="0.35">
      <c r="H224" s="1"/>
    </row>
    <row r="225" spans="8:8" x14ac:dyDescent="0.35">
      <c r="H225" s="1"/>
    </row>
    <row r="226" spans="8:8" x14ac:dyDescent="0.35">
      <c r="H226" s="1"/>
    </row>
    <row r="227" spans="8:8" x14ac:dyDescent="0.35">
      <c r="H227" s="1"/>
    </row>
    <row r="228" spans="8:8" x14ac:dyDescent="0.35">
      <c r="H228" s="1"/>
    </row>
    <row r="229" spans="8:8" x14ac:dyDescent="0.35">
      <c r="H229" s="1"/>
    </row>
    <row r="230" spans="8:8" x14ac:dyDescent="0.35">
      <c r="H230" s="1"/>
    </row>
    <row r="231" spans="8:8" x14ac:dyDescent="0.35">
      <c r="H231" s="1"/>
    </row>
    <row r="232" spans="8:8" x14ac:dyDescent="0.35">
      <c r="H232" s="1"/>
    </row>
    <row r="233" spans="8:8" x14ac:dyDescent="0.35">
      <c r="H233" s="1"/>
    </row>
    <row r="234" spans="8:8" x14ac:dyDescent="0.35">
      <c r="H234" s="1"/>
    </row>
    <row r="235" spans="8:8" x14ac:dyDescent="0.35">
      <c r="H235" s="1"/>
    </row>
    <row r="236" spans="8:8" x14ac:dyDescent="0.35">
      <c r="H236" s="1"/>
    </row>
    <row r="237" spans="8:8" x14ac:dyDescent="0.35">
      <c r="H237" s="1"/>
    </row>
    <row r="238" spans="8:8" x14ac:dyDescent="0.35">
      <c r="H238" s="1"/>
    </row>
    <row r="239" spans="8:8" x14ac:dyDescent="0.35">
      <c r="H239" s="1"/>
    </row>
    <row r="240" spans="8:8" x14ac:dyDescent="0.35">
      <c r="H240" s="1"/>
    </row>
    <row r="241" spans="8:8" x14ac:dyDescent="0.35">
      <c r="H241" s="1"/>
    </row>
    <row r="242" spans="8:8" x14ac:dyDescent="0.35">
      <c r="H242" s="1"/>
    </row>
    <row r="243" spans="8:8" x14ac:dyDescent="0.35">
      <c r="H243" s="1"/>
    </row>
    <row r="244" spans="8:8" x14ac:dyDescent="0.35">
      <c r="H244" s="1"/>
    </row>
    <row r="245" spans="8:8" x14ac:dyDescent="0.35">
      <c r="H245" s="1"/>
    </row>
    <row r="246" spans="8:8" x14ac:dyDescent="0.35">
      <c r="H246" s="1"/>
    </row>
    <row r="247" spans="8:8" x14ac:dyDescent="0.35">
      <c r="H247" s="1"/>
    </row>
    <row r="248" spans="8:8" x14ac:dyDescent="0.35">
      <c r="H248" s="1"/>
    </row>
    <row r="249" spans="8:8" x14ac:dyDescent="0.35">
      <c r="H249" s="1"/>
    </row>
    <row r="250" spans="8:8" x14ac:dyDescent="0.35">
      <c r="H250" s="1"/>
    </row>
    <row r="251" spans="8:8" x14ac:dyDescent="0.35">
      <c r="H251" s="1"/>
    </row>
    <row r="252" spans="8:8" x14ac:dyDescent="0.35">
      <c r="H252" s="1"/>
    </row>
    <row r="253" spans="8:8" x14ac:dyDescent="0.35">
      <c r="H253" s="1"/>
    </row>
    <row r="254" spans="8:8" x14ac:dyDescent="0.35">
      <c r="H254" s="1"/>
    </row>
    <row r="255" spans="8:8" x14ac:dyDescent="0.35">
      <c r="H255" s="1"/>
    </row>
    <row r="256" spans="8:8" x14ac:dyDescent="0.35">
      <c r="H256" s="1"/>
    </row>
    <row r="257" spans="8:8" x14ac:dyDescent="0.35">
      <c r="H257" s="1"/>
    </row>
    <row r="258" spans="8:8" x14ac:dyDescent="0.35">
      <c r="H258" s="1"/>
    </row>
    <row r="259" spans="8:8" x14ac:dyDescent="0.35">
      <c r="H259" s="1"/>
    </row>
    <row r="260" spans="8:8" x14ac:dyDescent="0.35">
      <c r="H260" s="1"/>
    </row>
    <row r="261" spans="8:8" x14ac:dyDescent="0.35">
      <c r="H261" s="1"/>
    </row>
    <row r="262" spans="8:8" x14ac:dyDescent="0.35">
      <c r="H262" s="1"/>
    </row>
    <row r="263" spans="8:8" x14ac:dyDescent="0.35">
      <c r="H263" s="1"/>
    </row>
    <row r="264" spans="8:8" x14ac:dyDescent="0.35">
      <c r="H264" s="1"/>
    </row>
    <row r="265" spans="8:8" x14ac:dyDescent="0.35">
      <c r="H265" s="1"/>
    </row>
    <row r="266" spans="8:8" x14ac:dyDescent="0.35">
      <c r="H266" s="1"/>
    </row>
    <row r="267" spans="8:8" x14ac:dyDescent="0.35">
      <c r="H267" s="1"/>
    </row>
    <row r="268" spans="8:8" x14ac:dyDescent="0.35">
      <c r="H268" s="1"/>
    </row>
    <row r="269" spans="8:8" x14ac:dyDescent="0.35">
      <c r="H269" s="1"/>
    </row>
    <row r="270" spans="8:8" x14ac:dyDescent="0.35">
      <c r="H270" s="1"/>
    </row>
    <row r="271" spans="8:8" x14ac:dyDescent="0.35">
      <c r="H271" s="1"/>
    </row>
    <row r="272" spans="8:8" x14ac:dyDescent="0.35">
      <c r="H272" s="1"/>
    </row>
    <row r="273" spans="8:8" x14ac:dyDescent="0.35">
      <c r="H273" s="1"/>
    </row>
    <row r="274" spans="8:8" x14ac:dyDescent="0.35">
      <c r="H274" s="1"/>
    </row>
    <row r="275" spans="8:8" x14ac:dyDescent="0.35">
      <c r="H275" s="1"/>
    </row>
    <row r="276" spans="8:8" x14ac:dyDescent="0.35">
      <c r="H276" s="1"/>
    </row>
    <row r="277" spans="8:8" x14ac:dyDescent="0.35">
      <c r="H277" s="1"/>
    </row>
    <row r="278" spans="8:8" x14ac:dyDescent="0.35">
      <c r="H278" s="1"/>
    </row>
    <row r="279" spans="8:8" x14ac:dyDescent="0.35">
      <c r="H279" s="1"/>
    </row>
    <row r="280" spans="8:8" x14ac:dyDescent="0.35">
      <c r="H280" s="1"/>
    </row>
    <row r="281" spans="8:8" x14ac:dyDescent="0.35">
      <c r="H281" s="1"/>
    </row>
    <row r="282" spans="8:8" x14ac:dyDescent="0.35">
      <c r="H282" s="1"/>
    </row>
    <row r="283" spans="8:8" x14ac:dyDescent="0.35">
      <c r="H283" s="1"/>
    </row>
    <row r="284" spans="8:8" x14ac:dyDescent="0.35">
      <c r="H284" s="1"/>
    </row>
    <row r="285" spans="8:8" x14ac:dyDescent="0.35">
      <c r="H285" s="1"/>
    </row>
    <row r="286" spans="8:8" x14ac:dyDescent="0.35">
      <c r="H286" s="1"/>
    </row>
    <row r="287" spans="8:8" x14ac:dyDescent="0.35">
      <c r="H287" s="1"/>
    </row>
    <row r="288" spans="8:8" x14ac:dyDescent="0.35">
      <c r="H288" s="1"/>
    </row>
    <row r="289" spans="8:8" x14ac:dyDescent="0.35">
      <c r="H289" s="1"/>
    </row>
    <row r="290" spans="8:8" x14ac:dyDescent="0.35">
      <c r="H290" s="1"/>
    </row>
    <row r="291" spans="8:8" x14ac:dyDescent="0.35">
      <c r="H291" s="1"/>
    </row>
    <row r="292" spans="8:8" x14ac:dyDescent="0.35">
      <c r="H292" s="1"/>
    </row>
    <row r="293" spans="8:8" x14ac:dyDescent="0.35">
      <c r="H293" s="1"/>
    </row>
    <row r="294" spans="8:8" x14ac:dyDescent="0.35">
      <c r="H294" s="1"/>
    </row>
    <row r="295" spans="8:8" x14ac:dyDescent="0.35">
      <c r="H295" s="1"/>
    </row>
    <row r="296" spans="8:8" x14ac:dyDescent="0.35">
      <c r="H296" s="1"/>
    </row>
    <row r="297" spans="8:8" x14ac:dyDescent="0.35">
      <c r="H297" s="1"/>
    </row>
    <row r="298" spans="8:8" x14ac:dyDescent="0.35">
      <c r="H298" s="1"/>
    </row>
    <row r="299" spans="8:8" x14ac:dyDescent="0.35">
      <c r="H299" s="1"/>
    </row>
    <row r="300" spans="8:8" x14ac:dyDescent="0.35">
      <c r="H300" s="1"/>
    </row>
    <row r="301" spans="8:8" x14ac:dyDescent="0.35">
      <c r="H301" s="1"/>
    </row>
    <row r="302" spans="8:8" x14ac:dyDescent="0.35">
      <c r="H302" s="1"/>
    </row>
    <row r="303" spans="8:8" x14ac:dyDescent="0.35">
      <c r="H303" s="1"/>
    </row>
    <row r="304" spans="8:8" x14ac:dyDescent="0.35">
      <c r="H304" s="1"/>
    </row>
    <row r="305" spans="8:8" x14ac:dyDescent="0.35">
      <c r="H305" s="1"/>
    </row>
    <row r="306" spans="8:8" x14ac:dyDescent="0.35">
      <c r="H306" s="1"/>
    </row>
    <row r="307" spans="8:8" x14ac:dyDescent="0.35">
      <c r="H307" s="1"/>
    </row>
    <row r="308" spans="8:8" x14ac:dyDescent="0.35">
      <c r="H308" s="1"/>
    </row>
    <row r="309" spans="8:8" x14ac:dyDescent="0.35">
      <c r="H309" s="1"/>
    </row>
    <row r="310" spans="8:8" x14ac:dyDescent="0.35">
      <c r="H310" s="1"/>
    </row>
    <row r="311" spans="8:8" x14ac:dyDescent="0.35">
      <c r="H311" s="1"/>
    </row>
    <row r="312" spans="8:8" x14ac:dyDescent="0.35">
      <c r="H312" s="1"/>
    </row>
    <row r="313" spans="8:8" x14ac:dyDescent="0.35">
      <c r="H313" s="1"/>
    </row>
    <row r="314" spans="8:8" x14ac:dyDescent="0.35">
      <c r="H314" s="1"/>
    </row>
    <row r="315" spans="8:8" x14ac:dyDescent="0.35">
      <c r="H315" s="1"/>
    </row>
    <row r="316" spans="8:8" x14ac:dyDescent="0.35">
      <c r="H316" s="1"/>
    </row>
    <row r="317" spans="8:8" x14ac:dyDescent="0.35">
      <c r="H317" s="1"/>
    </row>
    <row r="318" spans="8:8" x14ac:dyDescent="0.35">
      <c r="H318" s="1"/>
    </row>
    <row r="319" spans="8:8" x14ac:dyDescent="0.35">
      <c r="H319" s="1"/>
    </row>
    <row r="320" spans="8:8" x14ac:dyDescent="0.35">
      <c r="H320" s="1"/>
    </row>
    <row r="321" spans="8:8" x14ac:dyDescent="0.35">
      <c r="H321" s="1"/>
    </row>
    <row r="322" spans="8:8" x14ac:dyDescent="0.35">
      <c r="H322" s="1"/>
    </row>
    <row r="323" spans="8:8" x14ac:dyDescent="0.35">
      <c r="H323" s="1"/>
    </row>
    <row r="324" spans="8:8" x14ac:dyDescent="0.35">
      <c r="H324" s="1"/>
    </row>
    <row r="325" spans="8:8" x14ac:dyDescent="0.35">
      <c r="H325" s="1"/>
    </row>
    <row r="326" spans="8:8" x14ac:dyDescent="0.35">
      <c r="H326" s="1"/>
    </row>
    <row r="327" spans="8:8" x14ac:dyDescent="0.35">
      <c r="H327" s="1"/>
    </row>
    <row r="328" spans="8:8" x14ac:dyDescent="0.35">
      <c r="H328" s="1"/>
    </row>
    <row r="329" spans="8:8" x14ac:dyDescent="0.35">
      <c r="H329" s="1"/>
    </row>
    <row r="330" spans="8:8" x14ac:dyDescent="0.35">
      <c r="H330" s="1"/>
    </row>
    <row r="331" spans="8:8" x14ac:dyDescent="0.35">
      <c r="H331" s="1"/>
    </row>
    <row r="332" spans="8:8" x14ac:dyDescent="0.35">
      <c r="H332" s="1"/>
    </row>
    <row r="333" spans="8:8" x14ac:dyDescent="0.35">
      <c r="H333" s="1"/>
    </row>
    <row r="334" spans="8:8" x14ac:dyDescent="0.35">
      <c r="H334" s="1"/>
    </row>
    <row r="335" spans="8:8" x14ac:dyDescent="0.35">
      <c r="H335" s="1"/>
    </row>
    <row r="336" spans="8:8" x14ac:dyDescent="0.35">
      <c r="H336" s="1"/>
    </row>
    <row r="337" spans="8:8" x14ac:dyDescent="0.35">
      <c r="H337" s="1"/>
    </row>
    <row r="338" spans="8:8" x14ac:dyDescent="0.35">
      <c r="H338" s="1"/>
    </row>
    <row r="339" spans="8:8" x14ac:dyDescent="0.35">
      <c r="H339" s="1"/>
    </row>
    <row r="340" spans="8:8" x14ac:dyDescent="0.35">
      <c r="H340" s="1"/>
    </row>
    <row r="341" spans="8:8" x14ac:dyDescent="0.35">
      <c r="H341" s="1"/>
    </row>
    <row r="342" spans="8:8" x14ac:dyDescent="0.35">
      <c r="H342" s="1"/>
    </row>
    <row r="343" spans="8:8" x14ac:dyDescent="0.35">
      <c r="H343" s="1"/>
    </row>
    <row r="344" spans="8:8" x14ac:dyDescent="0.35">
      <c r="H344" s="1"/>
    </row>
    <row r="345" spans="8:8" x14ac:dyDescent="0.35">
      <c r="H345" s="1"/>
    </row>
    <row r="346" spans="8:8" x14ac:dyDescent="0.35">
      <c r="H346" s="1"/>
    </row>
    <row r="347" spans="8:8" x14ac:dyDescent="0.35">
      <c r="H347" s="1"/>
    </row>
    <row r="348" spans="8:8" x14ac:dyDescent="0.35">
      <c r="H348" s="1"/>
    </row>
    <row r="349" spans="8:8" x14ac:dyDescent="0.35">
      <c r="H349" s="1"/>
    </row>
    <row r="350" spans="8:8" x14ac:dyDescent="0.35">
      <c r="H350" s="1"/>
    </row>
    <row r="351" spans="8:8" x14ac:dyDescent="0.35">
      <c r="H351" s="1"/>
    </row>
    <row r="352" spans="8:8" x14ac:dyDescent="0.35">
      <c r="H352" s="1"/>
    </row>
    <row r="353" spans="8:8" x14ac:dyDescent="0.35">
      <c r="H353" s="1"/>
    </row>
    <row r="354" spans="8:8" x14ac:dyDescent="0.35">
      <c r="H354" s="1"/>
    </row>
    <row r="355" spans="8:8" x14ac:dyDescent="0.35">
      <c r="H355" s="1"/>
    </row>
    <row r="356" spans="8:8" x14ac:dyDescent="0.35">
      <c r="H356" s="1"/>
    </row>
    <row r="357" spans="8:8" x14ac:dyDescent="0.35">
      <c r="H357" s="1"/>
    </row>
    <row r="358" spans="8:8" x14ac:dyDescent="0.35">
      <c r="H358" s="1"/>
    </row>
    <row r="359" spans="8:8" x14ac:dyDescent="0.35">
      <c r="H359" s="1"/>
    </row>
    <row r="360" spans="8:8" x14ac:dyDescent="0.35">
      <c r="H360" s="1"/>
    </row>
    <row r="361" spans="8:8" x14ac:dyDescent="0.35">
      <c r="H361" s="1"/>
    </row>
    <row r="362" spans="8:8" x14ac:dyDescent="0.35">
      <c r="H362" s="1"/>
    </row>
    <row r="363" spans="8:8" x14ac:dyDescent="0.35">
      <c r="H363" s="1"/>
    </row>
    <row r="364" spans="8:8" x14ac:dyDescent="0.35">
      <c r="H364" s="1"/>
    </row>
    <row r="365" spans="8:8" x14ac:dyDescent="0.35">
      <c r="H365" s="1"/>
    </row>
    <row r="366" spans="8:8" x14ac:dyDescent="0.35">
      <c r="H366" s="1"/>
    </row>
    <row r="367" spans="8:8" x14ac:dyDescent="0.35">
      <c r="H367" s="1"/>
    </row>
    <row r="368" spans="8:8" x14ac:dyDescent="0.35">
      <c r="H368" s="1"/>
    </row>
    <row r="369" spans="8:8" x14ac:dyDescent="0.35">
      <c r="H369" s="1"/>
    </row>
    <row r="370" spans="8:8" x14ac:dyDescent="0.35">
      <c r="H370" s="1"/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653B-4587-4F59-8390-8DA7876A2AAC}">
  <sheetPr>
    <tabColor rgb="FFFF0000"/>
  </sheetPr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32FC-FF37-4D26-9071-DB804A13E84E}">
  <dimension ref="A1:AM202"/>
  <sheetViews>
    <sheetView tabSelected="1" zoomScale="80" zoomScaleNormal="80" workbookViewId="0">
      <selection activeCell="E197" sqref="E197"/>
    </sheetView>
  </sheetViews>
  <sheetFormatPr baseColWidth="10" defaultRowHeight="14.5" x14ac:dyDescent="0.35"/>
  <cols>
    <col min="1" max="1" width="7.81640625" bestFit="1" customWidth="1"/>
    <col min="2" max="6" width="12.90625" bestFit="1" customWidth="1"/>
    <col min="7" max="7" width="14.90625" bestFit="1" customWidth="1"/>
    <col min="8" max="8" width="9.54296875" bestFit="1" customWidth="1"/>
    <col min="9" max="9" width="12.26953125" bestFit="1" customWidth="1"/>
    <col min="10" max="10" width="12.90625" bestFit="1" customWidth="1"/>
    <col min="11" max="11" width="14.6328125" bestFit="1" customWidth="1"/>
    <col min="12" max="12" width="24.54296875" bestFit="1" customWidth="1"/>
    <col min="13" max="13" width="12.26953125" bestFit="1" customWidth="1"/>
    <col min="14" max="14" width="10.90625" style="7"/>
    <col min="15" max="15" width="44.1796875" bestFit="1" customWidth="1"/>
    <col min="16" max="16" width="43.90625" customWidth="1"/>
    <col min="17" max="18" width="12.90625" bestFit="1" customWidth="1"/>
    <col min="19" max="19" width="13.81640625" bestFit="1" customWidth="1"/>
    <col min="20" max="20" width="17.7265625" bestFit="1" customWidth="1"/>
    <col min="21" max="21" width="12.90625" bestFit="1" customWidth="1"/>
    <col min="22" max="22" width="14.90625" bestFit="1" customWidth="1"/>
    <col min="23" max="25" width="12.26953125" bestFit="1" customWidth="1"/>
    <col min="26" max="26" width="14.90625" bestFit="1" customWidth="1"/>
  </cols>
  <sheetData>
    <row r="1" spans="1:39" x14ac:dyDescent="0.35">
      <c r="A1" t="s">
        <v>9</v>
      </c>
      <c r="B1" t="s">
        <v>4</v>
      </c>
      <c r="C1" t="s">
        <v>5</v>
      </c>
      <c r="D1" t="s">
        <v>6</v>
      </c>
      <c r="E1" t="s">
        <v>7</v>
      </c>
      <c r="F1" t="s">
        <v>18</v>
      </c>
      <c r="G1" t="s">
        <v>19</v>
      </c>
      <c r="H1" t="s">
        <v>8</v>
      </c>
      <c r="I1" t="s">
        <v>25</v>
      </c>
      <c r="J1" t="s">
        <v>26</v>
      </c>
      <c r="K1" t="s">
        <v>27</v>
      </c>
      <c r="L1" t="s">
        <v>28</v>
      </c>
      <c r="M1" s="3" t="s">
        <v>29</v>
      </c>
      <c r="O1" s="4" t="s">
        <v>35</v>
      </c>
      <c r="P1" t="s">
        <v>24</v>
      </c>
      <c r="Q1" t="s">
        <v>30</v>
      </c>
      <c r="R1" t="s">
        <v>31</v>
      </c>
      <c r="S1" t="s">
        <v>32</v>
      </c>
      <c r="T1" t="s">
        <v>33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C1" t="s">
        <v>24</v>
      </c>
      <c r="AD1" t="s">
        <v>30</v>
      </c>
      <c r="AE1" t="s">
        <v>31</v>
      </c>
      <c r="AF1" t="s">
        <v>32</v>
      </c>
      <c r="AG1" t="s">
        <v>33</v>
      </c>
      <c r="AH1" t="s">
        <v>18</v>
      </c>
      <c r="AI1" t="s">
        <v>19</v>
      </c>
      <c r="AJ1" t="s">
        <v>20</v>
      </c>
      <c r="AK1" t="s">
        <v>21</v>
      </c>
      <c r="AL1" t="s">
        <v>22</v>
      </c>
      <c r="AM1" t="s">
        <v>23</v>
      </c>
    </row>
    <row r="2" spans="1:39" x14ac:dyDescent="0.35">
      <c r="A2" s="1">
        <v>28460</v>
      </c>
      <c r="B2">
        <f t="shared" ref="B2:B33" si="0">IF(Q2="","",Q2)</f>
        <v>4.8242420453952404</v>
      </c>
      <c r="C2">
        <v>0.75332527352524203</v>
      </c>
      <c r="D2">
        <v>1.7447157936569799</v>
      </c>
      <c r="E2">
        <v>1.03446143744368</v>
      </c>
      <c r="F2">
        <v>-0.86268901042781398</v>
      </c>
      <c r="G2">
        <v>2.6074048040848199</v>
      </c>
      <c r="H2">
        <f>IF(A2="","",2)</f>
        <v>2</v>
      </c>
      <c r="I2">
        <f t="shared" ref="I2:I33" si="1">IF(W2="","",W2)</f>
        <v>0.88257563918601301</v>
      </c>
      <c r="J2">
        <f t="shared" ref="J2:J33" si="2">IF(X2="","",X2)</f>
        <v>0</v>
      </c>
      <c r="K2">
        <f t="shared" ref="K2:K33" si="3">IF(Y2="","",Y2)</f>
        <v>0.102133053708847</v>
      </c>
      <c r="L2">
        <f t="shared" ref="L2:L33" si="4">IF(Z2="","",Z2)</f>
        <v>0</v>
      </c>
      <c r="M2" s="3">
        <f>MEDIAN(I2:L2)</f>
        <v>5.1066526854423498E-2</v>
      </c>
      <c r="O2" s="4" t="s">
        <v>45</v>
      </c>
      <c r="P2">
        <v>249782400</v>
      </c>
      <c r="Q2">
        <v>4.8242420453952404</v>
      </c>
      <c r="R2">
        <v>1.1804202920625599</v>
      </c>
      <c r="S2">
        <v>2.3268257718683101</v>
      </c>
      <c r="T2">
        <v>1.5055152292674701</v>
      </c>
      <c r="U2">
        <v>-0.68827584023643995</v>
      </c>
      <c r="V2">
        <v>3.0151016121049299</v>
      </c>
      <c r="W2">
        <v>0.88257563918601301</v>
      </c>
      <c r="X2">
        <v>0</v>
      </c>
      <c r="Y2">
        <v>0.102133053708847</v>
      </c>
      <c r="Z2">
        <v>0</v>
      </c>
      <c r="AC2">
        <v>249782400</v>
      </c>
      <c r="AD2">
        <v>4.8084267290613303</v>
      </c>
      <c r="AE2">
        <v>1.1542506502801499</v>
      </c>
      <c r="AF2">
        <v>2.1640911197557702</v>
      </c>
      <c r="AG2">
        <v>1.3421856062983599</v>
      </c>
      <c r="AH2">
        <v>-0.708981706797849</v>
      </c>
      <c r="AI2">
        <v>2.8730728265534502</v>
      </c>
      <c r="AJ2">
        <v>0.87763335283166599</v>
      </c>
      <c r="AK2">
        <v>0</v>
      </c>
      <c r="AL2">
        <v>5.1278474923678499E-2</v>
      </c>
      <c r="AM2">
        <v>0</v>
      </c>
    </row>
    <row r="3" spans="1:39" x14ac:dyDescent="0.35">
      <c r="A3" s="1">
        <v>28550</v>
      </c>
      <c r="B3">
        <f t="shared" si="0"/>
        <v>6.6688239058026202</v>
      </c>
      <c r="C3">
        <f t="shared" ref="C3:C34" si="5">IF(R3="","",R3)</f>
        <v>1.9034443509597401</v>
      </c>
      <c r="D3">
        <f t="shared" ref="D3:D34" si="6">IF(S3="","",S3)</f>
        <v>3.4027101232302899</v>
      </c>
      <c r="E3">
        <f t="shared" ref="E3:E34" si="7">IF(T3="","",T3)</f>
        <v>2.3286025699978401</v>
      </c>
      <c r="F3">
        <f t="shared" ref="F3:F34" si="8">IF(U3="","",U3)</f>
        <v>-0.54043104852358503</v>
      </c>
      <c r="G3">
        <f t="shared" ref="G3:G34" si="9">IF(V3="","",V3)</f>
        <v>3.9431411717540001</v>
      </c>
      <c r="H3">
        <f t="shared" ref="H3:H66" si="10">IF(A3="","",2)</f>
        <v>2</v>
      </c>
      <c r="I3">
        <f t="shared" si="1"/>
        <v>1.45900747056332</v>
      </c>
      <c r="J3">
        <f t="shared" si="2"/>
        <v>0</v>
      </c>
      <c r="K3">
        <f t="shared" si="3"/>
        <v>0.43834691350946697</v>
      </c>
      <c r="L3">
        <f t="shared" si="4"/>
        <v>0.102688303124325</v>
      </c>
      <c r="M3" s="3">
        <f t="shared" ref="M3:M66" si="11">MEDIAN(I3:L3)</f>
        <v>0.27051760831689597</v>
      </c>
      <c r="O3" s="4" t="s">
        <v>34</v>
      </c>
      <c r="P3">
        <v>257558400</v>
      </c>
      <c r="Q3">
        <v>6.6688239058026202</v>
      </c>
      <c r="R3">
        <v>1.9034443509597401</v>
      </c>
      <c r="S3">
        <v>3.4027101232302899</v>
      </c>
      <c r="T3">
        <v>2.3286025699978401</v>
      </c>
      <c r="U3">
        <v>-0.54043104852358503</v>
      </c>
      <c r="V3">
        <v>3.9431411717540001</v>
      </c>
      <c r="W3">
        <v>1.45900747056332</v>
      </c>
      <c r="X3">
        <v>0</v>
      </c>
      <c r="Y3">
        <v>0.43834691350946697</v>
      </c>
      <c r="Z3">
        <v>0.102688303124325</v>
      </c>
      <c r="AC3">
        <v>257558400</v>
      </c>
      <c r="AD3">
        <v>6.6742208427646297</v>
      </c>
      <c r="AE3">
        <v>1.88357076221942</v>
      </c>
      <c r="AF3">
        <v>3.2074785931864902</v>
      </c>
      <c r="AG3">
        <v>2.1299547877222</v>
      </c>
      <c r="AH3">
        <v>-0.55913972820865399</v>
      </c>
      <c r="AI3">
        <v>3.7666183213950402</v>
      </c>
      <c r="AJ3">
        <v>1.4606940133639501</v>
      </c>
      <c r="AK3">
        <v>0</v>
      </c>
      <c r="AL3">
        <v>0.37733706037077902</v>
      </c>
      <c r="AM3">
        <v>4.06108711631867E-2</v>
      </c>
    </row>
    <row r="4" spans="1:39" x14ac:dyDescent="0.35">
      <c r="A4" s="1">
        <v>28642</v>
      </c>
      <c r="B4">
        <f t="shared" si="0"/>
        <v>4.3466765203266702</v>
      </c>
      <c r="C4">
        <f t="shared" si="5"/>
        <v>0.98811209974407699</v>
      </c>
      <c r="D4">
        <f t="shared" si="6"/>
        <v>2.04477099161093</v>
      </c>
      <c r="E4">
        <f t="shared" si="7"/>
        <v>1.28775691316267</v>
      </c>
      <c r="F4">
        <f t="shared" si="8"/>
        <v>-0.73429277285422301</v>
      </c>
      <c r="G4">
        <f t="shared" si="9"/>
        <v>2.7790637644652199</v>
      </c>
      <c r="H4">
        <f t="shared" si="10"/>
        <v>2</v>
      </c>
      <c r="I4">
        <f t="shared" si="1"/>
        <v>0.73333641260208504</v>
      </c>
      <c r="J4">
        <f t="shared" si="2"/>
        <v>0</v>
      </c>
      <c r="K4">
        <f t="shared" si="3"/>
        <v>1.39909348784152E-2</v>
      </c>
      <c r="L4">
        <f t="shared" si="4"/>
        <v>0</v>
      </c>
      <c r="M4" s="3">
        <f t="shared" si="11"/>
        <v>6.9954674392076E-3</v>
      </c>
      <c r="P4">
        <v>265507200</v>
      </c>
      <c r="Q4">
        <v>4.3466765203266702</v>
      </c>
      <c r="R4">
        <v>0.98811209974407699</v>
      </c>
      <c r="S4">
        <v>2.04477099161093</v>
      </c>
      <c r="T4">
        <v>1.28775691316267</v>
      </c>
      <c r="U4">
        <v>-0.73429277285422301</v>
      </c>
      <c r="V4">
        <v>2.7790637644652199</v>
      </c>
      <c r="W4">
        <v>0.73333641260208504</v>
      </c>
      <c r="X4">
        <v>0</v>
      </c>
      <c r="Y4">
        <v>1.39909348784152E-2</v>
      </c>
      <c r="Z4">
        <v>0</v>
      </c>
      <c r="AC4">
        <v>265507200</v>
      </c>
      <c r="AD4">
        <v>4.3513981317721502</v>
      </c>
      <c r="AE4">
        <v>0.97200970234620299</v>
      </c>
      <c r="AF4">
        <v>1.9059119348981799</v>
      </c>
      <c r="AG4">
        <v>1.1458122784017699</v>
      </c>
      <c r="AH4">
        <v>-0.75111084058658095</v>
      </c>
      <c r="AI4">
        <v>2.6570227754847102</v>
      </c>
      <c r="AJ4">
        <v>0.73481191617879804</v>
      </c>
      <c r="AK4">
        <v>0</v>
      </c>
      <c r="AL4">
        <v>0</v>
      </c>
      <c r="AM4">
        <v>0</v>
      </c>
    </row>
    <row r="5" spans="1:39" x14ac:dyDescent="0.35">
      <c r="A5" s="1">
        <v>28734</v>
      </c>
      <c r="B5">
        <f t="shared" si="0"/>
        <v>1.10321286586671</v>
      </c>
      <c r="C5">
        <f t="shared" si="5"/>
        <v>-0.22873861865612999</v>
      </c>
      <c r="D5">
        <f t="shared" si="6"/>
        <v>0.19031494215427799</v>
      </c>
      <c r="E5">
        <f t="shared" si="7"/>
        <v>-0.10990440734355</v>
      </c>
      <c r="F5">
        <f t="shared" si="8"/>
        <v>-0.91181610049540995</v>
      </c>
      <c r="G5">
        <f t="shared" si="9"/>
        <v>1.1021310426497199</v>
      </c>
      <c r="H5">
        <f t="shared" si="10"/>
        <v>2</v>
      </c>
      <c r="I5">
        <f t="shared" si="1"/>
        <v>0</v>
      </c>
      <c r="J5">
        <f t="shared" si="2"/>
        <v>0</v>
      </c>
      <c r="K5">
        <f t="shared" si="3"/>
        <v>0</v>
      </c>
      <c r="L5">
        <f t="shared" si="4"/>
        <v>0</v>
      </c>
      <c r="M5" s="3">
        <f t="shared" si="11"/>
        <v>0</v>
      </c>
      <c r="P5">
        <v>273456000</v>
      </c>
      <c r="Q5">
        <v>1.10321286586671</v>
      </c>
      <c r="R5">
        <v>-0.22873861865612999</v>
      </c>
      <c r="S5">
        <v>0.19031494215427799</v>
      </c>
      <c r="T5">
        <v>-0.10990440734355</v>
      </c>
      <c r="U5">
        <v>-0.91181610049540995</v>
      </c>
      <c r="V5">
        <v>1.1021310426497199</v>
      </c>
      <c r="W5">
        <v>0</v>
      </c>
      <c r="X5">
        <v>0</v>
      </c>
      <c r="Y5">
        <v>0</v>
      </c>
      <c r="Z5">
        <v>0</v>
      </c>
      <c r="AC5">
        <v>273456000</v>
      </c>
      <c r="AD5">
        <v>1.0892817250779701</v>
      </c>
      <c r="AE5">
        <v>-0.246746352973959</v>
      </c>
      <c r="AF5">
        <v>0.12246826407931</v>
      </c>
      <c r="AG5">
        <v>-0.178034180195555</v>
      </c>
      <c r="AH5">
        <v>-0.92797536091528399</v>
      </c>
      <c r="AI5">
        <v>1.0504436249946101</v>
      </c>
      <c r="AJ5">
        <v>0</v>
      </c>
      <c r="AK5">
        <v>0</v>
      </c>
      <c r="AL5">
        <v>0</v>
      </c>
      <c r="AM5">
        <v>0</v>
      </c>
    </row>
    <row r="6" spans="1:39" x14ac:dyDescent="0.35">
      <c r="A6" s="1">
        <v>28825</v>
      </c>
      <c r="B6">
        <f t="shared" si="0"/>
        <v>1.6500318652450501</v>
      </c>
      <c r="C6">
        <f t="shared" si="5"/>
        <v>6.7053866288787303E-2</v>
      </c>
      <c r="D6">
        <f t="shared" si="6"/>
        <v>0.56508444387012002</v>
      </c>
      <c r="E6">
        <f t="shared" si="7"/>
        <v>0.20828419203037499</v>
      </c>
      <c r="F6">
        <f t="shared" si="8"/>
        <v>-0.74475995568494902</v>
      </c>
      <c r="G6">
        <f t="shared" si="9"/>
        <v>1.3098443995550799</v>
      </c>
      <c r="H6">
        <f t="shared" si="10"/>
        <v>2</v>
      </c>
      <c r="I6">
        <f t="shared" si="1"/>
        <v>0</v>
      </c>
      <c r="J6">
        <f t="shared" si="2"/>
        <v>0</v>
      </c>
      <c r="K6">
        <f t="shared" si="3"/>
        <v>0</v>
      </c>
      <c r="L6">
        <f t="shared" si="4"/>
        <v>0</v>
      </c>
      <c r="M6" s="3">
        <f t="shared" si="11"/>
        <v>0</v>
      </c>
      <c r="P6">
        <v>281318400</v>
      </c>
      <c r="Q6">
        <v>1.6500318652450501</v>
      </c>
      <c r="R6">
        <v>6.7053866288787303E-2</v>
      </c>
      <c r="S6">
        <v>0.56508444387012002</v>
      </c>
      <c r="T6">
        <v>0.20828419203037499</v>
      </c>
      <c r="U6">
        <v>-0.74475995568494902</v>
      </c>
      <c r="V6">
        <v>1.3098443995550799</v>
      </c>
      <c r="W6">
        <v>0</v>
      </c>
      <c r="X6">
        <v>0</v>
      </c>
      <c r="Y6">
        <v>0</v>
      </c>
      <c r="Z6">
        <v>0</v>
      </c>
      <c r="AC6">
        <v>281318400</v>
      </c>
      <c r="AD6">
        <v>1.64257395826653</v>
      </c>
      <c r="AE6">
        <v>5.20076015203682E-2</v>
      </c>
      <c r="AF6">
        <v>0.49156449254032603</v>
      </c>
      <c r="AG6">
        <v>0.13381072535861499</v>
      </c>
      <c r="AH6">
        <v>-0.75900824393324495</v>
      </c>
      <c r="AI6">
        <v>1.2505727364735999</v>
      </c>
      <c r="AJ6">
        <v>0</v>
      </c>
      <c r="AK6">
        <v>0</v>
      </c>
      <c r="AL6">
        <v>0</v>
      </c>
      <c r="AM6">
        <v>0</v>
      </c>
    </row>
    <row r="7" spans="1:39" x14ac:dyDescent="0.35">
      <c r="A7" s="1">
        <v>28915</v>
      </c>
      <c r="B7">
        <f t="shared" si="0"/>
        <v>-0.68965437603918001</v>
      </c>
      <c r="C7">
        <f t="shared" si="5"/>
        <v>-0.66614026135419102</v>
      </c>
      <c r="D7">
        <f t="shared" si="6"/>
        <v>-0.67353818357770401</v>
      </c>
      <c r="E7">
        <f t="shared" si="7"/>
        <v>-0.66823814652924995</v>
      </c>
      <c r="F7">
        <f t="shared" si="8"/>
        <v>-0.65408129191475495</v>
      </c>
      <c r="G7">
        <f t="shared" si="9"/>
        <v>-1.94568916629645E-2</v>
      </c>
      <c r="H7">
        <f t="shared" si="10"/>
        <v>2</v>
      </c>
      <c r="I7">
        <f t="shared" si="1"/>
        <v>0</v>
      </c>
      <c r="J7">
        <f t="shared" si="2"/>
        <v>0</v>
      </c>
      <c r="K7">
        <f t="shared" si="3"/>
        <v>0</v>
      </c>
      <c r="L7">
        <f t="shared" si="4"/>
        <v>0</v>
      </c>
      <c r="M7" s="3">
        <f t="shared" si="11"/>
        <v>0</v>
      </c>
      <c r="P7">
        <v>289094400</v>
      </c>
      <c r="Q7">
        <v>-0.68965437603918001</v>
      </c>
      <c r="R7">
        <v>-0.66614026135419102</v>
      </c>
      <c r="S7">
        <v>-0.67353818357770401</v>
      </c>
      <c r="T7">
        <v>-0.66823814652924995</v>
      </c>
      <c r="U7">
        <v>-0.65408129191475495</v>
      </c>
      <c r="V7">
        <v>-1.94568916629645E-2</v>
      </c>
      <c r="W7">
        <v>0</v>
      </c>
      <c r="X7">
        <v>0</v>
      </c>
      <c r="Y7">
        <v>0</v>
      </c>
      <c r="Z7">
        <v>0</v>
      </c>
      <c r="AC7">
        <v>289094400</v>
      </c>
      <c r="AD7">
        <v>-0.73096699438306001</v>
      </c>
      <c r="AE7">
        <v>-0.69018418108569102</v>
      </c>
      <c r="AF7">
        <v>-0.70145461098256701</v>
      </c>
      <c r="AG7">
        <v>-0.69228164876595999</v>
      </c>
      <c r="AH7">
        <v>-0.66938938200922704</v>
      </c>
      <c r="AI7">
        <v>-3.2065228973312897E-2</v>
      </c>
      <c r="AJ7">
        <v>0</v>
      </c>
      <c r="AK7">
        <v>0</v>
      </c>
      <c r="AL7">
        <v>0</v>
      </c>
      <c r="AM7">
        <v>0</v>
      </c>
    </row>
    <row r="8" spans="1:39" x14ac:dyDescent="0.35">
      <c r="A8" s="1">
        <v>29007</v>
      </c>
      <c r="B8">
        <f t="shared" si="0"/>
        <v>-1.02121518661821</v>
      </c>
      <c r="C8">
        <f t="shared" si="5"/>
        <v>-0.30458838470008498</v>
      </c>
      <c r="D8">
        <f t="shared" si="6"/>
        <v>-0.53005081077599303</v>
      </c>
      <c r="E8">
        <f t="shared" si="7"/>
        <v>-0.36852448282448802</v>
      </c>
      <c r="F8">
        <f t="shared" si="8"/>
        <v>6.2926225975168601E-2</v>
      </c>
      <c r="G8">
        <f t="shared" si="9"/>
        <v>-0.59297703675119695</v>
      </c>
      <c r="H8">
        <f t="shared" si="10"/>
        <v>2</v>
      </c>
      <c r="I8">
        <f t="shared" si="1"/>
        <v>0</v>
      </c>
      <c r="J8">
        <f t="shared" si="2"/>
        <v>0</v>
      </c>
      <c r="K8">
        <f t="shared" si="3"/>
        <v>0</v>
      </c>
      <c r="L8">
        <f t="shared" si="4"/>
        <v>0</v>
      </c>
      <c r="M8" s="3">
        <f t="shared" si="11"/>
        <v>0</v>
      </c>
      <c r="P8">
        <v>297043200</v>
      </c>
      <c r="Q8">
        <v>-1.02121518661821</v>
      </c>
      <c r="R8">
        <v>-0.30458838470008498</v>
      </c>
      <c r="S8">
        <v>-0.53005081077599303</v>
      </c>
      <c r="T8">
        <v>-0.36852448282448802</v>
      </c>
      <c r="U8">
        <v>6.2926225975168601E-2</v>
      </c>
      <c r="V8">
        <v>-0.59297703675119695</v>
      </c>
      <c r="W8">
        <v>0</v>
      </c>
      <c r="X8">
        <v>0</v>
      </c>
      <c r="Y8">
        <v>0</v>
      </c>
      <c r="Z8">
        <v>0</v>
      </c>
      <c r="AC8">
        <v>297043200</v>
      </c>
      <c r="AD8">
        <v>-1.0833669923840601</v>
      </c>
      <c r="AE8">
        <v>-0.33195754214715401</v>
      </c>
      <c r="AF8">
        <v>-0.53961137590788899</v>
      </c>
      <c r="AG8">
        <v>-0.37060267006035003</v>
      </c>
      <c r="AH8">
        <v>5.1179551115881398E-2</v>
      </c>
      <c r="AI8">
        <v>-0.59079092702368896</v>
      </c>
      <c r="AJ8">
        <v>0</v>
      </c>
      <c r="AK8">
        <v>0</v>
      </c>
      <c r="AL8">
        <v>0</v>
      </c>
      <c r="AM8">
        <v>0</v>
      </c>
    </row>
    <row r="9" spans="1:39" x14ac:dyDescent="0.35">
      <c r="A9" s="1">
        <v>29099</v>
      </c>
      <c r="B9">
        <f t="shared" si="0"/>
        <v>-2.6424502243396999</v>
      </c>
      <c r="C9">
        <f t="shared" si="5"/>
        <v>-0.54560295678291804</v>
      </c>
      <c r="D9">
        <f t="shared" si="6"/>
        <v>-1.20530514875877</v>
      </c>
      <c r="E9">
        <f t="shared" si="7"/>
        <v>-0.73267973411185805</v>
      </c>
      <c r="F9">
        <f t="shared" si="8"/>
        <v>0.52974338125387099</v>
      </c>
      <c r="G9">
        <f t="shared" si="9"/>
        <v>-1.7350485300126901</v>
      </c>
      <c r="H9">
        <f t="shared" si="10"/>
        <v>2</v>
      </c>
      <c r="I9">
        <f t="shared" si="1"/>
        <v>0</v>
      </c>
      <c r="J9">
        <f t="shared" si="2"/>
        <v>0</v>
      </c>
      <c r="K9">
        <f t="shared" si="3"/>
        <v>0</v>
      </c>
      <c r="L9">
        <f t="shared" si="4"/>
        <v>0</v>
      </c>
      <c r="M9" s="3">
        <f t="shared" si="11"/>
        <v>0</v>
      </c>
      <c r="P9">
        <v>304992000</v>
      </c>
      <c r="Q9">
        <v>-2.6424502243396999</v>
      </c>
      <c r="R9">
        <v>-0.54560295678291804</v>
      </c>
      <c r="S9">
        <v>-1.20530514875877</v>
      </c>
      <c r="T9">
        <v>-0.73267973411185805</v>
      </c>
      <c r="U9">
        <v>0.52974338125387099</v>
      </c>
      <c r="V9">
        <v>-1.7350485300126901</v>
      </c>
      <c r="W9">
        <v>0</v>
      </c>
      <c r="X9">
        <v>0</v>
      </c>
      <c r="Y9">
        <v>0</v>
      </c>
      <c r="Z9">
        <v>0</v>
      </c>
      <c r="AC9">
        <v>304992000</v>
      </c>
      <c r="AD9">
        <v>-2.7294627202105999</v>
      </c>
      <c r="AE9">
        <v>-0.57696555482747103</v>
      </c>
      <c r="AF9">
        <v>-1.1718133949896901</v>
      </c>
      <c r="AG9">
        <v>-0.68766888476675503</v>
      </c>
      <c r="AH9">
        <v>0.52057388514339897</v>
      </c>
      <c r="AI9">
        <v>-1.69238728013297</v>
      </c>
      <c r="AJ9">
        <v>0</v>
      </c>
      <c r="AK9">
        <v>0</v>
      </c>
      <c r="AL9">
        <v>0</v>
      </c>
      <c r="AM9">
        <v>0</v>
      </c>
    </row>
    <row r="10" spans="1:39" x14ac:dyDescent="0.35">
      <c r="A10" s="1">
        <v>29190</v>
      </c>
      <c r="B10">
        <f t="shared" si="0"/>
        <v>-0.73988180223803401</v>
      </c>
      <c r="C10">
        <f t="shared" si="5"/>
        <v>0.163313875293678</v>
      </c>
      <c r="D10">
        <f t="shared" si="6"/>
        <v>-0.120846147932474</v>
      </c>
      <c r="E10">
        <f t="shared" si="7"/>
        <v>8.2732452285738195E-2</v>
      </c>
      <c r="F10">
        <f t="shared" si="8"/>
        <v>0.626508395653675</v>
      </c>
      <c r="G10">
        <f t="shared" si="9"/>
        <v>-0.74735454358626296</v>
      </c>
      <c r="H10">
        <f t="shared" si="10"/>
        <v>2</v>
      </c>
      <c r="I10">
        <f t="shared" si="1"/>
        <v>0</v>
      </c>
      <c r="J10">
        <f t="shared" si="2"/>
        <v>0</v>
      </c>
      <c r="K10">
        <f t="shared" si="3"/>
        <v>0</v>
      </c>
      <c r="L10">
        <f t="shared" si="4"/>
        <v>0</v>
      </c>
      <c r="M10" s="3">
        <f t="shared" si="11"/>
        <v>0</v>
      </c>
      <c r="P10">
        <v>312854400</v>
      </c>
      <c r="Q10">
        <v>-0.73988180223803401</v>
      </c>
      <c r="R10">
        <v>0.163313875293678</v>
      </c>
      <c r="S10">
        <v>-0.120846147932474</v>
      </c>
      <c r="T10">
        <v>8.2732452285738195E-2</v>
      </c>
      <c r="U10">
        <v>0.626508395653675</v>
      </c>
      <c r="V10">
        <v>-0.74735454358626296</v>
      </c>
      <c r="W10">
        <v>0</v>
      </c>
      <c r="X10">
        <v>0</v>
      </c>
      <c r="Y10">
        <v>0</v>
      </c>
      <c r="Z10">
        <v>0</v>
      </c>
      <c r="AC10">
        <v>312854400</v>
      </c>
      <c r="AD10">
        <v>-0.82436522827384695</v>
      </c>
      <c r="AE10">
        <v>0.12889632296313699</v>
      </c>
      <c r="AF10">
        <v>-0.13453983109199799</v>
      </c>
      <c r="AG10">
        <v>7.9869903917353893E-2</v>
      </c>
      <c r="AH10">
        <v>0.61495603347810701</v>
      </c>
      <c r="AI10">
        <v>-0.74949586456994199</v>
      </c>
      <c r="AJ10">
        <v>0</v>
      </c>
      <c r="AK10">
        <v>0</v>
      </c>
      <c r="AL10">
        <v>0</v>
      </c>
      <c r="AM10">
        <v>0</v>
      </c>
    </row>
    <row r="11" spans="1:39" x14ac:dyDescent="0.35">
      <c r="A11" s="1">
        <v>29281</v>
      </c>
      <c r="B11">
        <f t="shared" si="0"/>
        <v>-3.3569895963791199</v>
      </c>
      <c r="C11">
        <f t="shared" si="5"/>
        <v>-0.58280340001386799</v>
      </c>
      <c r="D11">
        <f t="shared" si="6"/>
        <v>-1.4556074153601199</v>
      </c>
      <c r="E11">
        <f t="shared" si="7"/>
        <v>-0.83031108517360797</v>
      </c>
      <c r="F11">
        <f t="shared" si="8"/>
        <v>0.83990917111660301</v>
      </c>
      <c r="G11">
        <f t="shared" si="9"/>
        <v>-2.2955165864768099</v>
      </c>
      <c r="H11">
        <f t="shared" si="10"/>
        <v>2</v>
      </c>
      <c r="I11">
        <f t="shared" si="1"/>
        <v>0</v>
      </c>
      <c r="J11">
        <f t="shared" si="2"/>
        <v>0</v>
      </c>
      <c r="K11">
        <f t="shared" si="3"/>
        <v>0</v>
      </c>
      <c r="L11">
        <f t="shared" si="4"/>
        <v>0</v>
      </c>
      <c r="M11" s="3">
        <f t="shared" si="11"/>
        <v>0</v>
      </c>
      <c r="P11">
        <v>320716800</v>
      </c>
      <c r="Q11">
        <v>-3.3569895963791199</v>
      </c>
      <c r="R11">
        <v>-0.58280340001386799</v>
      </c>
      <c r="S11">
        <v>-1.4556074153601199</v>
      </c>
      <c r="T11">
        <v>-0.83031108517360797</v>
      </c>
      <c r="U11">
        <v>0.83990917111660301</v>
      </c>
      <c r="V11">
        <v>-2.2955165864768099</v>
      </c>
      <c r="W11">
        <v>0</v>
      </c>
      <c r="X11">
        <v>0</v>
      </c>
      <c r="Y11">
        <v>0</v>
      </c>
      <c r="Z11">
        <v>0</v>
      </c>
      <c r="AC11">
        <v>320716800</v>
      </c>
      <c r="AD11">
        <v>-3.4766956868921399</v>
      </c>
      <c r="AE11">
        <v>-0.625701241736484</v>
      </c>
      <c r="AF11">
        <v>-1.4135805083340101</v>
      </c>
      <c r="AG11">
        <v>-0.77232841681153197</v>
      </c>
      <c r="AH11">
        <v>0.82799583950419597</v>
      </c>
      <c r="AI11">
        <v>-2.2415763478380999</v>
      </c>
      <c r="AJ11">
        <v>0</v>
      </c>
      <c r="AK11">
        <v>0</v>
      </c>
      <c r="AL11">
        <v>0</v>
      </c>
      <c r="AM11">
        <v>0</v>
      </c>
    </row>
    <row r="12" spans="1:39" x14ac:dyDescent="0.35">
      <c r="A12" s="1">
        <v>29373</v>
      </c>
      <c r="B12">
        <f t="shared" si="0"/>
        <v>-1.7405045512441799</v>
      </c>
      <c r="C12">
        <f t="shared" si="5"/>
        <v>-5.15984285831637E-2</v>
      </c>
      <c r="D12">
        <f t="shared" si="6"/>
        <v>-0.58295571358900999</v>
      </c>
      <c r="E12">
        <f t="shared" si="7"/>
        <v>-0.20227946268956601</v>
      </c>
      <c r="F12">
        <f t="shared" si="8"/>
        <v>0.81453953119657097</v>
      </c>
      <c r="G12">
        <f t="shared" si="9"/>
        <v>-1.3974952447856599</v>
      </c>
      <c r="H12">
        <f t="shared" si="10"/>
        <v>2</v>
      </c>
      <c r="I12">
        <f t="shared" si="1"/>
        <v>0</v>
      </c>
      <c r="J12">
        <f t="shared" si="2"/>
        <v>0</v>
      </c>
      <c r="K12">
        <f t="shared" si="3"/>
        <v>0</v>
      </c>
      <c r="L12">
        <f t="shared" si="4"/>
        <v>0</v>
      </c>
      <c r="M12" s="3">
        <f t="shared" si="11"/>
        <v>0</v>
      </c>
      <c r="P12">
        <v>328665600</v>
      </c>
      <c r="Q12">
        <v>-1.7405045512441799</v>
      </c>
      <c r="R12">
        <v>-5.15984285831637E-2</v>
      </c>
      <c r="S12">
        <v>-0.58295571358900999</v>
      </c>
      <c r="T12">
        <v>-0.20227946268956601</v>
      </c>
      <c r="U12">
        <v>0.81453953119657097</v>
      </c>
      <c r="V12">
        <v>-1.3974952447856599</v>
      </c>
      <c r="W12">
        <v>0</v>
      </c>
      <c r="X12">
        <v>0</v>
      </c>
      <c r="Y12">
        <v>0</v>
      </c>
      <c r="Z12">
        <v>0</v>
      </c>
      <c r="AC12">
        <v>328665600</v>
      </c>
      <c r="AD12">
        <v>-1.83144065986187</v>
      </c>
      <c r="AE12">
        <v>-8.5104581560820694E-2</v>
      </c>
      <c r="AF12">
        <v>-0.56770881495125802</v>
      </c>
      <c r="AG12">
        <v>-0.174918971177765</v>
      </c>
      <c r="AH12">
        <v>0.80533687973531698</v>
      </c>
      <c r="AI12">
        <v>-1.37304569468647</v>
      </c>
      <c r="AJ12">
        <v>0</v>
      </c>
      <c r="AK12">
        <v>0</v>
      </c>
      <c r="AL12">
        <v>0</v>
      </c>
      <c r="AM12">
        <v>0</v>
      </c>
    </row>
    <row r="13" spans="1:39" x14ac:dyDescent="0.35">
      <c r="A13" s="1">
        <v>29465</v>
      </c>
      <c r="B13">
        <f t="shared" si="0"/>
        <v>-2.28741996608623</v>
      </c>
      <c r="C13">
        <f t="shared" si="5"/>
        <v>-0.32507555204264399</v>
      </c>
      <c r="D13">
        <f t="shared" si="6"/>
        <v>-0.942460962695152</v>
      </c>
      <c r="E13">
        <f t="shared" si="7"/>
        <v>-0.50015223724945701</v>
      </c>
      <c r="F13">
        <f t="shared" si="8"/>
        <v>0.68129239485479598</v>
      </c>
      <c r="G13">
        <f t="shared" si="9"/>
        <v>-1.6237533575499901</v>
      </c>
      <c r="H13">
        <f t="shared" si="10"/>
        <v>2</v>
      </c>
      <c r="I13">
        <f t="shared" si="1"/>
        <v>0</v>
      </c>
      <c r="J13">
        <f t="shared" si="2"/>
        <v>0</v>
      </c>
      <c r="K13">
        <f t="shared" si="3"/>
        <v>0</v>
      </c>
      <c r="L13">
        <f t="shared" si="4"/>
        <v>0</v>
      </c>
      <c r="M13" s="3">
        <f t="shared" si="11"/>
        <v>0</v>
      </c>
      <c r="P13">
        <v>336614400</v>
      </c>
      <c r="Q13">
        <v>-2.28741996608623</v>
      </c>
      <c r="R13">
        <v>-0.32507555204264399</v>
      </c>
      <c r="S13">
        <v>-0.942460962695152</v>
      </c>
      <c r="T13">
        <v>-0.50015223724945701</v>
      </c>
      <c r="U13">
        <v>0.68129239485479598</v>
      </c>
      <c r="V13">
        <v>-1.6237533575499901</v>
      </c>
      <c r="W13">
        <v>0</v>
      </c>
      <c r="X13">
        <v>0</v>
      </c>
      <c r="Y13">
        <v>0</v>
      </c>
      <c r="Z13">
        <v>0</v>
      </c>
      <c r="AC13">
        <v>336614400</v>
      </c>
      <c r="AD13">
        <v>-2.38134062997795</v>
      </c>
      <c r="AE13">
        <v>-0.35958710716318798</v>
      </c>
      <c r="AF13">
        <v>-0.918303622904869</v>
      </c>
      <c r="AG13">
        <v>-0.46356626722510202</v>
      </c>
      <c r="AH13">
        <v>0.67128729530986697</v>
      </c>
      <c r="AI13">
        <v>-1.5895909182147101</v>
      </c>
      <c r="AJ13">
        <v>0</v>
      </c>
      <c r="AK13">
        <v>0</v>
      </c>
      <c r="AL13">
        <v>0</v>
      </c>
      <c r="AM13">
        <v>0</v>
      </c>
    </row>
    <row r="14" spans="1:39" x14ac:dyDescent="0.35">
      <c r="A14" s="1">
        <v>29556</v>
      </c>
      <c r="B14">
        <f t="shared" si="0"/>
        <v>-0.61149485621875499</v>
      </c>
      <c r="C14">
        <f t="shared" si="5"/>
        <v>0.38903224670216102</v>
      </c>
      <c r="D14">
        <f t="shared" si="6"/>
        <v>7.4250176905889295E-2</v>
      </c>
      <c r="E14">
        <f t="shared" si="7"/>
        <v>0.29976709661669299</v>
      </c>
      <c r="F14">
        <f t="shared" si="8"/>
        <v>0.902142177444058</v>
      </c>
      <c r="G14">
        <f t="shared" si="9"/>
        <v>-0.82789200053822198</v>
      </c>
      <c r="H14">
        <f t="shared" si="10"/>
        <v>2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4"/>
        <v>0</v>
      </c>
      <c r="M14" s="3">
        <f t="shared" si="11"/>
        <v>0</v>
      </c>
      <c r="P14">
        <v>344476800</v>
      </c>
      <c r="Q14">
        <v>-0.61149485621875499</v>
      </c>
      <c r="R14">
        <v>0.38903224670216102</v>
      </c>
      <c r="S14">
        <v>7.4250176905889295E-2</v>
      </c>
      <c r="T14">
        <v>0.29976709661669299</v>
      </c>
      <c r="U14">
        <v>0.902142177444058</v>
      </c>
      <c r="V14">
        <v>-0.82789200053822198</v>
      </c>
      <c r="W14">
        <v>0</v>
      </c>
      <c r="X14">
        <v>0</v>
      </c>
      <c r="Y14">
        <v>0</v>
      </c>
      <c r="Z14">
        <v>0</v>
      </c>
      <c r="AC14">
        <v>344476800</v>
      </c>
      <c r="AD14">
        <v>-0.66305511135719697</v>
      </c>
      <c r="AE14">
        <v>0.37221258942459901</v>
      </c>
      <c r="AF14">
        <v>8.6113835984376899E-2</v>
      </c>
      <c r="AG14">
        <v>0.31896857884080598</v>
      </c>
      <c r="AH14">
        <v>0.900086516883984</v>
      </c>
      <c r="AI14">
        <v>-0.81397268089959096</v>
      </c>
      <c r="AJ14">
        <v>0</v>
      </c>
      <c r="AK14">
        <v>0</v>
      </c>
      <c r="AL14">
        <v>0</v>
      </c>
      <c r="AM14">
        <v>0</v>
      </c>
    </row>
    <row r="15" spans="1:39" x14ac:dyDescent="0.35">
      <c r="A15" s="1">
        <v>29646</v>
      </c>
      <c r="B15">
        <f t="shared" si="0"/>
        <v>-1.2042554019909899</v>
      </c>
      <c r="C15">
        <f t="shared" si="5"/>
        <v>0.17442741599593001</v>
      </c>
      <c r="D15">
        <f t="shared" si="6"/>
        <v>-0.25932858098964301</v>
      </c>
      <c r="E15">
        <f t="shared" si="7"/>
        <v>5.1423922828606798E-2</v>
      </c>
      <c r="F15">
        <f t="shared" si="8"/>
        <v>0.88147057673315699</v>
      </c>
      <c r="G15">
        <f t="shared" si="9"/>
        <v>-1.14079915772283</v>
      </c>
      <c r="H15">
        <f t="shared" si="10"/>
        <v>2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4"/>
        <v>0</v>
      </c>
      <c r="M15" s="3">
        <f t="shared" si="11"/>
        <v>0</v>
      </c>
      <c r="P15">
        <v>352252800</v>
      </c>
      <c r="Q15">
        <v>-1.2042554019909899</v>
      </c>
      <c r="R15">
        <v>0.17442741599593001</v>
      </c>
      <c r="S15">
        <v>-0.25932858098964301</v>
      </c>
      <c r="T15">
        <v>5.1423922828606798E-2</v>
      </c>
      <c r="U15">
        <v>0.88147057673315699</v>
      </c>
      <c r="V15">
        <v>-1.14079915772283</v>
      </c>
      <c r="W15">
        <v>0</v>
      </c>
      <c r="X15">
        <v>0</v>
      </c>
      <c r="Y15">
        <v>0</v>
      </c>
      <c r="Z15">
        <v>0</v>
      </c>
      <c r="AC15">
        <v>352252800</v>
      </c>
      <c r="AD15">
        <v>-1.23297912525248</v>
      </c>
      <c r="AE15">
        <v>0.170220746846175</v>
      </c>
      <c r="AF15">
        <v>-0.21755695927922999</v>
      </c>
      <c r="AG15">
        <v>9.8053916194754495E-2</v>
      </c>
      <c r="AH15">
        <v>0.88570006387292799</v>
      </c>
      <c r="AI15">
        <v>-1.1032570231521699</v>
      </c>
      <c r="AJ15">
        <v>0</v>
      </c>
      <c r="AK15">
        <v>0</v>
      </c>
      <c r="AL15">
        <v>0</v>
      </c>
      <c r="AM15">
        <v>0</v>
      </c>
    </row>
    <row r="16" spans="1:39" x14ac:dyDescent="0.35">
      <c r="A16" s="1">
        <v>29738</v>
      </c>
      <c r="B16">
        <f t="shared" si="0"/>
        <v>-1.90785855734548</v>
      </c>
      <c r="C16">
        <f t="shared" si="5"/>
        <v>-0.24572959740643599</v>
      </c>
      <c r="D16">
        <f t="shared" si="6"/>
        <v>-0.76866235230191504</v>
      </c>
      <c r="E16">
        <f t="shared" si="7"/>
        <v>-0.39402162331676799</v>
      </c>
      <c r="F16">
        <f t="shared" si="8"/>
        <v>0.60667597264641904</v>
      </c>
      <c r="G16">
        <f t="shared" si="9"/>
        <v>-1.3753383249483599</v>
      </c>
      <c r="H16">
        <f t="shared" si="10"/>
        <v>2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4"/>
        <v>0</v>
      </c>
      <c r="M16" s="3">
        <f t="shared" si="11"/>
        <v>0</v>
      </c>
      <c r="P16">
        <v>360201600</v>
      </c>
      <c r="Q16">
        <v>-1.90785855734548</v>
      </c>
      <c r="R16">
        <v>-0.24572959740643599</v>
      </c>
      <c r="S16">
        <v>-0.76866235230191504</v>
      </c>
      <c r="T16">
        <v>-0.39402162331676799</v>
      </c>
      <c r="U16">
        <v>0.60667597264641904</v>
      </c>
      <c r="V16">
        <v>-1.3753383249483599</v>
      </c>
      <c r="W16">
        <v>0</v>
      </c>
      <c r="X16">
        <v>0</v>
      </c>
      <c r="Y16">
        <v>0</v>
      </c>
      <c r="Z16">
        <v>0</v>
      </c>
      <c r="AC16">
        <v>360201600</v>
      </c>
      <c r="AD16">
        <v>-1.9375558860466899</v>
      </c>
      <c r="AE16">
        <v>-0.250556546351486</v>
      </c>
      <c r="AF16">
        <v>-0.71676292734525504</v>
      </c>
      <c r="AG16">
        <v>-0.33731923645545497</v>
      </c>
      <c r="AH16">
        <v>0.60962963196137898</v>
      </c>
      <c r="AI16">
        <v>-1.3263925593066901</v>
      </c>
      <c r="AJ16">
        <v>0</v>
      </c>
      <c r="AK16">
        <v>0</v>
      </c>
      <c r="AL16">
        <v>0</v>
      </c>
      <c r="AM16">
        <v>0</v>
      </c>
    </row>
    <row r="17" spans="1:39" x14ac:dyDescent="0.35">
      <c r="A17" s="1">
        <v>29830</v>
      </c>
      <c r="B17">
        <f t="shared" si="0"/>
        <v>-2.3162674235997098</v>
      </c>
      <c r="C17">
        <f t="shared" si="5"/>
        <v>-0.550493542250864</v>
      </c>
      <c r="D17">
        <f t="shared" si="6"/>
        <v>-1.1060346720619001</v>
      </c>
      <c r="E17">
        <f t="shared" si="7"/>
        <v>-0.70803257350291404</v>
      </c>
      <c r="F17">
        <f t="shared" si="8"/>
        <v>0.35506524903017</v>
      </c>
      <c r="G17">
        <f t="shared" si="9"/>
        <v>-1.4610999210921201</v>
      </c>
      <c r="H17">
        <f t="shared" si="10"/>
        <v>2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 s="3">
        <f t="shared" si="11"/>
        <v>0</v>
      </c>
      <c r="P17">
        <v>368150400</v>
      </c>
      <c r="Q17">
        <v>-2.3162674235997098</v>
      </c>
      <c r="R17">
        <v>-0.550493542250864</v>
      </c>
      <c r="S17">
        <v>-1.1060346720619001</v>
      </c>
      <c r="T17">
        <v>-0.70803257350291404</v>
      </c>
      <c r="U17">
        <v>0.35506524903017</v>
      </c>
      <c r="V17">
        <v>-1.4610999210921201</v>
      </c>
      <c r="W17">
        <v>0</v>
      </c>
      <c r="X17">
        <v>0</v>
      </c>
      <c r="Y17">
        <v>0</v>
      </c>
      <c r="Z17">
        <v>0</v>
      </c>
      <c r="AC17">
        <v>368150400</v>
      </c>
      <c r="AD17">
        <v>-2.3211378250127601</v>
      </c>
      <c r="AE17">
        <v>-0.54398710981746401</v>
      </c>
      <c r="AF17">
        <v>-1.0351070432499301</v>
      </c>
      <c r="AG17">
        <v>-0.63538630194661805</v>
      </c>
      <c r="AH17">
        <v>0.36216646476902198</v>
      </c>
      <c r="AI17">
        <v>-1.3972735080190399</v>
      </c>
      <c r="AJ17">
        <v>0</v>
      </c>
      <c r="AK17">
        <v>0</v>
      </c>
      <c r="AL17">
        <v>0</v>
      </c>
      <c r="AM17">
        <v>0</v>
      </c>
    </row>
    <row r="18" spans="1:39" x14ac:dyDescent="0.35">
      <c r="A18" s="1">
        <v>29921</v>
      </c>
      <c r="B18">
        <f t="shared" si="0"/>
        <v>-1.3251267624146701</v>
      </c>
      <c r="C18">
        <f t="shared" si="5"/>
        <v>-0.431581446215621</v>
      </c>
      <c r="D18">
        <f t="shared" si="6"/>
        <v>-0.712705309096338</v>
      </c>
      <c r="E18">
        <f t="shared" si="7"/>
        <v>-0.51130188209966898</v>
      </c>
      <c r="F18">
        <f t="shared" si="8"/>
        <v>2.6663986588034701E-2</v>
      </c>
      <c r="G18">
        <f t="shared" si="9"/>
        <v>-0.73936929568441001</v>
      </c>
      <c r="H18">
        <f t="shared" si="10"/>
        <v>2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 s="3">
        <f t="shared" si="11"/>
        <v>0</v>
      </c>
      <c r="P18">
        <v>376012800</v>
      </c>
      <c r="Q18">
        <v>-1.3251267624146701</v>
      </c>
      <c r="R18">
        <v>-0.431581446215621</v>
      </c>
      <c r="S18">
        <v>-0.712705309096338</v>
      </c>
      <c r="T18">
        <v>-0.51130188209966898</v>
      </c>
      <c r="U18">
        <v>2.6663986588034701E-2</v>
      </c>
      <c r="V18">
        <v>-0.73936929568441001</v>
      </c>
      <c r="W18">
        <v>0</v>
      </c>
      <c r="X18">
        <v>0</v>
      </c>
      <c r="Y18">
        <v>0</v>
      </c>
      <c r="Z18">
        <v>0</v>
      </c>
      <c r="AC18">
        <v>376012800</v>
      </c>
      <c r="AD18">
        <v>-1.31557991812346</v>
      </c>
      <c r="AE18">
        <v>-0.42344067930665602</v>
      </c>
      <c r="AF18">
        <v>-0.66998553328774302</v>
      </c>
      <c r="AG18">
        <v>-0.46932356644581102</v>
      </c>
      <c r="AH18">
        <v>3.1453299786124399E-2</v>
      </c>
      <c r="AI18">
        <v>-0.70143883307393795</v>
      </c>
      <c r="AJ18">
        <v>0</v>
      </c>
      <c r="AK18">
        <v>0</v>
      </c>
      <c r="AL18">
        <v>0</v>
      </c>
      <c r="AM18">
        <v>0</v>
      </c>
    </row>
    <row r="19" spans="1:39" x14ac:dyDescent="0.35">
      <c r="A19" s="1">
        <v>30011</v>
      </c>
      <c r="B19">
        <f t="shared" si="0"/>
        <v>-3.0119577409282798</v>
      </c>
      <c r="C19">
        <f t="shared" si="5"/>
        <v>-1.1888223714314801</v>
      </c>
      <c r="D19">
        <f t="shared" si="6"/>
        <v>-1.76241035665812</v>
      </c>
      <c r="E19">
        <f t="shared" si="7"/>
        <v>-1.35147908698585</v>
      </c>
      <c r="F19">
        <f t="shared" si="8"/>
        <v>-0.25384633685440899</v>
      </c>
      <c r="G19">
        <f t="shared" si="9"/>
        <v>-1.50856401980373</v>
      </c>
      <c r="H19">
        <f t="shared" si="10"/>
        <v>2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4"/>
        <v>0</v>
      </c>
      <c r="M19" s="3">
        <f t="shared" si="11"/>
        <v>0</v>
      </c>
      <c r="P19">
        <v>383788800</v>
      </c>
      <c r="Q19">
        <v>-3.0119577409282798</v>
      </c>
      <c r="R19">
        <v>-1.1888223714314801</v>
      </c>
      <c r="S19">
        <v>-1.76241035665812</v>
      </c>
      <c r="T19">
        <v>-1.35147908698585</v>
      </c>
      <c r="U19">
        <v>-0.25384633685440899</v>
      </c>
      <c r="V19">
        <v>-1.50856401980373</v>
      </c>
      <c r="W19">
        <v>0</v>
      </c>
      <c r="X19">
        <v>0</v>
      </c>
      <c r="Y19">
        <v>0</v>
      </c>
      <c r="Z19">
        <v>0</v>
      </c>
      <c r="AC19">
        <v>383788800</v>
      </c>
      <c r="AD19">
        <v>-3.0071765016809899</v>
      </c>
      <c r="AE19">
        <v>-1.1803575190672599</v>
      </c>
      <c r="AF19">
        <v>-1.6852033993086899</v>
      </c>
      <c r="AG19">
        <v>-1.2743111594362799</v>
      </c>
      <c r="AH19">
        <v>-0.24887853022074399</v>
      </c>
      <c r="AI19">
        <v>-1.4363248690880199</v>
      </c>
      <c r="AJ19">
        <v>0</v>
      </c>
      <c r="AK19">
        <v>0</v>
      </c>
      <c r="AL19">
        <v>0</v>
      </c>
      <c r="AM19">
        <v>0</v>
      </c>
    </row>
    <row r="20" spans="1:39" x14ac:dyDescent="0.35">
      <c r="A20" s="1">
        <v>30103</v>
      </c>
      <c r="B20">
        <f t="shared" si="0"/>
        <v>-3.1169013634309599</v>
      </c>
      <c r="C20">
        <f t="shared" si="5"/>
        <v>-1.27339220064867</v>
      </c>
      <c r="D20">
        <f t="shared" si="6"/>
        <v>-1.85339011200453</v>
      </c>
      <c r="E20">
        <f t="shared" si="7"/>
        <v>-1.4378666277973899</v>
      </c>
      <c r="F20">
        <f t="shared" si="8"/>
        <v>-0.32796767783865499</v>
      </c>
      <c r="G20">
        <f t="shared" si="9"/>
        <v>-1.5254224341659199</v>
      </c>
      <c r="H20">
        <f t="shared" si="10"/>
        <v>2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4"/>
        <v>0</v>
      </c>
      <c r="M20" s="3">
        <f t="shared" si="11"/>
        <v>0</v>
      </c>
      <c r="P20">
        <v>391737600</v>
      </c>
      <c r="Q20">
        <v>-3.1169013634309599</v>
      </c>
      <c r="R20">
        <v>-1.27339220064867</v>
      </c>
      <c r="S20">
        <v>-1.85339011200453</v>
      </c>
      <c r="T20">
        <v>-1.4378666277973899</v>
      </c>
      <c r="U20">
        <v>-0.32796767783865499</v>
      </c>
      <c r="V20">
        <v>-1.5254224341659199</v>
      </c>
      <c r="W20">
        <v>0</v>
      </c>
      <c r="X20">
        <v>0</v>
      </c>
      <c r="Y20">
        <v>0</v>
      </c>
      <c r="Z20">
        <v>0</v>
      </c>
      <c r="AC20">
        <v>391737600</v>
      </c>
      <c r="AD20">
        <v>-3.0915440042617401</v>
      </c>
      <c r="AE20">
        <v>-1.25502801863007</v>
      </c>
      <c r="AF20">
        <v>-1.76255368930003</v>
      </c>
      <c r="AG20">
        <v>-1.3494803776695701</v>
      </c>
      <c r="AH20">
        <v>-0.318604612929973</v>
      </c>
      <c r="AI20">
        <v>-1.4439490763701299</v>
      </c>
      <c r="AJ20">
        <v>0</v>
      </c>
      <c r="AK20">
        <v>0</v>
      </c>
      <c r="AL20">
        <v>0</v>
      </c>
      <c r="AM20">
        <v>0</v>
      </c>
    </row>
    <row r="21" spans="1:39" x14ac:dyDescent="0.35">
      <c r="A21" s="1">
        <v>30195</v>
      </c>
      <c r="B21">
        <f t="shared" si="0"/>
        <v>-3.57623945618018</v>
      </c>
      <c r="C21">
        <f t="shared" si="5"/>
        <v>-1.3946939241998599</v>
      </c>
      <c r="D21">
        <f t="shared" si="6"/>
        <v>-2.0810435652109498</v>
      </c>
      <c r="E21">
        <f t="shared" si="7"/>
        <v>-1.5893273216980199</v>
      </c>
      <c r="F21">
        <f t="shared" si="8"/>
        <v>-0.27591096114257202</v>
      </c>
      <c r="G21">
        <f t="shared" si="9"/>
        <v>-1.80513260406835</v>
      </c>
      <c r="H21">
        <f t="shared" si="10"/>
        <v>2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4"/>
        <v>0</v>
      </c>
      <c r="M21" s="3">
        <f t="shared" si="11"/>
        <v>0</v>
      </c>
      <c r="P21">
        <v>399686400</v>
      </c>
      <c r="Q21">
        <v>-3.57623945618018</v>
      </c>
      <c r="R21">
        <v>-1.3946939241998599</v>
      </c>
      <c r="S21">
        <v>-2.0810435652109498</v>
      </c>
      <c r="T21">
        <v>-1.5893273216980199</v>
      </c>
      <c r="U21">
        <v>-0.27591096114257202</v>
      </c>
      <c r="V21">
        <v>-1.80513260406835</v>
      </c>
      <c r="W21">
        <v>0</v>
      </c>
      <c r="X21">
        <v>0</v>
      </c>
      <c r="Y21">
        <v>0</v>
      </c>
      <c r="Z21">
        <v>0</v>
      </c>
      <c r="AC21">
        <v>399686400</v>
      </c>
      <c r="AD21">
        <v>-3.5368063703569801</v>
      </c>
      <c r="AE21">
        <v>-1.36743450684696</v>
      </c>
      <c r="AF21">
        <v>-1.9669457109826201</v>
      </c>
      <c r="AG21">
        <v>-1.4790057056524599</v>
      </c>
      <c r="AH21">
        <v>-0.26129080619237299</v>
      </c>
      <c r="AI21">
        <v>-1.70565490479031</v>
      </c>
      <c r="AJ21">
        <v>0</v>
      </c>
      <c r="AK21">
        <v>0</v>
      </c>
      <c r="AL21">
        <v>0</v>
      </c>
      <c r="AM21">
        <v>0</v>
      </c>
    </row>
    <row r="22" spans="1:39" x14ac:dyDescent="0.35">
      <c r="A22" s="1">
        <v>30286</v>
      </c>
      <c r="B22">
        <f t="shared" si="0"/>
        <v>-0.48232451657665298</v>
      </c>
      <c r="C22">
        <f t="shared" si="5"/>
        <v>-0.136555864798201</v>
      </c>
      <c r="D22">
        <f t="shared" si="6"/>
        <v>-0.245340296084191</v>
      </c>
      <c r="E22">
        <f t="shared" si="7"/>
        <v>-0.16740469488559501</v>
      </c>
      <c r="F22">
        <f t="shared" si="8"/>
        <v>4.0767996243521898E-2</v>
      </c>
      <c r="G22">
        <f t="shared" si="9"/>
        <v>-0.28610829232767998</v>
      </c>
      <c r="H22">
        <f t="shared" si="10"/>
        <v>2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4"/>
        <v>0</v>
      </c>
      <c r="M22" s="3">
        <f t="shared" si="11"/>
        <v>0</v>
      </c>
      <c r="P22">
        <v>407548800</v>
      </c>
      <c r="Q22">
        <v>-0.48232451657665298</v>
      </c>
      <c r="R22">
        <v>-0.136555864798201</v>
      </c>
      <c r="S22">
        <v>-0.245340296084191</v>
      </c>
      <c r="T22">
        <v>-0.16740469488559501</v>
      </c>
      <c r="U22">
        <v>4.0767996243521898E-2</v>
      </c>
      <c r="V22">
        <v>-0.28610829232767998</v>
      </c>
      <c r="W22">
        <v>0</v>
      </c>
      <c r="X22">
        <v>0</v>
      </c>
      <c r="Y22">
        <v>0</v>
      </c>
      <c r="Z22">
        <v>0</v>
      </c>
      <c r="AC22">
        <v>407548800</v>
      </c>
      <c r="AD22">
        <v>-0.34540824402592202</v>
      </c>
      <c r="AE22">
        <v>-6.7754401012680293E-2</v>
      </c>
      <c r="AF22">
        <v>-0.14448471754235301</v>
      </c>
      <c r="AG22">
        <v>-8.2034189848788297E-2</v>
      </c>
      <c r="AH22">
        <v>7.3818860159201805E-2</v>
      </c>
      <c r="AI22">
        <v>-0.21830357770161199</v>
      </c>
      <c r="AJ22">
        <v>0</v>
      </c>
      <c r="AK22">
        <v>0</v>
      </c>
      <c r="AL22">
        <v>0</v>
      </c>
      <c r="AM22">
        <v>0</v>
      </c>
    </row>
    <row r="23" spans="1:39" x14ac:dyDescent="0.35">
      <c r="A23" s="1">
        <v>30376</v>
      </c>
      <c r="B23">
        <f t="shared" si="0"/>
        <v>-0.99292604381496596</v>
      </c>
      <c r="C23">
        <f t="shared" si="5"/>
        <v>-0.20524584775725299</v>
      </c>
      <c r="D23">
        <f t="shared" si="6"/>
        <v>-0.45306282515721702</v>
      </c>
      <c r="E23">
        <f t="shared" si="7"/>
        <v>-0.275521196336175</v>
      </c>
      <c r="F23">
        <f t="shared" si="8"/>
        <v>0.19870775796331</v>
      </c>
      <c r="G23">
        <f t="shared" si="9"/>
        <v>-0.65177058312048397</v>
      </c>
      <c r="H23">
        <f t="shared" si="10"/>
        <v>2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4"/>
        <v>0</v>
      </c>
      <c r="M23" s="3">
        <f t="shared" si="11"/>
        <v>0</v>
      </c>
      <c r="P23">
        <v>415324800</v>
      </c>
      <c r="Q23">
        <v>-0.99292604381496596</v>
      </c>
      <c r="R23">
        <v>-0.20524584775725299</v>
      </c>
      <c r="S23">
        <v>-0.45306282515721702</v>
      </c>
      <c r="T23">
        <v>-0.275521196336175</v>
      </c>
      <c r="U23">
        <v>0.19870775796331</v>
      </c>
      <c r="V23">
        <v>-0.65177058312048397</v>
      </c>
      <c r="W23">
        <v>0</v>
      </c>
      <c r="X23">
        <v>0</v>
      </c>
      <c r="Y23">
        <v>0</v>
      </c>
      <c r="Z23">
        <v>0</v>
      </c>
      <c r="AC23">
        <v>415324800</v>
      </c>
      <c r="AD23">
        <v>-0.838433069304798</v>
      </c>
      <c r="AE23">
        <v>-0.124465645812616</v>
      </c>
      <c r="AF23">
        <v>-0.32177228418619103</v>
      </c>
      <c r="AG23">
        <v>-0.16118512331988899</v>
      </c>
      <c r="AH23">
        <v>0.239580086158238</v>
      </c>
      <c r="AI23">
        <v>-0.56135237034443397</v>
      </c>
      <c r="AJ23">
        <v>0</v>
      </c>
      <c r="AK23">
        <v>0</v>
      </c>
      <c r="AL23">
        <v>0</v>
      </c>
      <c r="AM23">
        <v>0</v>
      </c>
    </row>
    <row r="24" spans="1:39" x14ac:dyDescent="0.35">
      <c r="A24" s="1">
        <v>30468</v>
      </c>
      <c r="B24">
        <f t="shared" si="0"/>
        <v>-0.35039112646444398</v>
      </c>
      <c r="C24">
        <f t="shared" si="5"/>
        <v>-1.41346506409717E-2</v>
      </c>
      <c r="D24">
        <f t="shared" si="6"/>
        <v>-0.119926396944614</v>
      </c>
      <c r="E24">
        <f t="shared" si="7"/>
        <v>-4.4134822244475298E-2</v>
      </c>
      <c r="F24">
        <f t="shared" si="8"/>
        <v>0.15831098977965799</v>
      </c>
      <c r="G24">
        <f t="shared" si="9"/>
        <v>-0.27823738672425002</v>
      </c>
      <c r="H24">
        <f t="shared" si="10"/>
        <v>2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4"/>
        <v>0</v>
      </c>
      <c r="M24" s="3">
        <f t="shared" si="11"/>
        <v>0</v>
      </c>
      <c r="P24">
        <v>423273600</v>
      </c>
      <c r="Q24">
        <v>-0.35039112646444398</v>
      </c>
      <c r="R24">
        <v>-1.41346506409717E-2</v>
      </c>
      <c r="S24">
        <v>-0.119926396944614</v>
      </c>
      <c r="T24">
        <v>-4.4134822244475298E-2</v>
      </c>
      <c r="U24">
        <v>0.15831098977965799</v>
      </c>
      <c r="V24">
        <v>-0.27823738672425002</v>
      </c>
      <c r="W24">
        <v>0</v>
      </c>
      <c r="X24">
        <v>0</v>
      </c>
      <c r="Y24">
        <v>0</v>
      </c>
      <c r="Z24">
        <v>0</v>
      </c>
      <c r="AC24">
        <v>423273600</v>
      </c>
      <c r="AD24">
        <v>-0.17665852868479001</v>
      </c>
      <c r="AE24">
        <v>7.4092119583578198E-2</v>
      </c>
      <c r="AF24">
        <v>4.7965665206308097E-3</v>
      </c>
      <c r="AG24">
        <v>6.1195967061681601E-2</v>
      </c>
      <c r="AH24">
        <v>0.20194767753680701</v>
      </c>
      <c r="AI24">
        <v>-0.19715111101616001</v>
      </c>
      <c r="AJ24">
        <v>0</v>
      </c>
      <c r="AK24">
        <v>0</v>
      </c>
      <c r="AL24">
        <v>0</v>
      </c>
      <c r="AM24">
        <v>0</v>
      </c>
    </row>
    <row r="25" spans="1:39" x14ac:dyDescent="0.35">
      <c r="A25" s="1">
        <v>30560</v>
      </c>
      <c r="B25">
        <f t="shared" si="0"/>
        <v>-1.2361388388174599</v>
      </c>
      <c r="C25">
        <f t="shared" si="5"/>
        <v>-0.31813694223647099</v>
      </c>
      <c r="D25">
        <f t="shared" si="6"/>
        <v>-0.60695524234960896</v>
      </c>
      <c r="E25">
        <f t="shared" si="7"/>
        <v>-0.400039348316032</v>
      </c>
      <c r="F25">
        <f t="shared" si="8"/>
        <v>0.152650793748562</v>
      </c>
      <c r="G25">
        <f t="shared" si="9"/>
        <v>-0.75960603609814203</v>
      </c>
      <c r="H25">
        <f t="shared" si="10"/>
        <v>2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4"/>
        <v>0</v>
      </c>
      <c r="M25" s="3">
        <f t="shared" si="11"/>
        <v>0</v>
      </c>
      <c r="P25">
        <v>431222400</v>
      </c>
      <c r="Q25">
        <v>-1.2361388388174599</v>
      </c>
      <c r="R25">
        <v>-0.31813694223647099</v>
      </c>
      <c r="S25">
        <v>-0.60695524234960896</v>
      </c>
      <c r="T25">
        <v>-0.400039348316032</v>
      </c>
      <c r="U25">
        <v>0.152650793748562</v>
      </c>
      <c r="V25">
        <v>-0.75960603609814203</v>
      </c>
      <c r="W25">
        <v>0</v>
      </c>
      <c r="X25">
        <v>0</v>
      </c>
      <c r="Y25">
        <v>0</v>
      </c>
      <c r="Z25">
        <v>0</v>
      </c>
      <c r="AC25">
        <v>431222400</v>
      </c>
      <c r="AD25">
        <v>-1.0675364818481199</v>
      </c>
      <c r="AE25">
        <v>-0.22933388281427899</v>
      </c>
      <c r="AF25">
        <v>-0.46097321487575599</v>
      </c>
      <c r="AG25">
        <v>-0.27244279852814202</v>
      </c>
      <c r="AH25">
        <v>0.19805827635821099</v>
      </c>
      <c r="AI25">
        <v>-0.65903149123395899</v>
      </c>
      <c r="AJ25">
        <v>0</v>
      </c>
      <c r="AK25">
        <v>0</v>
      </c>
      <c r="AL25">
        <v>0</v>
      </c>
      <c r="AM25">
        <v>0</v>
      </c>
    </row>
    <row r="26" spans="1:39" x14ac:dyDescent="0.35">
      <c r="A26" s="1">
        <v>30651</v>
      </c>
      <c r="B26">
        <f t="shared" si="0"/>
        <v>1.545191257858</v>
      </c>
      <c r="C26">
        <f t="shared" si="5"/>
        <v>0.29733710804622798</v>
      </c>
      <c r="D26">
        <f t="shared" si="6"/>
        <v>0.68993228206490498</v>
      </c>
      <c r="E26">
        <f t="shared" si="7"/>
        <v>0.40866831301060702</v>
      </c>
      <c r="F26">
        <f t="shared" si="8"/>
        <v>-0.34261192933294499</v>
      </c>
      <c r="G26">
        <f t="shared" si="9"/>
        <v>1.03254421139786</v>
      </c>
      <c r="H26">
        <f t="shared" si="10"/>
        <v>2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4"/>
        <v>0</v>
      </c>
      <c r="M26" s="3">
        <f t="shared" si="11"/>
        <v>0</v>
      </c>
      <c r="P26">
        <v>439084800</v>
      </c>
      <c r="Q26">
        <v>1.545191257858</v>
      </c>
      <c r="R26">
        <v>0.29733710804622798</v>
      </c>
      <c r="S26">
        <v>0.68993228206490498</v>
      </c>
      <c r="T26">
        <v>0.40866831301060702</v>
      </c>
      <c r="U26">
        <v>-0.34261192933294499</v>
      </c>
      <c r="V26">
        <v>1.03254421139786</v>
      </c>
      <c r="W26">
        <v>0</v>
      </c>
      <c r="X26">
        <v>0</v>
      </c>
      <c r="Y26">
        <v>0</v>
      </c>
      <c r="Z26">
        <v>0</v>
      </c>
      <c r="AC26">
        <v>439084800</v>
      </c>
      <c r="AD26">
        <v>1.7179425800443899</v>
      </c>
      <c r="AE26">
        <v>0.37525334265829802</v>
      </c>
      <c r="AF26">
        <v>0.74630878733569495</v>
      </c>
      <c r="AG26">
        <v>0.44430810010133498</v>
      </c>
      <c r="AH26">
        <v>-0.30937213204858899</v>
      </c>
      <c r="AI26">
        <v>1.05568091938431</v>
      </c>
      <c r="AJ26">
        <v>0</v>
      </c>
      <c r="AK26">
        <v>0</v>
      </c>
      <c r="AL26">
        <v>0</v>
      </c>
      <c r="AM26">
        <v>0</v>
      </c>
    </row>
    <row r="27" spans="1:39" x14ac:dyDescent="0.35">
      <c r="A27" s="1">
        <v>30742</v>
      </c>
      <c r="B27">
        <f t="shared" si="0"/>
        <v>0.185743266923699</v>
      </c>
      <c r="C27">
        <f t="shared" si="5"/>
        <v>-0.19719475617122001</v>
      </c>
      <c r="D27">
        <f t="shared" si="6"/>
        <v>-7.6716237236922696E-2</v>
      </c>
      <c r="E27">
        <f t="shared" si="7"/>
        <v>-0.163029744543639</v>
      </c>
      <c r="F27">
        <f t="shared" si="8"/>
        <v>-0.39358054315797297</v>
      </c>
      <c r="G27">
        <f t="shared" si="9"/>
        <v>0.31686430592104903</v>
      </c>
      <c r="H27">
        <f t="shared" si="10"/>
        <v>2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4"/>
        <v>0</v>
      </c>
      <c r="M27" s="3">
        <f t="shared" si="11"/>
        <v>0</v>
      </c>
      <c r="P27">
        <v>446947200</v>
      </c>
      <c r="Q27">
        <v>0.185743266923699</v>
      </c>
      <c r="R27">
        <v>-0.19719475617122001</v>
      </c>
      <c r="S27">
        <v>-7.6716237236922696E-2</v>
      </c>
      <c r="T27">
        <v>-0.163029744543639</v>
      </c>
      <c r="U27">
        <v>-0.39358054315797297</v>
      </c>
      <c r="V27">
        <v>0.31686430592104903</v>
      </c>
      <c r="W27">
        <v>0</v>
      </c>
      <c r="X27">
        <v>0</v>
      </c>
      <c r="Y27">
        <v>0</v>
      </c>
      <c r="Z27">
        <v>0</v>
      </c>
      <c r="AC27">
        <v>446947200</v>
      </c>
      <c r="AD27">
        <v>0.31296038688699901</v>
      </c>
      <c r="AE27">
        <v>-0.137659311451483</v>
      </c>
      <c r="AF27">
        <v>-1.31294590540116E-2</v>
      </c>
      <c r="AG27">
        <v>-0.114483856475462</v>
      </c>
      <c r="AH27">
        <v>-0.36742634636704802</v>
      </c>
      <c r="AI27">
        <v>0.35429688731305797</v>
      </c>
      <c r="AJ27">
        <v>0</v>
      </c>
      <c r="AK27">
        <v>0</v>
      </c>
      <c r="AL27">
        <v>0</v>
      </c>
      <c r="AM27">
        <v>0</v>
      </c>
    </row>
    <row r="28" spans="1:39" x14ac:dyDescent="0.35">
      <c r="A28" s="1">
        <v>30834</v>
      </c>
      <c r="B28">
        <f t="shared" si="0"/>
        <v>1.1980367882493601</v>
      </c>
      <c r="C28">
        <f t="shared" si="5"/>
        <v>0.269443021119051</v>
      </c>
      <c r="D28">
        <f t="shared" si="6"/>
        <v>0.56159369566236605</v>
      </c>
      <c r="E28">
        <f t="shared" si="7"/>
        <v>0.35229041400756</v>
      </c>
      <c r="F28">
        <f t="shared" si="8"/>
        <v>-0.20677664564330001</v>
      </c>
      <c r="G28">
        <f t="shared" si="9"/>
        <v>0.76837034130567206</v>
      </c>
      <c r="H28">
        <f t="shared" si="10"/>
        <v>2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4"/>
        <v>0</v>
      </c>
      <c r="M28" s="3">
        <f t="shared" si="11"/>
        <v>0</v>
      </c>
      <c r="P28">
        <v>454896000</v>
      </c>
      <c r="Q28">
        <v>1.1980367882493601</v>
      </c>
      <c r="R28">
        <v>0.269443021119051</v>
      </c>
      <c r="S28">
        <v>0.56159369566236605</v>
      </c>
      <c r="T28">
        <v>0.35229041400756</v>
      </c>
      <c r="U28">
        <v>-0.20677664564330001</v>
      </c>
      <c r="V28">
        <v>0.76837034130567206</v>
      </c>
      <c r="W28">
        <v>0</v>
      </c>
      <c r="X28">
        <v>0</v>
      </c>
      <c r="Y28">
        <v>0</v>
      </c>
      <c r="Z28">
        <v>0</v>
      </c>
      <c r="AC28">
        <v>454896000</v>
      </c>
      <c r="AD28">
        <v>1.3096726342235401</v>
      </c>
      <c r="AE28">
        <v>0.32007648166020303</v>
      </c>
      <c r="AF28">
        <v>0.59355379138771702</v>
      </c>
      <c r="AG28">
        <v>0.37097159601656798</v>
      </c>
      <c r="AH28">
        <v>-0.18450992363171101</v>
      </c>
      <c r="AI28">
        <v>0.77806371501944005</v>
      </c>
      <c r="AJ28">
        <v>0</v>
      </c>
      <c r="AK28">
        <v>0</v>
      </c>
      <c r="AL28">
        <v>0</v>
      </c>
      <c r="AM28">
        <v>0</v>
      </c>
    </row>
    <row r="29" spans="1:39" x14ac:dyDescent="0.35">
      <c r="A29" s="1">
        <v>30926</v>
      </c>
      <c r="B29">
        <f t="shared" si="0"/>
        <v>1.33568889755317</v>
      </c>
      <c r="C29">
        <f t="shared" si="5"/>
        <v>0.30173980044417598</v>
      </c>
      <c r="D29">
        <f t="shared" si="6"/>
        <v>0.62703697220676902</v>
      </c>
      <c r="E29">
        <f t="shared" si="7"/>
        <v>0.39398679811641102</v>
      </c>
      <c r="F29">
        <f t="shared" si="8"/>
        <v>-0.228510252812303</v>
      </c>
      <c r="G29">
        <f t="shared" si="9"/>
        <v>0.85554722501906</v>
      </c>
      <c r="H29">
        <f t="shared" si="10"/>
        <v>2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4"/>
        <v>0</v>
      </c>
      <c r="M29" s="3">
        <f t="shared" si="11"/>
        <v>0</v>
      </c>
      <c r="P29">
        <v>462844800</v>
      </c>
      <c r="Q29">
        <v>1.33568889755317</v>
      </c>
      <c r="R29">
        <v>0.30173980044417598</v>
      </c>
      <c r="S29">
        <v>0.62703697220676902</v>
      </c>
      <c r="T29">
        <v>0.39398679811641102</v>
      </c>
      <c r="U29">
        <v>-0.228510252812303</v>
      </c>
      <c r="V29">
        <v>0.85554722501906</v>
      </c>
      <c r="W29">
        <v>0</v>
      </c>
      <c r="X29">
        <v>0</v>
      </c>
      <c r="Y29">
        <v>0</v>
      </c>
      <c r="Z29">
        <v>0</v>
      </c>
      <c r="AC29">
        <v>462844800</v>
      </c>
      <c r="AD29">
        <v>1.4227512776064</v>
      </c>
      <c r="AE29">
        <v>0.339818012828914</v>
      </c>
      <c r="AF29">
        <v>0.63908926110393105</v>
      </c>
      <c r="AG29">
        <v>0.39551347224272798</v>
      </c>
      <c r="AH29">
        <v>-0.21236016796704599</v>
      </c>
      <c r="AI29">
        <v>0.85144942907098597</v>
      </c>
      <c r="AJ29">
        <v>0</v>
      </c>
      <c r="AK29">
        <v>0</v>
      </c>
      <c r="AL29">
        <v>0</v>
      </c>
      <c r="AM29">
        <v>0</v>
      </c>
    </row>
    <row r="30" spans="1:39" x14ac:dyDescent="0.35">
      <c r="A30" s="1">
        <v>31017</v>
      </c>
      <c r="B30">
        <f t="shared" si="0"/>
        <v>2.7570455989907399</v>
      </c>
      <c r="C30">
        <f t="shared" si="5"/>
        <v>0.93848308764042399</v>
      </c>
      <c r="D30">
        <f t="shared" si="6"/>
        <v>1.51063237745538</v>
      </c>
      <c r="E30">
        <f t="shared" si="7"/>
        <v>1.1007318213744299</v>
      </c>
      <c r="F30">
        <f t="shared" si="8"/>
        <v>5.8521958586370201E-3</v>
      </c>
      <c r="G30">
        <f t="shared" si="9"/>
        <v>1.5047801815967501</v>
      </c>
      <c r="H30">
        <f t="shared" si="10"/>
        <v>2</v>
      </c>
      <c r="I30">
        <f t="shared" si="1"/>
        <v>0.23657674968460701</v>
      </c>
      <c r="J30">
        <f t="shared" si="2"/>
        <v>0</v>
      </c>
      <c r="K30">
        <f t="shared" si="3"/>
        <v>0</v>
      </c>
      <c r="L30">
        <f t="shared" si="4"/>
        <v>0</v>
      </c>
      <c r="M30" s="3">
        <f t="shared" si="11"/>
        <v>0</v>
      </c>
      <c r="P30">
        <v>470707200</v>
      </c>
      <c r="Q30">
        <v>2.7570455989907399</v>
      </c>
      <c r="R30">
        <v>0.93848308764042399</v>
      </c>
      <c r="S30">
        <v>1.51063237745538</v>
      </c>
      <c r="T30">
        <v>1.1007318213744299</v>
      </c>
      <c r="U30">
        <v>5.8521958586370201E-3</v>
      </c>
      <c r="V30">
        <v>1.5047801815967501</v>
      </c>
      <c r="W30">
        <v>0.23657674968460701</v>
      </c>
      <c r="X30">
        <v>0</v>
      </c>
      <c r="Y30">
        <v>0</v>
      </c>
      <c r="Z30">
        <v>0</v>
      </c>
      <c r="AC30">
        <v>470707200</v>
      </c>
      <c r="AD30">
        <v>2.8486748503447501</v>
      </c>
      <c r="AE30">
        <v>0.97672721888591796</v>
      </c>
      <c r="AF30">
        <v>1.4940445112744201</v>
      </c>
      <c r="AG30">
        <v>1.0730018340665</v>
      </c>
      <c r="AH30">
        <v>2.2237527504412501E-2</v>
      </c>
      <c r="AI30">
        <v>1.4718069837700301</v>
      </c>
      <c r="AJ30">
        <v>0.26521089073273302</v>
      </c>
      <c r="AK30">
        <v>0</v>
      </c>
      <c r="AL30">
        <v>0</v>
      </c>
      <c r="AM30">
        <v>0</v>
      </c>
    </row>
    <row r="31" spans="1:39" x14ac:dyDescent="0.35">
      <c r="A31" s="1">
        <v>31107</v>
      </c>
      <c r="B31">
        <f t="shared" si="0"/>
        <v>0.49579736441991601</v>
      </c>
      <c r="C31">
        <f t="shared" si="5"/>
        <v>0.42286242587281397</v>
      </c>
      <c r="D31">
        <f t="shared" si="6"/>
        <v>0.44580894161366202</v>
      </c>
      <c r="E31">
        <f t="shared" si="7"/>
        <v>0.42936954418762002</v>
      </c>
      <c r="F31">
        <f t="shared" si="8"/>
        <v>0.38545850032465101</v>
      </c>
      <c r="G31">
        <f t="shared" si="9"/>
        <v>6.0350441289009897E-2</v>
      </c>
      <c r="H31">
        <f t="shared" si="10"/>
        <v>2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4"/>
        <v>0</v>
      </c>
      <c r="M31" s="3">
        <f t="shared" si="11"/>
        <v>0</v>
      </c>
      <c r="P31">
        <v>478483200</v>
      </c>
      <c r="Q31">
        <v>0.49579736441991601</v>
      </c>
      <c r="R31">
        <v>0.42286242587281397</v>
      </c>
      <c r="S31">
        <v>0.44580894161366202</v>
      </c>
      <c r="T31">
        <v>0.42936954418762002</v>
      </c>
      <c r="U31">
        <v>0.38545850032465101</v>
      </c>
      <c r="V31">
        <v>6.0350441289009897E-2</v>
      </c>
      <c r="W31">
        <v>0</v>
      </c>
      <c r="X31">
        <v>0</v>
      </c>
      <c r="Y31">
        <v>0</v>
      </c>
      <c r="Z31">
        <v>0</v>
      </c>
      <c r="AC31">
        <v>478483200</v>
      </c>
      <c r="AD31">
        <v>0.57841266541923397</v>
      </c>
      <c r="AE31">
        <v>0.46694731142080498</v>
      </c>
      <c r="AF31">
        <v>0.49775103378811802</v>
      </c>
      <c r="AG31">
        <v>0.47267999532810701</v>
      </c>
      <c r="AH31">
        <v>0.41011210430832201</v>
      </c>
      <c r="AI31">
        <v>8.7638929479813596E-2</v>
      </c>
      <c r="AJ31">
        <v>0</v>
      </c>
      <c r="AK31">
        <v>0</v>
      </c>
      <c r="AL31">
        <v>0</v>
      </c>
      <c r="AM31">
        <v>0</v>
      </c>
    </row>
    <row r="32" spans="1:39" x14ac:dyDescent="0.35">
      <c r="A32" s="1">
        <v>31199</v>
      </c>
      <c r="B32">
        <f t="shared" si="0"/>
        <v>0.60783880794746603</v>
      </c>
      <c r="C32">
        <f t="shared" si="5"/>
        <v>0.37894450074785502</v>
      </c>
      <c r="D32">
        <f t="shared" si="6"/>
        <v>0.45095836581411097</v>
      </c>
      <c r="E32">
        <f t="shared" si="7"/>
        <v>0.39936602119065101</v>
      </c>
      <c r="F32">
        <f t="shared" si="8"/>
        <v>0.26155843317251298</v>
      </c>
      <c r="G32">
        <f t="shared" si="9"/>
        <v>0.18939993264160701</v>
      </c>
      <c r="H32">
        <f t="shared" si="10"/>
        <v>2</v>
      </c>
      <c r="I32">
        <f t="shared" si="1"/>
        <v>0</v>
      </c>
      <c r="J32">
        <f t="shared" si="2"/>
        <v>0</v>
      </c>
      <c r="K32">
        <f t="shared" si="3"/>
        <v>0</v>
      </c>
      <c r="L32">
        <f t="shared" si="4"/>
        <v>0</v>
      </c>
      <c r="M32" s="3">
        <f t="shared" si="11"/>
        <v>0</v>
      </c>
      <c r="P32">
        <v>486432000</v>
      </c>
      <c r="Q32">
        <v>0.60783880794746603</v>
      </c>
      <c r="R32">
        <v>0.37894450074785502</v>
      </c>
      <c r="S32">
        <v>0.45095836581411097</v>
      </c>
      <c r="T32">
        <v>0.39936602119065101</v>
      </c>
      <c r="U32">
        <v>0.26155843317251298</v>
      </c>
      <c r="V32">
        <v>0.18939993264160701</v>
      </c>
      <c r="W32">
        <v>0</v>
      </c>
      <c r="X32">
        <v>0</v>
      </c>
      <c r="Y32">
        <v>0</v>
      </c>
      <c r="Z32">
        <v>0</v>
      </c>
      <c r="AC32">
        <v>486432000</v>
      </c>
      <c r="AD32">
        <v>0.70679154858628801</v>
      </c>
      <c r="AE32">
        <v>0.430062261733752</v>
      </c>
      <c r="AF32">
        <v>0.50653707491408395</v>
      </c>
      <c r="AG32">
        <v>0.44429450047440999</v>
      </c>
      <c r="AH32">
        <v>0.28896042364533298</v>
      </c>
      <c r="AI32">
        <v>0.217576651268754</v>
      </c>
      <c r="AJ32">
        <v>0</v>
      </c>
      <c r="AK32">
        <v>0</v>
      </c>
      <c r="AL32">
        <v>0</v>
      </c>
      <c r="AM32">
        <v>0</v>
      </c>
    </row>
    <row r="33" spans="1:39" x14ac:dyDescent="0.35">
      <c r="A33" s="1">
        <v>31291</v>
      </c>
      <c r="B33">
        <f t="shared" si="0"/>
        <v>0.138914408618111</v>
      </c>
      <c r="C33">
        <f t="shared" si="5"/>
        <v>0.15311920225034301</v>
      </c>
      <c r="D33">
        <f t="shared" si="6"/>
        <v>0.14865014356363301</v>
      </c>
      <c r="E33">
        <f t="shared" si="7"/>
        <v>0.15185187722554599</v>
      </c>
      <c r="F33">
        <f t="shared" si="8"/>
        <v>0.160403983097921</v>
      </c>
      <c r="G33">
        <f t="shared" si="9"/>
        <v>-1.17538395342712E-2</v>
      </c>
      <c r="H33">
        <f t="shared" si="10"/>
        <v>2</v>
      </c>
      <c r="I33">
        <f t="shared" si="1"/>
        <v>0</v>
      </c>
      <c r="J33">
        <f t="shared" si="2"/>
        <v>0</v>
      </c>
      <c r="K33">
        <f t="shared" si="3"/>
        <v>0</v>
      </c>
      <c r="L33">
        <f t="shared" si="4"/>
        <v>0</v>
      </c>
      <c r="M33" s="3">
        <f t="shared" si="11"/>
        <v>0</v>
      </c>
      <c r="P33">
        <v>494380800</v>
      </c>
      <c r="Q33">
        <v>0.138914408618111</v>
      </c>
      <c r="R33">
        <v>0.15311920225034301</v>
      </c>
      <c r="S33">
        <v>0.14865014356363301</v>
      </c>
      <c r="T33">
        <v>0.15185187722554599</v>
      </c>
      <c r="U33">
        <v>0.160403983097921</v>
      </c>
      <c r="V33">
        <v>-1.17538395342712E-2</v>
      </c>
      <c r="W33">
        <v>0</v>
      </c>
      <c r="X33">
        <v>0</v>
      </c>
      <c r="Y33">
        <v>0</v>
      </c>
      <c r="Z33">
        <v>0</v>
      </c>
      <c r="AC33">
        <v>494380800</v>
      </c>
      <c r="AD33">
        <v>0.24088702265946901</v>
      </c>
      <c r="AE33">
        <v>0.20659616549234799</v>
      </c>
      <c r="AF33">
        <v>0.21607252748306799</v>
      </c>
      <c r="AG33">
        <v>0.20835975066027501</v>
      </c>
      <c r="AH33">
        <v>0.18911155795065299</v>
      </c>
      <c r="AI33">
        <v>2.6960969532421001E-2</v>
      </c>
      <c r="AJ33">
        <v>0</v>
      </c>
      <c r="AK33">
        <v>0</v>
      </c>
      <c r="AL33">
        <v>0</v>
      </c>
      <c r="AM33">
        <v>0</v>
      </c>
    </row>
    <row r="34" spans="1:39" x14ac:dyDescent="0.35">
      <c r="A34" s="1">
        <v>31382</v>
      </c>
      <c r="B34">
        <f t="shared" ref="B34:B65" si="12">IF(Q34="","",Q34)</f>
        <v>2.1619928158064901</v>
      </c>
      <c r="C34">
        <f t="shared" si="5"/>
        <v>0.87738073447362497</v>
      </c>
      <c r="D34">
        <f t="shared" si="6"/>
        <v>1.2815405505013799</v>
      </c>
      <c r="E34">
        <f t="shared" si="7"/>
        <v>0.99199141309193095</v>
      </c>
      <c r="F34">
        <f t="shared" si="8"/>
        <v>0.21858077377413901</v>
      </c>
      <c r="G34">
        <f t="shared" si="9"/>
        <v>1.0629597767272501</v>
      </c>
      <c r="H34">
        <f t="shared" si="10"/>
        <v>2</v>
      </c>
      <c r="I34">
        <f t="shared" ref="I34:I65" si="13">IF(W34="","",W34)</f>
        <v>5.0622754939529099E-2</v>
      </c>
      <c r="J34">
        <f t="shared" ref="J34:J65" si="14">IF(X34="","",X34)</f>
        <v>0</v>
      </c>
      <c r="K34">
        <f t="shared" ref="K34:K65" si="15">IF(Y34="","",Y34)</f>
        <v>0</v>
      </c>
      <c r="L34">
        <f t="shared" ref="L34:L65" si="16">IF(Z34="","",Z34)</f>
        <v>0</v>
      </c>
      <c r="M34" s="3">
        <f t="shared" si="11"/>
        <v>0</v>
      </c>
      <c r="P34">
        <v>502243200</v>
      </c>
      <c r="Q34">
        <v>2.1619928158064901</v>
      </c>
      <c r="R34">
        <v>0.87738073447362497</v>
      </c>
      <c r="S34">
        <v>1.2815405505013799</v>
      </c>
      <c r="T34">
        <v>0.99199141309193095</v>
      </c>
      <c r="U34">
        <v>0.21858077377413901</v>
      </c>
      <c r="V34">
        <v>1.0629597767272501</v>
      </c>
      <c r="W34">
        <v>5.0622754939529099E-2</v>
      </c>
      <c r="X34">
        <v>0</v>
      </c>
      <c r="Y34">
        <v>0</v>
      </c>
      <c r="Z34">
        <v>0</v>
      </c>
      <c r="AC34">
        <v>502243200</v>
      </c>
      <c r="AD34">
        <v>2.2407717233506999</v>
      </c>
      <c r="AE34">
        <v>0.91352710279024196</v>
      </c>
      <c r="AF34">
        <v>1.2803143899487499</v>
      </c>
      <c r="AG34">
        <v>0.98178754071465302</v>
      </c>
      <c r="AH34">
        <v>0.23677670284487901</v>
      </c>
      <c r="AI34">
        <v>1.04353768710387</v>
      </c>
      <c r="AJ34">
        <v>7.5241163547095202E-2</v>
      </c>
      <c r="AK34">
        <v>0</v>
      </c>
      <c r="AL34">
        <v>0</v>
      </c>
      <c r="AM34">
        <v>0</v>
      </c>
    </row>
    <row r="35" spans="1:39" x14ac:dyDescent="0.35">
      <c r="A35" s="1">
        <v>31472</v>
      </c>
      <c r="B35">
        <f t="shared" si="12"/>
        <v>0.755748866746762</v>
      </c>
      <c r="C35">
        <f t="shared" ref="C35:C66" si="17">IF(R35="","",R35)</f>
        <v>2.3856161604618301E-2</v>
      </c>
      <c r="D35">
        <f t="shared" ref="D35:D66" si="18">IF(S35="","",S35)</f>
        <v>0.25412148867159301</v>
      </c>
      <c r="E35">
        <f t="shared" ref="E35:E66" si="19">IF(T35="","",T35)</f>
        <v>8.9154254959842999E-2</v>
      </c>
      <c r="F35">
        <f t="shared" ref="F35:F66" si="20">IF(U35="","",U35)</f>
        <v>-0.35148740894907798</v>
      </c>
      <c r="G35">
        <f t="shared" ref="G35:G66" si="21">IF(V35="","",V35)</f>
        <v>0.60560889762068504</v>
      </c>
      <c r="H35">
        <f t="shared" si="10"/>
        <v>2</v>
      </c>
      <c r="I35">
        <f t="shared" si="13"/>
        <v>0</v>
      </c>
      <c r="J35">
        <f t="shared" si="14"/>
        <v>0</v>
      </c>
      <c r="K35">
        <f t="shared" si="15"/>
        <v>0</v>
      </c>
      <c r="L35">
        <f t="shared" si="16"/>
        <v>0</v>
      </c>
      <c r="M35" s="3">
        <f t="shared" si="11"/>
        <v>0</v>
      </c>
      <c r="P35">
        <v>510019200</v>
      </c>
      <c r="Q35">
        <v>0.755748866746762</v>
      </c>
      <c r="R35">
        <v>2.3856161604618301E-2</v>
      </c>
      <c r="S35">
        <v>0.25412148867159301</v>
      </c>
      <c r="T35">
        <v>8.9154254959842999E-2</v>
      </c>
      <c r="U35">
        <v>-0.35148740894907798</v>
      </c>
      <c r="V35">
        <v>0.60560889762068504</v>
      </c>
      <c r="W35">
        <v>0</v>
      </c>
      <c r="X35">
        <v>0</v>
      </c>
      <c r="Y35">
        <v>0</v>
      </c>
      <c r="Z35">
        <v>0</v>
      </c>
      <c r="AC35">
        <v>510019200</v>
      </c>
      <c r="AD35">
        <v>0.76371967564424703</v>
      </c>
      <c r="AE35">
        <v>2.4016093114453099E-2</v>
      </c>
      <c r="AF35">
        <v>0.22843498179148</v>
      </c>
      <c r="AG35">
        <v>6.2059186072261997E-2</v>
      </c>
      <c r="AH35">
        <v>-0.35315228079590499</v>
      </c>
      <c r="AI35">
        <v>0.58158726258737903</v>
      </c>
      <c r="AJ35">
        <v>0</v>
      </c>
      <c r="AK35">
        <v>0</v>
      </c>
      <c r="AL35">
        <v>0</v>
      </c>
      <c r="AM35">
        <v>0</v>
      </c>
    </row>
    <row r="36" spans="1:39" x14ac:dyDescent="0.35">
      <c r="A36" s="1">
        <v>31564</v>
      </c>
      <c r="B36">
        <f t="shared" si="12"/>
        <v>0.39254681305428502</v>
      </c>
      <c r="C36">
        <f t="shared" si="17"/>
        <v>-6.3089468867708002E-3</v>
      </c>
      <c r="D36">
        <f t="shared" si="18"/>
        <v>0.119177550478358</v>
      </c>
      <c r="E36">
        <f t="shared" si="19"/>
        <v>2.9276215343873899E-2</v>
      </c>
      <c r="F36">
        <f t="shared" si="20"/>
        <v>-0.210857979853422</v>
      </c>
      <c r="G36">
        <f t="shared" si="21"/>
        <v>0.330035530331791</v>
      </c>
      <c r="H36">
        <f t="shared" si="10"/>
        <v>2</v>
      </c>
      <c r="I36">
        <f t="shared" si="13"/>
        <v>0</v>
      </c>
      <c r="J36">
        <f t="shared" si="14"/>
        <v>0</v>
      </c>
      <c r="K36">
        <f t="shared" si="15"/>
        <v>0</v>
      </c>
      <c r="L36">
        <f t="shared" si="16"/>
        <v>0</v>
      </c>
      <c r="M36" s="3">
        <f t="shared" si="11"/>
        <v>0</v>
      </c>
      <c r="P36">
        <v>517968000</v>
      </c>
      <c r="Q36">
        <v>0.39254681305428502</v>
      </c>
      <c r="R36">
        <v>-6.3089468867708002E-3</v>
      </c>
      <c r="S36">
        <v>0.119177550478358</v>
      </c>
      <c r="T36">
        <v>2.9276215343873899E-2</v>
      </c>
      <c r="U36">
        <v>-0.210857979853422</v>
      </c>
      <c r="V36">
        <v>0.330035530331791</v>
      </c>
      <c r="W36">
        <v>0</v>
      </c>
      <c r="X36">
        <v>0</v>
      </c>
      <c r="Y36">
        <v>0</v>
      </c>
      <c r="Z36">
        <v>0</v>
      </c>
      <c r="AC36">
        <v>517968000</v>
      </c>
      <c r="AD36">
        <v>0.33785854495892698</v>
      </c>
      <c r="AE36">
        <v>-3.55861039259436E-2</v>
      </c>
      <c r="AF36">
        <v>6.7616235376442999E-2</v>
      </c>
      <c r="AG36">
        <v>-1.6379776110775499E-2</v>
      </c>
      <c r="AH36">
        <v>-0.22600225749345901</v>
      </c>
      <c r="AI36">
        <v>0.293618492869893</v>
      </c>
      <c r="AJ36">
        <v>0</v>
      </c>
      <c r="AK36">
        <v>0</v>
      </c>
      <c r="AL36">
        <v>0</v>
      </c>
      <c r="AM36">
        <v>0</v>
      </c>
    </row>
    <row r="37" spans="1:39" x14ac:dyDescent="0.35">
      <c r="A37" s="1">
        <v>31656</v>
      </c>
      <c r="B37">
        <f t="shared" si="12"/>
        <v>-1.0441816047218599</v>
      </c>
      <c r="C37">
        <f t="shared" si="17"/>
        <v>-0.54676748693733801</v>
      </c>
      <c r="D37">
        <f t="shared" si="18"/>
        <v>-0.70326204374147205</v>
      </c>
      <c r="E37">
        <f t="shared" si="19"/>
        <v>-0.59114584085602595</v>
      </c>
      <c r="F37">
        <f t="shared" si="20"/>
        <v>-0.29167382402564901</v>
      </c>
      <c r="G37">
        <f t="shared" si="21"/>
        <v>-0.411588219715808</v>
      </c>
      <c r="H37">
        <f t="shared" si="10"/>
        <v>2</v>
      </c>
      <c r="I37">
        <f t="shared" si="13"/>
        <v>0</v>
      </c>
      <c r="J37">
        <f t="shared" si="14"/>
        <v>0</v>
      </c>
      <c r="K37">
        <f t="shared" si="15"/>
        <v>0</v>
      </c>
      <c r="L37">
        <f t="shared" si="16"/>
        <v>0</v>
      </c>
      <c r="M37" s="3">
        <f t="shared" si="11"/>
        <v>0</v>
      </c>
      <c r="P37">
        <v>525916800</v>
      </c>
      <c r="Q37">
        <v>-1.0441816047218599</v>
      </c>
      <c r="R37">
        <v>-0.54676748693733801</v>
      </c>
      <c r="S37">
        <v>-0.70326204374147205</v>
      </c>
      <c r="T37">
        <v>-0.59114584085602595</v>
      </c>
      <c r="U37">
        <v>-0.29167382402564901</v>
      </c>
      <c r="V37">
        <v>-0.411588219715808</v>
      </c>
      <c r="W37">
        <v>0</v>
      </c>
      <c r="X37">
        <v>0</v>
      </c>
      <c r="Y37">
        <v>0</v>
      </c>
      <c r="Z37">
        <v>0</v>
      </c>
      <c r="AC37">
        <v>525916800</v>
      </c>
      <c r="AD37">
        <v>-1.1874267835654799</v>
      </c>
      <c r="AE37">
        <v>-0.61758450190981096</v>
      </c>
      <c r="AF37">
        <v>-0.77506180591157103</v>
      </c>
      <c r="AG37">
        <v>-0.64689159654111905</v>
      </c>
      <c r="AH37">
        <v>-0.32702691663709799</v>
      </c>
      <c r="AI37">
        <v>-0.44803488927447199</v>
      </c>
      <c r="AJ37">
        <v>0</v>
      </c>
      <c r="AK37">
        <v>0</v>
      </c>
      <c r="AL37">
        <v>0</v>
      </c>
      <c r="AM37">
        <v>0</v>
      </c>
    </row>
    <row r="38" spans="1:39" x14ac:dyDescent="0.35">
      <c r="A38" s="1">
        <v>31747</v>
      </c>
      <c r="B38">
        <f t="shared" si="12"/>
        <v>-1.06907024137359</v>
      </c>
      <c r="C38">
        <f t="shared" si="17"/>
        <v>-0.74160398595426702</v>
      </c>
      <c r="D38">
        <f t="shared" si="18"/>
        <v>-0.84463018621251895</v>
      </c>
      <c r="E38">
        <f t="shared" si="19"/>
        <v>-0.77081991059297605</v>
      </c>
      <c r="F38">
        <f t="shared" si="20"/>
        <v>-0.57366631875062601</v>
      </c>
      <c r="G38">
        <f t="shared" si="21"/>
        <v>-0.270963867461882</v>
      </c>
      <c r="H38">
        <f t="shared" si="10"/>
        <v>2</v>
      </c>
      <c r="I38">
        <f t="shared" si="13"/>
        <v>0</v>
      </c>
      <c r="J38">
        <f t="shared" si="14"/>
        <v>0</v>
      </c>
      <c r="K38">
        <f t="shared" si="15"/>
        <v>0</v>
      </c>
      <c r="L38">
        <f t="shared" si="16"/>
        <v>0</v>
      </c>
      <c r="M38" s="3">
        <f t="shared" si="11"/>
        <v>0</v>
      </c>
      <c r="P38">
        <v>533779200</v>
      </c>
      <c r="Q38">
        <v>-1.06907024137359</v>
      </c>
      <c r="R38">
        <v>-0.74160398595426702</v>
      </c>
      <c r="S38">
        <v>-0.84463018621251895</v>
      </c>
      <c r="T38">
        <v>-0.77081991059297605</v>
      </c>
      <c r="U38">
        <v>-0.57366631875062601</v>
      </c>
      <c r="V38">
        <v>-0.270963867461882</v>
      </c>
      <c r="W38">
        <v>0</v>
      </c>
      <c r="X38">
        <v>0</v>
      </c>
      <c r="Y38">
        <v>0</v>
      </c>
      <c r="Z38">
        <v>0</v>
      </c>
      <c r="AC38">
        <v>533779200</v>
      </c>
      <c r="AD38">
        <v>-1.25398639343045</v>
      </c>
      <c r="AE38">
        <v>-0.83571427123340003</v>
      </c>
      <c r="AF38">
        <v>-0.95130479208998897</v>
      </c>
      <c r="AG38">
        <v>-0.85722608434641401</v>
      </c>
      <c r="AH38">
        <v>-0.62244098189559605</v>
      </c>
      <c r="AI38">
        <v>-0.32886381019439298</v>
      </c>
      <c r="AJ38">
        <v>0</v>
      </c>
      <c r="AK38">
        <v>0</v>
      </c>
      <c r="AL38">
        <v>0</v>
      </c>
      <c r="AM38">
        <v>0</v>
      </c>
    </row>
    <row r="39" spans="1:39" x14ac:dyDescent="0.35">
      <c r="A39" s="1">
        <v>31837</v>
      </c>
      <c r="B39">
        <f t="shared" si="12"/>
        <v>1.1481494925034601</v>
      </c>
      <c r="C39">
        <f t="shared" si="17"/>
        <v>0.19108756483737399</v>
      </c>
      <c r="D39">
        <f t="shared" si="18"/>
        <v>0.49219478485616103</v>
      </c>
      <c r="E39">
        <f t="shared" si="19"/>
        <v>0.276474833572811</v>
      </c>
      <c r="F39">
        <f t="shared" si="20"/>
        <v>-0.299731702313842</v>
      </c>
      <c r="G39">
        <f t="shared" si="21"/>
        <v>0.79192648717001601</v>
      </c>
      <c r="H39">
        <f t="shared" si="10"/>
        <v>2</v>
      </c>
      <c r="I39">
        <f t="shared" si="13"/>
        <v>0</v>
      </c>
      <c r="J39">
        <f t="shared" si="14"/>
        <v>0</v>
      </c>
      <c r="K39">
        <f t="shared" si="15"/>
        <v>0</v>
      </c>
      <c r="L39">
        <f t="shared" si="16"/>
        <v>0</v>
      </c>
      <c r="M39" s="3">
        <f t="shared" si="11"/>
        <v>0</v>
      </c>
      <c r="P39">
        <v>541555200</v>
      </c>
      <c r="Q39">
        <v>1.1481494925034601</v>
      </c>
      <c r="R39">
        <v>0.19108756483737399</v>
      </c>
      <c r="S39">
        <v>0.49219478485616103</v>
      </c>
      <c r="T39">
        <v>0.276474833572811</v>
      </c>
      <c r="U39">
        <v>-0.299731702313842</v>
      </c>
      <c r="V39">
        <v>0.79192648717001601</v>
      </c>
      <c r="W39">
        <v>0</v>
      </c>
      <c r="X39">
        <v>0</v>
      </c>
      <c r="Y39">
        <v>0</v>
      </c>
      <c r="Z39">
        <v>0</v>
      </c>
      <c r="AC39">
        <v>541555200</v>
      </c>
      <c r="AD39">
        <v>0.96073683728002401</v>
      </c>
      <c r="AE39">
        <v>9.1356823103072193E-2</v>
      </c>
      <c r="AF39">
        <v>0.33161210986034301</v>
      </c>
      <c r="AG39">
        <v>0.136069199081953</v>
      </c>
      <c r="AH39">
        <v>-0.35193242680951797</v>
      </c>
      <c r="AI39">
        <v>0.68354453666985804</v>
      </c>
      <c r="AJ39">
        <v>0</v>
      </c>
      <c r="AK39">
        <v>0</v>
      </c>
      <c r="AL39">
        <v>0</v>
      </c>
      <c r="AM39">
        <v>0</v>
      </c>
    </row>
    <row r="40" spans="1:39" x14ac:dyDescent="0.35">
      <c r="A40" s="1">
        <v>31929</v>
      </c>
      <c r="B40">
        <f t="shared" si="12"/>
        <v>1.82900824334208</v>
      </c>
      <c r="C40">
        <f t="shared" si="17"/>
        <v>0.55684105431284503</v>
      </c>
      <c r="D40">
        <f t="shared" si="18"/>
        <v>0.95708550518327795</v>
      </c>
      <c r="E40">
        <f t="shared" si="19"/>
        <v>0.67034142299947097</v>
      </c>
      <c r="F40">
        <f t="shared" si="20"/>
        <v>-9.5576672652690806E-2</v>
      </c>
      <c r="G40">
        <f t="shared" si="21"/>
        <v>1.0526621778359699</v>
      </c>
      <c r="H40">
        <f t="shared" si="10"/>
        <v>2</v>
      </c>
      <c r="I40">
        <f t="shared" si="13"/>
        <v>0</v>
      </c>
      <c r="J40">
        <f t="shared" si="14"/>
        <v>0</v>
      </c>
      <c r="K40">
        <f t="shared" si="15"/>
        <v>0</v>
      </c>
      <c r="L40">
        <f t="shared" si="16"/>
        <v>0</v>
      </c>
      <c r="M40" s="3">
        <f t="shared" si="11"/>
        <v>0</v>
      </c>
      <c r="P40">
        <v>549504000</v>
      </c>
      <c r="Q40">
        <v>1.82900824334208</v>
      </c>
      <c r="R40">
        <v>0.55684105431284503</v>
      </c>
      <c r="S40">
        <v>0.95708550518327795</v>
      </c>
      <c r="T40">
        <v>0.67034142299947097</v>
      </c>
      <c r="U40">
        <v>-9.5576672652690806E-2</v>
      </c>
      <c r="V40">
        <v>1.0526621778359699</v>
      </c>
      <c r="W40">
        <v>0</v>
      </c>
      <c r="X40">
        <v>0</v>
      </c>
      <c r="Y40">
        <v>0</v>
      </c>
      <c r="Z40">
        <v>0</v>
      </c>
      <c r="AC40">
        <v>549504000</v>
      </c>
      <c r="AD40">
        <v>1.63262851131811</v>
      </c>
      <c r="AE40">
        <v>0.45188613968147401</v>
      </c>
      <c r="AF40">
        <v>0.77818717312834795</v>
      </c>
      <c r="AG40">
        <v>0.51261193966986496</v>
      </c>
      <c r="AH40">
        <v>-0.15016404749510501</v>
      </c>
      <c r="AI40">
        <v>0.92835122062345898</v>
      </c>
      <c r="AJ40">
        <v>0</v>
      </c>
      <c r="AK40">
        <v>0</v>
      </c>
      <c r="AL40">
        <v>0</v>
      </c>
      <c r="AM40">
        <v>0</v>
      </c>
    </row>
    <row r="41" spans="1:39" x14ac:dyDescent="0.35">
      <c r="A41" s="1">
        <v>32021</v>
      </c>
      <c r="B41">
        <f t="shared" si="12"/>
        <v>1.5785598121728199</v>
      </c>
      <c r="C41">
        <f t="shared" si="17"/>
        <v>0.67831035727212496</v>
      </c>
      <c r="D41">
        <f t="shared" si="18"/>
        <v>0.96154345102773997</v>
      </c>
      <c r="E41">
        <f t="shared" si="19"/>
        <v>0.75862892382715397</v>
      </c>
      <c r="F41">
        <f t="shared" si="20"/>
        <v>0.21662677658139801</v>
      </c>
      <c r="G41">
        <f t="shared" si="21"/>
        <v>0.74491667444635001</v>
      </c>
      <c r="H41">
        <f t="shared" si="10"/>
        <v>2</v>
      </c>
      <c r="I41">
        <f t="shared" si="13"/>
        <v>0</v>
      </c>
      <c r="J41">
        <f t="shared" si="14"/>
        <v>0</v>
      </c>
      <c r="K41">
        <f t="shared" si="15"/>
        <v>0</v>
      </c>
      <c r="L41">
        <f t="shared" si="16"/>
        <v>0</v>
      </c>
      <c r="M41" s="3">
        <f t="shared" si="11"/>
        <v>0</v>
      </c>
      <c r="P41">
        <v>557452800</v>
      </c>
      <c r="Q41">
        <v>1.5785598121728199</v>
      </c>
      <c r="R41">
        <v>0.67831035727212496</v>
      </c>
      <c r="S41">
        <v>0.96154345102773997</v>
      </c>
      <c r="T41">
        <v>0.75862892382715397</v>
      </c>
      <c r="U41">
        <v>0.21662677658139801</v>
      </c>
      <c r="V41">
        <v>0.74491667444635001</v>
      </c>
      <c r="W41">
        <v>0</v>
      </c>
      <c r="X41">
        <v>0</v>
      </c>
      <c r="Y41">
        <v>0</v>
      </c>
      <c r="Z41">
        <v>0</v>
      </c>
      <c r="AC41">
        <v>557452800</v>
      </c>
      <c r="AD41">
        <v>1.3932135096696601</v>
      </c>
      <c r="AE41">
        <v>0.58162161112176003</v>
      </c>
      <c r="AF41">
        <v>0.80590701121816399</v>
      </c>
      <c r="AG41">
        <v>0.62336193355561298</v>
      </c>
      <c r="AH41">
        <v>0.167798014908739</v>
      </c>
      <c r="AI41">
        <v>0.63810899630942697</v>
      </c>
      <c r="AJ41">
        <v>0</v>
      </c>
      <c r="AK41">
        <v>0</v>
      </c>
      <c r="AL41">
        <v>0</v>
      </c>
      <c r="AM41">
        <v>0</v>
      </c>
    </row>
    <row r="42" spans="1:39" x14ac:dyDescent="0.35">
      <c r="A42" s="1">
        <v>32112</v>
      </c>
      <c r="B42">
        <f t="shared" si="12"/>
        <v>2.2446444274908202</v>
      </c>
      <c r="C42">
        <f t="shared" si="17"/>
        <v>1.2297658744947999</v>
      </c>
      <c r="D42">
        <f t="shared" si="18"/>
        <v>1.5490631434756399</v>
      </c>
      <c r="E42">
        <f t="shared" si="19"/>
        <v>1.3203114340176101</v>
      </c>
      <c r="F42">
        <f t="shared" si="20"/>
        <v>0.70929595167201098</v>
      </c>
      <c r="G42">
        <f t="shared" si="21"/>
        <v>0.83976719180364501</v>
      </c>
      <c r="H42">
        <f t="shared" si="10"/>
        <v>2</v>
      </c>
      <c r="I42">
        <f t="shared" si="13"/>
        <v>7.6451383590882396E-2</v>
      </c>
      <c r="J42">
        <f t="shared" si="14"/>
        <v>0</v>
      </c>
      <c r="K42">
        <f t="shared" si="15"/>
        <v>0</v>
      </c>
      <c r="L42">
        <f t="shared" si="16"/>
        <v>0</v>
      </c>
      <c r="M42" s="3">
        <f t="shared" si="11"/>
        <v>0</v>
      </c>
      <c r="P42">
        <v>565315200</v>
      </c>
      <c r="Q42">
        <v>2.2446444274908202</v>
      </c>
      <c r="R42">
        <v>1.2297658744947999</v>
      </c>
      <c r="S42">
        <v>1.5490631434756399</v>
      </c>
      <c r="T42">
        <v>1.3203114340176101</v>
      </c>
      <c r="U42">
        <v>0.70929595167201098</v>
      </c>
      <c r="V42">
        <v>0.83976719180364501</v>
      </c>
      <c r="W42">
        <v>7.6451383590882396E-2</v>
      </c>
      <c r="X42">
        <v>0</v>
      </c>
      <c r="Y42">
        <v>0</v>
      </c>
      <c r="Z42">
        <v>0</v>
      </c>
      <c r="AC42">
        <v>565315200</v>
      </c>
      <c r="AD42">
        <v>2.0998413903843201</v>
      </c>
      <c r="AE42">
        <v>1.15519415966132</v>
      </c>
      <c r="AF42">
        <v>1.4162497252377499</v>
      </c>
      <c r="AG42">
        <v>1.2037775425994399</v>
      </c>
      <c r="AH42">
        <v>0.67352681567982398</v>
      </c>
      <c r="AI42">
        <v>0.74272290955792397</v>
      </c>
      <c r="AJ42">
        <v>3.1200434495100699E-2</v>
      </c>
      <c r="AK42">
        <v>0</v>
      </c>
      <c r="AL42">
        <v>0</v>
      </c>
      <c r="AM42">
        <v>0</v>
      </c>
    </row>
    <row r="43" spans="1:39" x14ac:dyDescent="0.35">
      <c r="A43" s="1">
        <v>32203</v>
      </c>
      <c r="B43">
        <f t="shared" si="12"/>
        <v>2.4601508398652299</v>
      </c>
      <c r="C43">
        <f t="shared" si="17"/>
        <v>1.2222146224847501</v>
      </c>
      <c r="D43">
        <f t="shared" si="18"/>
        <v>1.6116894539463</v>
      </c>
      <c r="E43">
        <f t="shared" si="19"/>
        <v>1.33266096813405</v>
      </c>
      <c r="F43">
        <f t="shared" si="20"/>
        <v>0.58735189372030305</v>
      </c>
      <c r="G43">
        <f t="shared" si="21"/>
        <v>1.0243375602260001</v>
      </c>
      <c r="H43">
        <f t="shared" si="10"/>
        <v>2</v>
      </c>
      <c r="I43">
        <f t="shared" si="13"/>
        <v>0.143797137457885</v>
      </c>
      <c r="J43">
        <f t="shared" si="14"/>
        <v>0</v>
      </c>
      <c r="K43">
        <f t="shared" si="15"/>
        <v>0</v>
      </c>
      <c r="L43">
        <f t="shared" si="16"/>
        <v>0</v>
      </c>
      <c r="M43" s="3">
        <f t="shared" si="11"/>
        <v>0</v>
      </c>
      <c r="P43">
        <v>573177600</v>
      </c>
      <c r="Q43">
        <v>2.4601508398652299</v>
      </c>
      <c r="R43">
        <v>1.2222146224847501</v>
      </c>
      <c r="S43">
        <v>1.6116894539463</v>
      </c>
      <c r="T43">
        <v>1.33266096813405</v>
      </c>
      <c r="U43">
        <v>0.58735189372030305</v>
      </c>
      <c r="V43">
        <v>1.0243375602260001</v>
      </c>
      <c r="W43">
        <v>0.143797137457885</v>
      </c>
      <c r="X43">
        <v>0</v>
      </c>
      <c r="Y43">
        <v>0</v>
      </c>
      <c r="Z43">
        <v>0</v>
      </c>
      <c r="AC43">
        <v>573177600</v>
      </c>
      <c r="AD43">
        <v>2.3183836466187802</v>
      </c>
      <c r="AE43">
        <v>1.1474476959073701</v>
      </c>
      <c r="AF43">
        <v>1.4710387010202299</v>
      </c>
      <c r="AG43">
        <v>1.2076691498419601</v>
      </c>
      <c r="AH43">
        <v>0.550397716816317</v>
      </c>
      <c r="AI43">
        <v>0.92064098420391605</v>
      </c>
      <c r="AJ43">
        <v>9.9494889568367398E-2</v>
      </c>
      <c r="AK43">
        <v>0</v>
      </c>
      <c r="AL43">
        <v>0</v>
      </c>
      <c r="AM43">
        <v>0</v>
      </c>
    </row>
    <row r="44" spans="1:39" x14ac:dyDescent="0.35">
      <c r="A44" s="1">
        <v>32295</v>
      </c>
      <c r="B44">
        <f t="shared" si="12"/>
        <v>2.93142080802208</v>
      </c>
      <c r="C44">
        <f t="shared" si="17"/>
        <v>1.4253303188975699</v>
      </c>
      <c r="D44">
        <f t="shared" si="18"/>
        <v>1.8991708376432099</v>
      </c>
      <c r="E44">
        <f t="shared" si="19"/>
        <v>1.5597008853334899</v>
      </c>
      <c r="F44">
        <f t="shared" si="20"/>
        <v>0.65294745759392403</v>
      </c>
      <c r="G44">
        <f t="shared" si="21"/>
        <v>1.2462233800492999</v>
      </c>
      <c r="H44">
        <f t="shared" si="10"/>
        <v>2</v>
      </c>
      <c r="I44">
        <f t="shared" si="13"/>
        <v>0.29106900250689999</v>
      </c>
      <c r="J44">
        <f t="shared" si="14"/>
        <v>0</v>
      </c>
      <c r="K44">
        <f t="shared" si="15"/>
        <v>0</v>
      </c>
      <c r="L44">
        <f t="shared" si="16"/>
        <v>0</v>
      </c>
      <c r="M44" s="3">
        <f t="shared" si="11"/>
        <v>0</v>
      </c>
      <c r="P44">
        <v>581126400</v>
      </c>
      <c r="Q44">
        <v>2.93142080802208</v>
      </c>
      <c r="R44">
        <v>1.4253303188975699</v>
      </c>
      <c r="S44">
        <v>1.8991708376432099</v>
      </c>
      <c r="T44">
        <v>1.5597008853334899</v>
      </c>
      <c r="U44">
        <v>0.65294745759392403</v>
      </c>
      <c r="V44">
        <v>1.2462233800492999</v>
      </c>
      <c r="W44">
        <v>0.29106900250689999</v>
      </c>
      <c r="X44">
        <v>0</v>
      </c>
      <c r="Y44">
        <v>0</v>
      </c>
      <c r="Z44">
        <v>0</v>
      </c>
      <c r="AC44">
        <v>581126400</v>
      </c>
      <c r="AD44">
        <v>2.79503958126601</v>
      </c>
      <c r="AE44">
        <v>1.3521619394609901</v>
      </c>
      <c r="AF44">
        <v>1.75090469399243</v>
      </c>
      <c r="AG44">
        <v>1.4263694051950599</v>
      </c>
      <c r="AH44">
        <v>0.61645127540011302</v>
      </c>
      <c r="AI44">
        <v>1.1344534185923201</v>
      </c>
      <c r="AJ44">
        <v>0.248449869145628</v>
      </c>
      <c r="AK44">
        <v>0</v>
      </c>
      <c r="AL44">
        <v>0</v>
      </c>
      <c r="AM44">
        <v>0</v>
      </c>
    </row>
    <row r="45" spans="1:39" x14ac:dyDescent="0.35">
      <c r="A45" s="1">
        <v>32387</v>
      </c>
      <c r="B45">
        <f t="shared" si="12"/>
        <v>3.30018191570398</v>
      </c>
      <c r="C45">
        <f t="shared" si="17"/>
        <v>1.37949391709338</v>
      </c>
      <c r="D45">
        <f t="shared" si="18"/>
        <v>1.9837735431729799</v>
      </c>
      <c r="E45">
        <f t="shared" si="19"/>
        <v>1.5508540951063201</v>
      </c>
      <c r="F45">
        <f t="shared" si="20"/>
        <v>0.39448903010229402</v>
      </c>
      <c r="G45">
        <f t="shared" si="21"/>
        <v>1.5892845130707001</v>
      </c>
      <c r="H45">
        <f t="shared" si="10"/>
        <v>2</v>
      </c>
      <c r="I45">
        <f t="shared" si="13"/>
        <v>0.406306848657494</v>
      </c>
      <c r="J45">
        <f t="shared" si="14"/>
        <v>0</v>
      </c>
      <c r="K45">
        <f t="shared" si="15"/>
        <v>0</v>
      </c>
      <c r="L45">
        <f t="shared" si="16"/>
        <v>0</v>
      </c>
      <c r="M45" s="3">
        <f t="shared" si="11"/>
        <v>0</v>
      </c>
      <c r="P45">
        <v>589075200</v>
      </c>
      <c r="Q45">
        <v>3.30018191570398</v>
      </c>
      <c r="R45">
        <v>1.37949391709338</v>
      </c>
      <c r="S45">
        <v>1.9837735431729799</v>
      </c>
      <c r="T45">
        <v>1.5508540951063201</v>
      </c>
      <c r="U45">
        <v>0.39448903010229402</v>
      </c>
      <c r="V45">
        <v>1.5892845130707001</v>
      </c>
      <c r="W45">
        <v>0.406306848657494</v>
      </c>
      <c r="X45">
        <v>0</v>
      </c>
      <c r="Y45">
        <v>0</v>
      </c>
      <c r="Z45">
        <v>0</v>
      </c>
      <c r="AC45">
        <v>589075200</v>
      </c>
      <c r="AD45">
        <v>3.1645898718466801</v>
      </c>
      <c r="AE45">
        <v>1.30368696918859</v>
      </c>
      <c r="AF45">
        <v>1.8179520238422699</v>
      </c>
      <c r="AG45">
        <v>1.3993935519107801</v>
      </c>
      <c r="AH45">
        <v>0.35482888822567099</v>
      </c>
      <c r="AI45">
        <v>1.4631231356165999</v>
      </c>
      <c r="AJ45">
        <v>0.36393433495208699</v>
      </c>
      <c r="AK45">
        <v>0</v>
      </c>
      <c r="AL45">
        <v>0</v>
      </c>
      <c r="AM45">
        <v>0</v>
      </c>
    </row>
    <row r="46" spans="1:39" x14ac:dyDescent="0.35">
      <c r="A46" s="1">
        <v>32478</v>
      </c>
      <c r="B46">
        <f t="shared" si="12"/>
        <v>5.9432393925225098</v>
      </c>
      <c r="C46">
        <f t="shared" si="17"/>
        <v>2.3552936916697602</v>
      </c>
      <c r="D46">
        <f t="shared" si="18"/>
        <v>3.4841196582367502</v>
      </c>
      <c r="E46">
        <f t="shared" si="19"/>
        <v>2.6754034723544402</v>
      </c>
      <c r="F46">
        <f t="shared" si="20"/>
        <v>0.51525301241570298</v>
      </c>
      <c r="G46">
        <f t="shared" si="21"/>
        <v>2.96886664582106</v>
      </c>
      <c r="H46">
        <f t="shared" si="10"/>
        <v>2</v>
      </c>
      <c r="I46">
        <f t="shared" si="13"/>
        <v>1.2322623101632899</v>
      </c>
      <c r="J46">
        <f t="shared" si="14"/>
        <v>0.111029278646799</v>
      </c>
      <c r="K46">
        <f t="shared" si="15"/>
        <v>0.46378739319898499</v>
      </c>
      <c r="L46">
        <f t="shared" si="16"/>
        <v>0.21106358511076301</v>
      </c>
      <c r="M46" s="3">
        <f t="shared" si="11"/>
        <v>0.33742548915487403</v>
      </c>
      <c r="P46">
        <v>596937600</v>
      </c>
      <c r="Q46">
        <v>5.9432393925225098</v>
      </c>
      <c r="R46">
        <v>2.3552936916697602</v>
      </c>
      <c r="S46">
        <v>3.4841196582367502</v>
      </c>
      <c r="T46">
        <v>2.6754034723544402</v>
      </c>
      <c r="U46">
        <v>0.51525301241570298</v>
      </c>
      <c r="V46">
        <v>2.96886664582106</v>
      </c>
      <c r="W46">
        <v>1.2322623101632899</v>
      </c>
      <c r="X46">
        <v>0.111029278646799</v>
      </c>
      <c r="Y46">
        <v>0.46378739319898499</v>
      </c>
      <c r="Z46">
        <v>0.21106358511076301</v>
      </c>
      <c r="AC46">
        <v>596937600</v>
      </c>
      <c r="AD46">
        <v>5.8351424145245501</v>
      </c>
      <c r="AE46">
        <v>2.2870422876374099</v>
      </c>
      <c r="AF46">
        <v>3.2675684091583501</v>
      </c>
      <c r="AG46">
        <v>2.4695217377019398</v>
      </c>
      <c r="AH46">
        <v>0.47789712877204399</v>
      </c>
      <c r="AI46">
        <v>2.78967128038629</v>
      </c>
      <c r="AJ46">
        <v>1.19848200453892</v>
      </c>
      <c r="AK46">
        <v>8.9700714886690694E-2</v>
      </c>
      <c r="AL46">
        <v>0.396115127861983</v>
      </c>
      <c r="AM46">
        <v>0.146725543031858</v>
      </c>
    </row>
    <row r="47" spans="1:39" x14ac:dyDescent="0.35">
      <c r="A47" s="1">
        <v>32568</v>
      </c>
      <c r="B47">
        <f t="shared" si="12"/>
        <v>4.46327600870148</v>
      </c>
      <c r="C47">
        <f t="shared" si="17"/>
        <v>1.5374741639023</v>
      </c>
      <c r="D47">
        <f t="shared" si="18"/>
        <v>2.45797892367443</v>
      </c>
      <c r="E47">
        <f t="shared" si="19"/>
        <v>1.7985087126255199</v>
      </c>
      <c r="F47">
        <f t="shared" si="20"/>
        <v>3.70070825338241E-2</v>
      </c>
      <c r="G47">
        <f t="shared" si="21"/>
        <v>2.42097184114062</v>
      </c>
      <c r="H47">
        <f t="shared" si="10"/>
        <v>2</v>
      </c>
      <c r="I47">
        <f t="shared" si="13"/>
        <v>0.769773752719212</v>
      </c>
      <c r="J47">
        <f t="shared" si="14"/>
        <v>0</v>
      </c>
      <c r="K47">
        <f t="shared" si="15"/>
        <v>0.143118413648258</v>
      </c>
      <c r="L47">
        <f t="shared" si="16"/>
        <v>0</v>
      </c>
      <c r="M47" s="3">
        <f t="shared" si="11"/>
        <v>7.1559206824129001E-2</v>
      </c>
      <c r="P47">
        <v>604713600</v>
      </c>
      <c r="Q47">
        <v>4.46327600870148</v>
      </c>
      <c r="R47">
        <v>1.5374741639023</v>
      </c>
      <c r="S47">
        <v>2.45797892367443</v>
      </c>
      <c r="T47">
        <v>1.7985087126255199</v>
      </c>
      <c r="U47">
        <v>3.70070825338241E-2</v>
      </c>
      <c r="V47">
        <v>2.42097184114062</v>
      </c>
      <c r="W47">
        <v>0.769773752719212</v>
      </c>
      <c r="X47">
        <v>0</v>
      </c>
      <c r="Y47">
        <v>0.143118413648258</v>
      </c>
      <c r="Z47">
        <v>0</v>
      </c>
      <c r="AC47">
        <v>604713600</v>
      </c>
      <c r="AD47">
        <v>4.3591157154032301</v>
      </c>
      <c r="AE47">
        <v>1.4718843806633699</v>
      </c>
      <c r="AF47">
        <v>2.2697778000550799</v>
      </c>
      <c r="AG47">
        <v>1.6203752257158901</v>
      </c>
      <c r="AH47">
        <v>-2.8957299325365601E-4</v>
      </c>
      <c r="AI47">
        <v>2.2700673730483301</v>
      </c>
      <c r="AJ47">
        <v>0.73722366106350901</v>
      </c>
      <c r="AK47">
        <v>0</v>
      </c>
      <c r="AL47">
        <v>8.4305562517212704E-2</v>
      </c>
      <c r="AM47">
        <v>0</v>
      </c>
    </row>
    <row r="48" spans="1:39" x14ac:dyDescent="0.35">
      <c r="A48" s="1">
        <v>32660</v>
      </c>
      <c r="B48">
        <f t="shared" si="12"/>
        <v>6.28963685514963</v>
      </c>
      <c r="C48">
        <f t="shared" si="17"/>
        <v>2.2838837514911998</v>
      </c>
      <c r="D48">
        <f t="shared" si="18"/>
        <v>3.5441587099420202</v>
      </c>
      <c r="E48">
        <f t="shared" si="19"/>
        <v>2.6412695244097599</v>
      </c>
      <c r="F48">
        <f t="shared" si="20"/>
        <v>0.22957488610678001</v>
      </c>
      <c r="G48">
        <f t="shared" si="21"/>
        <v>3.3145838238352501</v>
      </c>
      <c r="H48">
        <f t="shared" si="10"/>
        <v>2</v>
      </c>
      <c r="I48">
        <f t="shared" si="13"/>
        <v>1.3405115172342601</v>
      </c>
      <c r="J48">
        <f t="shared" si="14"/>
        <v>8.8713672341000901E-2</v>
      </c>
      <c r="K48">
        <f t="shared" si="15"/>
        <v>0.48254959685688198</v>
      </c>
      <c r="L48">
        <f t="shared" si="16"/>
        <v>0.20039672637804901</v>
      </c>
      <c r="M48" s="3">
        <f t="shared" si="11"/>
        <v>0.34147316161746549</v>
      </c>
      <c r="P48">
        <v>612662400</v>
      </c>
      <c r="Q48">
        <v>6.28963685514963</v>
      </c>
      <c r="R48">
        <v>2.2838837514911998</v>
      </c>
      <c r="S48">
        <v>3.5441587099420202</v>
      </c>
      <c r="T48">
        <v>2.6412695244097599</v>
      </c>
      <c r="U48">
        <v>0.22957488610678001</v>
      </c>
      <c r="V48">
        <v>3.3145838238352501</v>
      </c>
      <c r="W48">
        <v>1.3405115172342601</v>
      </c>
      <c r="X48">
        <v>8.8713672341000901E-2</v>
      </c>
      <c r="Y48">
        <v>0.48254959685688198</v>
      </c>
      <c r="Z48">
        <v>0.20039672637804901</v>
      </c>
      <c r="AC48">
        <v>612662400</v>
      </c>
      <c r="AD48">
        <v>6.2231935770599804</v>
      </c>
      <c r="AE48">
        <v>2.2338379446025498</v>
      </c>
      <c r="AF48">
        <v>3.3363061010164401</v>
      </c>
      <c r="AG48">
        <v>2.4390112474657299</v>
      </c>
      <c r="AH48">
        <v>0.19970047064556801</v>
      </c>
      <c r="AI48">
        <v>3.13660563037087</v>
      </c>
      <c r="AJ48">
        <v>1.3197479928312399</v>
      </c>
      <c r="AK48">
        <v>7.3074357688297495E-2</v>
      </c>
      <c r="AL48">
        <v>0.41759565656763797</v>
      </c>
      <c r="AM48">
        <v>0.137191014833041</v>
      </c>
    </row>
    <row r="49" spans="1:39" x14ac:dyDescent="0.35">
      <c r="A49" s="1">
        <v>32752</v>
      </c>
      <c r="B49">
        <f t="shared" si="12"/>
        <v>5.8125371049978396</v>
      </c>
      <c r="C49">
        <f t="shared" si="17"/>
        <v>1.9135485674510999</v>
      </c>
      <c r="D49">
        <f t="shared" si="18"/>
        <v>3.1402336601167402</v>
      </c>
      <c r="E49">
        <f t="shared" si="19"/>
        <v>2.2614090061833498</v>
      </c>
      <c r="F49">
        <f t="shared" si="20"/>
        <v>-8.60071993282603E-2</v>
      </c>
      <c r="G49">
        <f t="shared" si="21"/>
        <v>3.22624085944501</v>
      </c>
      <c r="H49">
        <f t="shared" si="10"/>
        <v>2</v>
      </c>
      <c r="I49">
        <f t="shared" si="13"/>
        <v>1.19141784531182</v>
      </c>
      <c r="J49">
        <f t="shared" si="14"/>
        <v>0</v>
      </c>
      <c r="K49">
        <f t="shared" si="15"/>
        <v>0.35632301878647998</v>
      </c>
      <c r="L49">
        <f t="shared" si="16"/>
        <v>8.1690314432297198E-2</v>
      </c>
      <c r="M49" s="3">
        <f t="shared" si="11"/>
        <v>0.21900666660938861</v>
      </c>
      <c r="P49">
        <v>620611200</v>
      </c>
      <c r="Q49">
        <v>5.8125371049978396</v>
      </c>
      <c r="R49">
        <v>1.9135485674510999</v>
      </c>
      <c r="S49">
        <v>3.1402336601167402</v>
      </c>
      <c r="T49">
        <v>2.2614090061833498</v>
      </c>
      <c r="U49">
        <v>-8.60071993282603E-2</v>
      </c>
      <c r="V49">
        <v>3.22624085944501</v>
      </c>
      <c r="W49">
        <v>1.19141784531182</v>
      </c>
      <c r="X49">
        <v>0</v>
      </c>
      <c r="Y49">
        <v>0.35632301878647998</v>
      </c>
      <c r="Z49">
        <v>8.1690314432297198E-2</v>
      </c>
      <c r="AC49">
        <v>620611200</v>
      </c>
      <c r="AD49">
        <v>5.7626222278322796</v>
      </c>
      <c r="AE49">
        <v>1.8710273303903999</v>
      </c>
      <c r="AF49">
        <v>2.9464790693093601</v>
      </c>
      <c r="AG49">
        <v>2.07117278045193</v>
      </c>
      <c r="AH49">
        <v>-0.113262801565066</v>
      </c>
      <c r="AI49">
        <v>3.0597418708744302</v>
      </c>
      <c r="AJ49">
        <v>1.1758194461975899</v>
      </c>
      <c r="AK49">
        <v>0</v>
      </c>
      <c r="AL49">
        <v>0.29577470915917597</v>
      </c>
      <c r="AM49">
        <v>2.2241493891227E-2</v>
      </c>
    </row>
    <row r="50" spans="1:39" x14ac:dyDescent="0.35">
      <c r="A50" s="1">
        <v>32843</v>
      </c>
      <c r="B50">
        <f t="shared" si="12"/>
        <v>7.9017503320762801</v>
      </c>
      <c r="C50">
        <f t="shared" si="17"/>
        <v>2.4491825541713701</v>
      </c>
      <c r="D50">
        <f t="shared" si="18"/>
        <v>4.1646488976845202</v>
      </c>
      <c r="E50">
        <f t="shared" si="19"/>
        <v>2.93565041658597</v>
      </c>
      <c r="F50">
        <f t="shared" si="20"/>
        <v>-0.34711018664419402</v>
      </c>
      <c r="G50">
        <f t="shared" si="21"/>
        <v>4.5117590843287303</v>
      </c>
      <c r="H50">
        <f t="shared" si="10"/>
        <v>2</v>
      </c>
      <c r="I50">
        <f t="shared" si="13"/>
        <v>1.8442969787738399</v>
      </c>
      <c r="J50">
        <f t="shared" si="14"/>
        <v>0.14036954817855299</v>
      </c>
      <c r="K50">
        <f t="shared" si="15"/>
        <v>0.676452780526413</v>
      </c>
      <c r="L50">
        <f t="shared" si="16"/>
        <v>0.29239075518311602</v>
      </c>
      <c r="M50" s="3">
        <f t="shared" si="11"/>
        <v>0.48442176785476454</v>
      </c>
      <c r="P50">
        <v>628473600</v>
      </c>
      <c r="Q50">
        <v>7.9017503320762801</v>
      </c>
      <c r="R50">
        <v>2.4491825541713701</v>
      </c>
      <c r="S50">
        <v>4.1646488976845202</v>
      </c>
      <c r="T50">
        <v>2.93565041658597</v>
      </c>
      <c r="U50">
        <v>-0.34711018664419402</v>
      </c>
      <c r="V50">
        <v>4.5117590843287303</v>
      </c>
      <c r="W50">
        <v>1.8442969787738399</v>
      </c>
      <c r="X50">
        <v>0.14036954817855299</v>
      </c>
      <c r="Y50">
        <v>0.676452780526413</v>
      </c>
      <c r="Z50">
        <v>0.29239075518311602</v>
      </c>
      <c r="AC50">
        <v>628473600</v>
      </c>
      <c r="AD50">
        <v>7.9087162419654797</v>
      </c>
      <c r="AE50">
        <v>2.42818484285932</v>
      </c>
      <c r="AF50">
        <v>3.9427430583722098</v>
      </c>
      <c r="AG50">
        <v>2.7100495930087898</v>
      </c>
      <c r="AH50">
        <v>-0.366290085727698</v>
      </c>
      <c r="AI50">
        <v>4.3090331440999101</v>
      </c>
      <c r="AJ50">
        <v>1.8464738256142099</v>
      </c>
      <c r="AK50">
        <v>0.133807763393539</v>
      </c>
      <c r="AL50">
        <v>0.60710720574131705</v>
      </c>
      <c r="AM50">
        <v>0.221890497815246</v>
      </c>
    </row>
    <row r="51" spans="1:39" x14ac:dyDescent="0.35">
      <c r="A51" s="1">
        <v>32933</v>
      </c>
      <c r="B51">
        <f t="shared" si="12"/>
        <v>7.8669539394998598</v>
      </c>
      <c r="C51">
        <f t="shared" si="17"/>
        <v>2.5526534110032899</v>
      </c>
      <c r="D51">
        <f t="shared" si="18"/>
        <v>4.2246186331307998</v>
      </c>
      <c r="E51">
        <f t="shared" si="19"/>
        <v>3.02678532895992</v>
      </c>
      <c r="F51">
        <f t="shared" si="20"/>
        <v>-0.17273040734460299</v>
      </c>
      <c r="G51">
        <f t="shared" si="21"/>
        <v>4.3973490404754099</v>
      </c>
      <c r="H51">
        <f t="shared" si="10"/>
        <v>2</v>
      </c>
      <c r="I51">
        <f t="shared" si="13"/>
        <v>1.8334231060937101</v>
      </c>
      <c r="J51">
        <f t="shared" si="14"/>
        <v>0.17270419093852901</v>
      </c>
      <c r="K51">
        <f t="shared" si="15"/>
        <v>0.69519332285337399</v>
      </c>
      <c r="L51">
        <f t="shared" si="16"/>
        <v>0.32087041529997401</v>
      </c>
      <c r="M51" s="3">
        <f t="shared" si="11"/>
        <v>0.50803186907667397</v>
      </c>
      <c r="P51">
        <v>636249600</v>
      </c>
      <c r="Q51">
        <v>7.8669539394998598</v>
      </c>
      <c r="R51">
        <v>2.5526534110032899</v>
      </c>
      <c r="S51">
        <v>4.2246186331307998</v>
      </c>
      <c r="T51">
        <v>3.02678532895992</v>
      </c>
      <c r="U51">
        <v>-0.17273040734460299</v>
      </c>
      <c r="V51">
        <v>4.3973490404754099</v>
      </c>
      <c r="W51">
        <v>1.8334231060937101</v>
      </c>
      <c r="X51">
        <v>0.17270419093852901</v>
      </c>
      <c r="Y51">
        <v>0.69519332285337399</v>
      </c>
      <c r="Z51">
        <v>0.32087041529997401</v>
      </c>
      <c r="AC51">
        <v>636249600</v>
      </c>
      <c r="AD51">
        <v>7.93517146070901</v>
      </c>
      <c r="AE51">
        <v>2.5640258943700198</v>
      </c>
      <c r="AF51">
        <v>4.0483550682784299</v>
      </c>
      <c r="AG51">
        <v>2.8402649107762499</v>
      </c>
      <c r="AH51">
        <v>-0.17467415675523201</v>
      </c>
      <c r="AI51">
        <v>4.2230292250336596</v>
      </c>
      <c r="AJ51">
        <v>1.8547410814715699</v>
      </c>
      <c r="AK51">
        <v>0.176258091990632</v>
      </c>
      <c r="AL51">
        <v>0.64011095883700997</v>
      </c>
      <c r="AM51">
        <v>0.262582784617577</v>
      </c>
    </row>
    <row r="52" spans="1:39" x14ac:dyDescent="0.35">
      <c r="A52" s="1">
        <v>33025</v>
      </c>
      <c r="B52">
        <f t="shared" si="12"/>
        <v>7.6459782686162097</v>
      </c>
      <c r="C52">
        <f t="shared" si="17"/>
        <v>2.5840081559240602</v>
      </c>
      <c r="D52">
        <f t="shared" si="18"/>
        <v>4.1765861327409697</v>
      </c>
      <c r="E52">
        <f t="shared" si="19"/>
        <v>3.0356276278188399</v>
      </c>
      <c r="F52">
        <f t="shared" si="20"/>
        <v>-1.19706300169122E-2</v>
      </c>
      <c r="G52">
        <f t="shared" si="21"/>
        <v>4.1885567627578899</v>
      </c>
      <c r="H52">
        <f t="shared" si="10"/>
        <v>2</v>
      </c>
      <c r="I52">
        <f t="shared" si="13"/>
        <v>1.7643682089425601</v>
      </c>
      <c r="J52">
        <f t="shared" si="14"/>
        <v>0.182502548726269</v>
      </c>
      <c r="K52">
        <f t="shared" si="15"/>
        <v>0.68018316648155297</v>
      </c>
      <c r="L52">
        <f t="shared" si="16"/>
        <v>0.32363363369338899</v>
      </c>
      <c r="M52" s="3">
        <f t="shared" si="11"/>
        <v>0.50190840008747095</v>
      </c>
      <c r="P52">
        <v>644198400</v>
      </c>
      <c r="Q52">
        <v>7.6459782686162097</v>
      </c>
      <c r="R52">
        <v>2.5840081559240602</v>
      </c>
      <c r="S52">
        <v>4.1765861327409697</v>
      </c>
      <c r="T52">
        <v>3.0356276278188399</v>
      </c>
      <c r="U52">
        <v>-1.19706300169122E-2</v>
      </c>
      <c r="V52">
        <v>4.1885567627578899</v>
      </c>
      <c r="W52">
        <v>1.7643682089425601</v>
      </c>
      <c r="X52">
        <v>0.182502548726269</v>
      </c>
      <c r="Y52">
        <v>0.68018316648155297</v>
      </c>
      <c r="Z52">
        <v>0.32363363369338899</v>
      </c>
      <c r="AC52">
        <v>644198400</v>
      </c>
      <c r="AD52">
        <v>7.7603110890760298</v>
      </c>
      <c r="AE52">
        <v>2.62059150046947</v>
      </c>
      <c r="AF52">
        <v>4.04096554113754</v>
      </c>
      <c r="AG52">
        <v>2.8849282357570698</v>
      </c>
      <c r="AH52">
        <v>-1.06472845872812E-4</v>
      </c>
      <c r="AI52">
        <v>4.0410720139834098</v>
      </c>
      <c r="AJ52">
        <v>1.80009721533626</v>
      </c>
      <c r="AK52">
        <v>0.19393484389670901</v>
      </c>
      <c r="AL52">
        <v>0.63780173160548204</v>
      </c>
      <c r="AM52">
        <v>0.27654007367408401</v>
      </c>
    </row>
    <row r="53" spans="1:39" x14ac:dyDescent="0.35">
      <c r="A53" s="1">
        <v>33117</v>
      </c>
      <c r="B53">
        <f t="shared" si="12"/>
        <v>7.0131140397273102</v>
      </c>
      <c r="C53">
        <f t="shared" si="17"/>
        <v>2.4148644200630498</v>
      </c>
      <c r="D53">
        <f t="shared" si="18"/>
        <v>3.8615484014288199</v>
      </c>
      <c r="E53">
        <f t="shared" si="19"/>
        <v>2.8251116199954001</v>
      </c>
      <c r="F53">
        <f t="shared" si="20"/>
        <v>5.66998716040822E-2</v>
      </c>
      <c r="G53">
        <f t="shared" si="21"/>
        <v>3.8048485298247501</v>
      </c>
      <c r="H53">
        <f t="shared" si="10"/>
        <v>2</v>
      </c>
      <c r="I53">
        <f t="shared" si="13"/>
        <v>1.5665981374147799</v>
      </c>
      <c r="J53">
        <f t="shared" si="14"/>
        <v>0.12964513126970401</v>
      </c>
      <c r="K53">
        <f t="shared" si="15"/>
        <v>0.58173387544650501</v>
      </c>
      <c r="L53">
        <f t="shared" si="16"/>
        <v>0.25784738124856399</v>
      </c>
      <c r="M53" s="3">
        <f t="shared" si="11"/>
        <v>0.4197906283475345</v>
      </c>
      <c r="P53">
        <v>652147200</v>
      </c>
      <c r="Q53">
        <v>7.0131140397273102</v>
      </c>
      <c r="R53">
        <v>2.4148644200630498</v>
      </c>
      <c r="S53">
        <v>3.8615484014288199</v>
      </c>
      <c r="T53">
        <v>2.8251116199954001</v>
      </c>
      <c r="U53">
        <v>5.66998716040822E-2</v>
      </c>
      <c r="V53">
        <v>3.8048485298247501</v>
      </c>
      <c r="W53">
        <v>1.5665981374147799</v>
      </c>
      <c r="X53">
        <v>0.12964513126970401</v>
      </c>
      <c r="Y53">
        <v>0.58173387544650501</v>
      </c>
      <c r="Z53">
        <v>0.25784738124856399</v>
      </c>
      <c r="AC53">
        <v>652147200</v>
      </c>
      <c r="AD53">
        <v>7.1378225439980998</v>
      </c>
      <c r="AE53">
        <v>2.4590142662707</v>
      </c>
      <c r="AF53">
        <v>3.7520143423212602</v>
      </c>
      <c r="AG53">
        <v>2.69964624703336</v>
      </c>
      <c r="AH53">
        <v>7.3330930908907896E-2</v>
      </c>
      <c r="AI53">
        <v>3.6786834114123499</v>
      </c>
      <c r="AJ53">
        <v>1.6055695449994101</v>
      </c>
      <c r="AK53">
        <v>0.14344195820959199</v>
      </c>
      <c r="AL53">
        <v>0.54750448197539303</v>
      </c>
      <c r="AM53">
        <v>0.21863945219792599</v>
      </c>
    </row>
    <row r="54" spans="1:39" x14ac:dyDescent="0.35">
      <c r="A54" s="1">
        <v>33208</v>
      </c>
      <c r="B54">
        <f t="shared" si="12"/>
        <v>10.9294690638184</v>
      </c>
      <c r="C54">
        <f t="shared" si="17"/>
        <v>3.9548238921332302</v>
      </c>
      <c r="D54">
        <f t="shared" si="18"/>
        <v>6.1491604941386999</v>
      </c>
      <c r="E54">
        <f t="shared" si="19"/>
        <v>4.5770886426089499</v>
      </c>
      <c r="F54">
        <f t="shared" si="20"/>
        <v>0.377949572041541</v>
      </c>
      <c r="G54">
        <f t="shared" si="21"/>
        <v>5.7712109220971701</v>
      </c>
      <c r="H54">
        <f t="shared" si="10"/>
        <v>2</v>
      </c>
      <c r="I54">
        <f t="shared" si="13"/>
        <v>2.5</v>
      </c>
      <c r="J54">
        <f t="shared" si="14"/>
        <v>0.61088246629163501</v>
      </c>
      <c r="K54">
        <f t="shared" si="15"/>
        <v>1.2966126544183401</v>
      </c>
      <c r="L54">
        <f t="shared" si="16"/>
        <v>0.805340200815296</v>
      </c>
      <c r="M54" s="3">
        <f t="shared" si="11"/>
        <v>1.0509764276168181</v>
      </c>
      <c r="P54">
        <v>660009600</v>
      </c>
      <c r="Q54">
        <v>10.9294690638184</v>
      </c>
      <c r="R54">
        <v>3.9548238921332302</v>
      </c>
      <c r="S54">
        <v>6.1491604941386999</v>
      </c>
      <c r="T54">
        <v>4.5770886426089499</v>
      </c>
      <c r="U54">
        <v>0.377949572041541</v>
      </c>
      <c r="V54">
        <v>5.7712109220971701</v>
      </c>
      <c r="W54">
        <v>2.5</v>
      </c>
      <c r="X54">
        <v>0.61088246629163501</v>
      </c>
      <c r="Y54">
        <v>1.2966126544183401</v>
      </c>
      <c r="Z54">
        <v>0.805340200815296</v>
      </c>
      <c r="AC54">
        <v>660009600</v>
      </c>
      <c r="AD54">
        <v>11.0745500583505</v>
      </c>
      <c r="AE54">
        <v>4.0003664989110304</v>
      </c>
      <c r="AF54">
        <v>5.9553343747893797</v>
      </c>
      <c r="AG54">
        <v>4.3641930763517003</v>
      </c>
      <c r="AH54">
        <v>0.39330230066557198</v>
      </c>
      <c r="AI54">
        <v>5.5620320741238203</v>
      </c>
      <c r="AJ54">
        <v>2.5</v>
      </c>
      <c r="AK54">
        <v>0.62511453090969704</v>
      </c>
      <c r="AL54">
        <v>1.2360419921216801</v>
      </c>
      <c r="AM54">
        <v>0.73881033635990501</v>
      </c>
    </row>
    <row r="55" spans="1:39" x14ac:dyDescent="0.35">
      <c r="A55" s="1">
        <v>33298</v>
      </c>
      <c r="B55">
        <f t="shared" si="12"/>
        <v>10.522377659175</v>
      </c>
      <c r="C55">
        <f t="shared" si="17"/>
        <v>3.69204821109096</v>
      </c>
      <c r="D55">
        <f t="shared" si="18"/>
        <v>5.8409807435348302</v>
      </c>
      <c r="E55">
        <f t="shared" si="19"/>
        <v>4.3014373835945099</v>
      </c>
      <c r="F55">
        <f t="shared" si="20"/>
        <v>0.18918471062203299</v>
      </c>
      <c r="G55">
        <f t="shared" si="21"/>
        <v>5.6517960329127996</v>
      </c>
      <c r="H55">
        <f t="shared" si="10"/>
        <v>2</v>
      </c>
      <c r="I55">
        <f t="shared" si="13"/>
        <v>2.5</v>
      </c>
      <c r="J55">
        <f t="shared" si="14"/>
        <v>0.52876506596592598</v>
      </c>
      <c r="K55">
        <f t="shared" si="15"/>
        <v>1.2003064823546299</v>
      </c>
      <c r="L55">
        <f t="shared" si="16"/>
        <v>0.71919918237328495</v>
      </c>
      <c r="M55" s="3">
        <f t="shared" si="11"/>
        <v>0.95975283236395748</v>
      </c>
      <c r="P55">
        <v>667785600</v>
      </c>
      <c r="Q55">
        <v>10.522377659175</v>
      </c>
      <c r="R55">
        <v>3.69204821109096</v>
      </c>
      <c r="S55">
        <v>5.8409807435348302</v>
      </c>
      <c r="T55">
        <v>4.3014373835945099</v>
      </c>
      <c r="U55">
        <v>0.18918471062203299</v>
      </c>
      <c r="V55">
        <v>5.6517960329127996</v>
      </c>
      <c r="W55">
        <v>2.5</v>
      </c>
      <c r="X55">
        <v>0.52876506596592598</v>
      </c>
      <c r="Y55">
        <v>1.2003064823546299</v>
      </c>
      <c r="Z55">
        <v>0.71919918237328495</v>
      </c>
      <c r="AC55">
        <v>667785600</v>
      </c>
      <c r="AD55">
        <v>10.633011536343</v>
      </c>
      <c r="AE55">
        <v>3.71981702563227</v>
      </c>
      <c r="AF55">
        <v>5.6302951853492704</v>
      </c>
      <c r="AG55">
        <v>4.0753639063259897</v>
      </c>
      <c r="AH55">
        <v>0.194839732412594</v>
      </c>
      <c r="AI55">
        <v>5.4354554529366803</v>
      </c>
      <c r="AJ55">
        <v>2.5</v>
      </c>
      <c r="AK55">
        <v>0.53744282051008396</v>
      </c>
      <c r="AL55">
        <v>1.13446724542165</v>
      </c>
      <c r="AM55">
        <v>0.64855122072687199</v>
      </c>
    </row>
    <row r="56" spans="1:39" x14ac:dyDescent="0.35">
      <c r="A56" s="1">
        <v>33390</v>
      </c>
      <c r="B56">
        <f t="shared" si="12"/>
        <v>10.437682966674201</v>
      </c>
      <c r="C56">
        <f t="shared" si="17"/>
        <v>3.6560665045196798</v>
      </c>
      <c r="D56">
        <f t="shared" si="18"/>
        <v>5.7896731407513604</v>
      </c>
      <c r="E56">
        <f t="shared" si="19"/>
        <v>4.2611095958552001</v>
      </c>
      <c r="F56">
        <f t="shared" si="20"/>
        <v>0.17818495282911601</v>
      </c>
      <c r="G56">
        <f t="shared" si="21"/>
        <v>5.6114881879222498</v>
      </c>
      <c r="H56">
        <f t="shared" si="10"/>
        <v>2</v>
      </c>
      <c r="I56">
        <f t="shared" si="13"/>
        <v>2.5</v>
      </c>
      <c r="J56">
        <f t="shared" si="14"/>
        <v>0.51752078266240098</v>
      </c>
      <c r="K56">
        <f t="shared" si="15"/>
        <v>1.1842728564848</v>
      </c>
      <c r="L56">
        <f t="shared" si="16"/>
        <v>0.70659674870475098</v>
      </c>
      <c r="M56" s="3">
        <f t="shared" si="11"/>
        <v>0.94543480259477541</v>
      </c>
      <c r="P56">
        <v>675734400</v>
      </c>
      <c r="Q56">
        <v>10.437682966674201</v>
      </c>
      <c r="R56">
        <v>3.6560665045196798</v>
      </c>
      <c r="S56">
        <v>5.7896731407513604</v>
      </c>
      <c r="T56">
        <v>4.2611095958552001</v>
      </c>
      <c r="U56">
        <v>0.17818495282911601</v>
      </c>
      <c r="V56">
        <v>5.6114881879222498</v>
      </c>
      <c r="W56">
        <v>2.5</v>
      </c>
      <c r="X56">
        <v>0.51752078266240098</v>
      </c>
      <c r="Y56">
        <v>1.1842728564848</v>
      </c>
      <c r="Z56">
        <v>0.70659674870475098</v>
      </c>
      <c r="AC56">
        <v>675734400</v>
      </c>
      <c r="AD56">
        <v>10.500250100738601</v>
      </c>
      <c r="AE56">
        <v>3.6595641992203398</v>
      </c>
      <c r="AF56">
        <v>5.5500044279867602</v>
      </c>
      <c r="AG56">
        <v>4.0113819486445799</v>
      </c>
      <c r="AH56">
        <v>0.171558410356624</v>
      </c>
      <c r="AI56">
        <v>5.3784460176301296</v>
      </c>
      <c r="AJ56">
        <v>2.5</v>
      </c>
      <c r="AK56">
        <v>0.51861381225635705</v>
      </c>
      <c r="AL56">
        <v>1.1093763837458599</v>
      </c>
      <c r="AM56">
        <v>0.62855685895143198</v>
      </c>
    </row>
    <row r="57" spans="1:39" x14ac:dyDescent="0.35">
      <c r="A57" s="1">
        <v>33482</v>
      </c>
      <c r="B57">
        <f t="shared" si="12"/>
        <v>9.7438508563227906</v>
      </c>
      <c r="C57">
        <f t="shared" si="17"/>
        <v>3.4148458094780998</v>
      </c>
      <c r="D57">
        <f t="shared" si="18"/>
        <v>5.4060535464608304</v>
      </c>
      <c r="E57">
        <f t="shared" si="19"/>
        <v>3.9795077599129201</v>
      </c>
      <c r="F57">
        <f t="shared" si="20"/>
        <v>0.169081320168669</v>
      </c>
      <c r="G57">
        <f t="shared" si="21"/>
        <v>5.2369722262921599</v>
      </c>
      <c r="H57">
        <f t="shared" si="10"/>
        <v>2</v>
      </c>
      <c r="I57">
        <f t="shared" si="13"/>
        <v>2.4199533926008701</v>
      </c>
      <c r="J57">
        <f t="shared" si="14"/>
        <v>0.44213931546190499</v>
      </c>
      <c r="K57">
        <f t="shared" si="15"/>
        <v>1.06439173326901</v>
      </c>
      <c r="L57">
        <f t="shared" si="16"/>
        <v>0.61859617497278896</v>
      </c>
      <c r="M57" s="3">
        <f t="shared" si="11"/>
        <v>0.84149395412089945</v>
      </c>
      <c r="P57">
        <v>683683200</v>
      </c>
      <c r="Q57">
        <v>9.7438508563227906</v>
      </c>
      <c r="R57">
        <v>3.4148458094780998</v>
      </c>
      <c r="S57">
        <v>5.4060535464608304</v>
      </c>
      <c r="T57">
        <v>3.9795077599129201</v>
      </c>
      <c r="U57">
        <v>0.169081320168669</v>
      </c>
      <c r="V57">
        <v>5.2369722262921599</v>
      </c>
      <c r="W57">
        <v>2.4199533926008701</v>
      </c>
      <c r="X57">
        <v>0.44213931546190499</v>
      </c>
      <c r="Y57">
        <v>1.06439173326901</v>
      </c>
      <c r="Z57">
        <v>0.61859617497278896</v>
      </c>
      <c r="AC57">
        <v>683683200</v>
      </c>
      <c r="AD57">
        <v>9.7763319134152997</v>
      </c>
      <c r="AE57">
        <v>3.4048574500332398</v>
      </c>
      <c r="AF57">
        <v>5.1656299537761896</v>
      </c>
      <c r="AG57">
        <v>3.7325435678425198</v>
      </c>
      <c r="AH57">
        <v>0.156098461268487</v>
      </c>
      <c r="AI57">
        <v>5.0095314925077004</v>
      </c>
      <c r="AJ57">
        <v>2.4301037229422802</v>
      </c>
      <c r="AK57">
        <v>0.439017953135387</v>
      </c>
      <c r="AL57">
        <v>0.98925936055505803</v>
      </c>
      <c r="AM57">
        <v>0.54141986495078798</v>
      </c>
    </row>
    <row r="58" spans="1:39" x14ac:dyDescent="0.35">
      <c r="A58" s="1">
        <v>33573</v>
      </c>
      <c r="B58">
        <f t="shared" si="12"/>
        <v>10.547395879091599</v>
      </c>
      <c r="C58">
        <f t="shared" si="17"/>
        <v>3.6541887906905801</v>
      </c>
      <c r="D58">
        <f t="shared" si="18"/>
        <v>5.8229036495753004</v>
      </c>
      <c r="E58">
        <f t="shared" si="19"/>
        <v>4.2691877882388898</v>
      </c>
      <c r="F58">
        <f t="shared" si="20"/>
        <v>0.11907914559042</v>
      </c>
      <c r="G58">
        <f t="shared" si="21"/>
        <v>5.7038245039848796</v>
      </c>
      <c r="H58">
        <f t="shared" si="10"/>
        <v>2</v>
      </c>
      <c r="I58">
        <f t="shared" si="13"/>
        <v>2.5</v>
      </c>
      <c r="J58">
        <f t="shared" si="14"/>
        <v>0.51693399709080701</v>
      </c>
      <c r="K58">
        <f t="shared" si="15"/>
        <v>1.1946573904922799</v>
      </c>
      <c r="L58">
        <f t="shared" si="16"/>
        <v>0.70912118382465295</v>
      </c>
      <c r="M58" s="3">
        <f t="shared" si="11"/>
        <v>0.95188928715846644</v>
      </c>
      <c r="P58">
        <v>691545600</v>
      </c>
      <c r="Q58">
        <v>10.547395879091599</v>
      </c>
      <c r="R58">
        <v>3.6541887906905801</v>
      </c>
      <c r="S58">
        <v>5.8229036495753004</v>
      </c>
      <c r="T58">
        <v>4.2691877882388898</v>
      </c>
      <c r="U58">
        <v>0.11907914559042</v>
      </c>
      <c r="V58">
        <v>5.7038245039848796</v>
      </c>
      <c r="W58">
        <v>2.5</v>
      </c>
      <c r="X58">
        <v>0.51693399709080701</v>
      </c>
      <c r="Y58">
        <v>1.1946573904922799</v>
      </c>
      <c r="Z58">
        <v>0.70912118382465295</v>
      </c>
      <c r="AC58">
        <v>691545600</v>
      </c>
      <c r="AD58">
        <v>10.5796116115304</v>
      </c>
      <c r="AE58">
        <v>3.6415491378624698</v>
      </c>
      <c r="AF58">
        <v>5.5588996197791198</v>
      </c>
      <c r="AG58">
        <v>3.99837498252068</v>
      </c>
      <c r="AH58">
        <v>0.103891888275763</v>
      </c>
      <c r="AI58">
        <v>5.4550077315033603</v>
      </c>
      <c r="AJ58">
        <v>2.5</v>
      </c>
      <c r="AK58">
        <v>0.51298410558202101</v>
      </c>
      <c r="AL58">
        <v>1.11215613118098</v>
      </c>
      <c r="AM58">
        <v>0.62449218203771395</v>
      </c>
    </row>
    <row r="59" spans="1:39" x14ac:dyDescent="0.35">
      <c r="A59" s="1">
        <v>33664</v>
      </c>
      <c r="B59">
        <f t="shared" si="12"/>
        <v>10.426756547405899</v>
      </c>
      <c r="C59">
        <f t="shared" si="17"/>
        <v>3.3024541408817099</v>
      </c>
      <c r="D59">
        <f t="shared" si="18"/>
        <v>5.5438753386018798</v>
      </c>
      <c r="E59">
        <f t="shared" si="19"/>
        <v>3.9380710289360299</v>
      </c>
      <c r="F59">
        <f t="shared" si="20"/>
        <v>-0.35117033738067599</v>
      </c>
      <c r="G59">
        <f t="shared" si="21"/>
        <v>5.89504567598257</v>
      </c>
      <c r="H59">
        <f t="shared" si="10"/>
        <v>2</v>
      </c>
      <c r="I59">
        <f t="shared" si="13"/>
        <v>2.5</v>
      </c>
      <c r="J59">
        <f t="shared" si="14"/>
        <v>0.407016919025535</v>
      </c>
      <c r="K59">
        <f t="shared" si="15"/>
        <v>1.10746104331309</v>
      </c>
      <c r="L59">
        <f t="shared" si="16"/>
        <v>0.60564719654251098</v>
      </c>
      <c r="M59" s="3">
        <f t="shared" si="11"/>
        <v>0.85655411992780051</v>
      </c>
      <c r="P59">
        <v>699408000</v>
      </c>
      <c r="Q59">
        <v>10.426756547405899</v>
      </c>
      <c r="R59">
        <v>3.3024541408817099</v>
      </c>
      <c r="S59">
        <v>5.5438753386018798</v>
      </c>
      <c r="T59">
        <v>3.9380710289360299</v>
      </c>
      <c r="U59">
        <v>-0.35117033738067599</v>
      </c>
      <c r="V59">
        <v>5.89504567598257</v>
      </c>
      <c r="W59">
        <v>2.5</v>
      </c>
      <c r="X59">
        <v>0.407016919025535</v>
      </c>
      <c r="Y59">
        <v>1.10746104331309</v>
      </c>
      <c r="Z59">
        <v>0.60564719654251098</v>
      </c>
      <c r="AC59">
        <v>699408000</v>
      </c>
      <c r="AD59">
        <v>10.448634230493401</v>
      </c>
      <c r="AE59">
        <v>3.2817895628669702</v>
      </c>
      <c r="AF59">
        <v>5.2623645619316299</v>
      </c>
      <c r="AG59">
        <v>3.6503817183521301</v>
      </c>
      <c r="AH59">
        <v>-0.37252172235368802</v>
      </c>
      <c r="AI59">
        <v>5.6348862842853098</v>
      </c>
      <c r="AJ59">
        <v>2.5</v>
      </c>
      <c r="AK59">
        <v>0.400559238395928</v>
      </c>
      <c r="AL59">
        <v>1.0194889256036399</v>
      </c>
      <c r="AM59">
        <v>0.51574428698504005</v>
      </c>
    </row>
    <row r="60" spans="1:39" x14ac:dyDescent="0.35">
      <c r="A60" s="1">
        <v>33756</v>
      </c>
      <c r="B60">
        <f t="shared" si="12"/>
        <v>9.7699226693077499</v>
      </c>
      <c r="C60">
        <f t="shared" si="17"/>
        <v>3.0019500724143602</v>
      </c>
      <c r="D60">
        <f t="shared" si="18"/>
        <v>5.1312641271313604</v>
      </c>
      <c r="E60">
        <f t="shared" si="19"/>
        <v>3.6057758837014902</v>
      </c>
      <c r="F60">
        <f t="shared" si="20"/>
        <v>-0.46893436471649103</v>
      </c>
      <c r="G60">
        <f t="shared" si="21"/>
        <v>5.60019849184786</v>
      </c>
      <c r="H60">
        <f t="shared" si="10"/>
        <v>2</v>
      </c>
      <c r="I60">
        <f t="shared" si="13"/>
        <v>2.4281008341586698</v>
      </c>
      <c r="J60">
        <f t="shared" si="14"/>
        <v>0.31310939762948897</v>
      </c>
      <c r="K60">
        <f t="shared" si="15"/>
        <v>0.97852003972855095</v>
      </c>
      <c r="L60">
        <f t="shared" si="16"/>
        <v>0.50180496365671601</v>
      </c>
      <c r="M60" s="3">
        <f t="shared" si="11"/>
        <v>0.74016250169263342</v>
      </c>
      <c r="P60">
        <v>707356800</v>
      </c>
      <c r="Q60">
        <v>9.7699226693077499</v>
      </c>
      <c r="R60">
        <v>3.0019500724143602</v>
      </c>
      <c r="S60">
        <v>5.1312641271313604</v>
      </c>
      <c r="T60">
        <v>3.6057758837014902</v>
      </c>
      <c r="U60">
        <v>-0.46893436471649103</v>
      </c>
      <c r="V60">
        <v>5.60019849184786</v>
      </c>
      <c r="W60">
        <v>2.4281008341586698</v>
      </c>
      <c r="X60">
        <v>0.31310939762948897</v>
      </c>
      <c r="Y60">
        <v>0.97852003972855095</v>
      </c>
      <c r="Z60">
        <v>0.50180496365671601</v>
      </c>
      <c r="AC60">
        <v>707356800</v>
      </c>
      <c r="AD60">
        <v>9.8186382545411792</v>
      </c>
      <c r="AE60">
        <v>2.9957499366751299</v>
      </c>
      <c r="AF60">
        <v>4.8812717598028099</v>
      </c>
      <c r="AG60">
        <v>3.3466523530588601</v>
      </c>
      <c r="AH60">
        <v>-0.48318102026373599</v>
      </c>
      <c r="AI60">
        <v>5.36445278006655</v>
      </c>
      <c r="AJ60">
        <v>2.4433244545441202</v>
      </c>
      <c r="AK60">
        <v>0.31117185521098001</v>
      </c>
      <c r="AL60">
        <v>0.90039742493837904</v>
      </c>
      <c r="AM60">
        <v>0.42082886033089201</v>
      </c>
    </row>
    <row r="61" spans="1:39" x14ac:dyDescent="0.35">
      <c r="A61" s="1">
        <v>33848</v>
      </c>
      <c r="B61">
        <f t="shared" si="12"/>
        <v>8.0852659938762397</v>
      </c>
      <c r="C61">
        <f t="shared" si="17"/>
        <v>2.2386492923361501</v>
      </c>
      <c r="D61">
        <f t="shared" si="18"/>
        <v>4.0780898244752501</v>
      </c>
      <c r="E61">
        <f t="shared" si="19"/>
        <v>2.7602734600688499</v>
      </c>
      <c r="F61">
        <f t="shared" si="20"/>
        <v>-0.75972734538242503</v>
      </c>
      <c r="G61">
        <f t="shared" si="21"/>
        <v>4.8378171698576899</v>
      </c>
      <c r="H61">
        <f t="shared" si="10"/>
        <v>2</v>
      </c>
      <c r="I61">
        <f t="shared" si="13"/>
        <v>1.9016456230863199</v>
      </c>
      <c r="J61">
        <f t="shared" si="14"/>
        <v>7.4577903855047603E-2</v>
      </c>
      <c r="K61">
        <f t="shared" si="15"/>
        <v>0.64940307014851695</v>
      </c>
      <c r="L61">
        <f t="shared" si="16"/>
        <v>0.237585456271517</v>
      </c>
      <c r="M61" s="3">
        <f t="shared" si="11"/>
        <v>0.44349426321001695</v>
      </c>
      <c r="P61">
        <v>715305600</v>
      </c>
      <c r="Q61">
        <v>8.0852659938762397</v>
      </c>
      <c r="R61">
        <v>2.2386492923361501</v>
      </c>
      <c r="S61">
        <v>4.0780898244752501</v>
      </c>
      <c r="T61">
        <v>2.7602734600688499</v>
      </c>
      <c r="U61">
        <v>-0.75972734538242503</v>
      </c>
      <c r="V61">
        <v>4.8378171698576899</v>
      </c>
      <c r="W61">
        <v>1.9016456230863199</v>
      </c>
      <c r="X61">
        <v>7.4577903855047603E-2</v>
      </c>
      <c r="Y61">
        <v>0.64940307014851695</v>
      </c>
      <c r="Z61">
        <v>0.237585456271517</v>
      </c>
      <c r="AC61">
        <v>715305600</v>
      </c>
      <c r="AD61">
        <v>8.1685479267678307</v>
      </c>
      <c r="AE61">
        <v>2.2523720113463201</v>
      </c>
      <c r="AF61">
        <v>3.88732165119016</v>
      </c>
      <c r="AG61">
        <v>2.5566420400725201</v>
      </c>
      <c r="AH61">
        <v>-0.76423423808638002</v>
      </c>
      <c r="AI61">
        <v>4.6515558892765503</v>
      </c>
      <c r="AJ61">
        <v>1.9276712271149501</v>
      </c>
      <c r="AK61">
        <v>7.8866253545726406E-2</v>
      </c>
      <c r="AL61">
        <v>0.58978801599692599</v>
      </c>
      <c r="AM61">
        <v>0.17395063752266299</v>
      </c>
    </row>
    <row r="62" spans="1:39" x14ac:dyDescent="0.35">
      <c r="A62" s="1">
        <v>33939</v>
      </c>
      <c r="B62">
        <f t="shared" si="12"/>
        <v>10.234400538303699</v>
      </c>
      <c r="C62">
        <f t="shared" si="17"/>
        <v>2.99683504201096</v>
      </c>
      <c r="D62">
        <f t="shared" si="18"/>
        <v>5.2738906465601003</v>
      </c>
      <c r="E62">
        <f t="shared" si="19"/>
        <v>3.6425570503342102</v>
      </c>
      <c r="F62">
        <f t="shared" si="20"/>
        <v>-0.71487523520389995</v>
      </c>
      <c r="G62">
        <f t="shared" si="21"/>
        <v>5.9887658817640101</v>
      </c>
      <c r="H62">
        <f t="shared" si="10"/>
        <v>2</v>
      </c>
      <c r="I62">
        <f t="shared" si="13"/>
        <v>2.5</v>
      </c>
      <c r="J62">
        <f t="shared" si="14"/>
        <v>0.31151095062842499</v>
      </c>
      <c r="K62">
        <f t="shared" si="15"/>
        <v>1.0230908270500301</v>
      </c>
      <c r="L62">
        <f t="shared" si="16"/>
        <v>0.51329907822944199</v>
      </c>
      <c r="M62" s="3">
        <f t="shared" si="11"/>
        <v>0.76819495263973603</v>
      </c>
      <c r="P62">
        <v>723168000</v>
      </c>
      <c r="Q62">
        <v>10.234400538303699</v>
      </c>
      <c r="R62">
        <v>2.99683504201096</v>
      </c>
      <c r="S62">
        <v>5.2738906465601003</v>
      </c>
      <c r="T62">
        <v>3.6425570503342102</v>
      </c>
      <c r="U62">
        <v>-0.71487523520389995</v>
      </c>
      <c r="V62">
        <v>5.9887658817640101</v>
      </c>
      <c r="W62">
        <v>2.5</v>
      </c>
      <c r="X62">
        <v>0.31151095062842499</v>
      </c>
      <c r="Y62">
        <v>1.0230908270500301</v>
      </c>
      <c r="Z62">
        <v>0.51329907822944199</v>
      </c>
      <c r="AC62">
        <v>723168000</v>
      </c>
      <c r="AD62">
        <v>10.325359552642</v>
      </c>
      <c r="AE62">
        <v>3.0089439239354099</v>
      </c>
      <c r="AF62">
        <v>5.0308532227986698</v>
      </c>
      <c r="AG62">
        <v>3.3852285417941101</v>
      </c>
      <c r="AH62">
        <v>-0.72163228348809105</v>
      </c>
      <c r="AI62">
        <v>5.7524855062867699</v>
      </c>
      <c r="AJ62">
        <v>2.5</v>
      </c>
      <c r="AK62">
        <v>0.315294976229816</v>
      </c>
      <c r="AL62">
        <v>0.94714163212458402</v>
      </c>
      <c r="AM62">
        <v>0.432883919310659</v>
      </c>
    </row>
    <row r="63" spans="1:39" x14ac:dyDescent="0.35">
      <c r="A63" s="1">
        <v>34029</v>
      </c>
      <c r="B63">
        <f t="shared" si="12"/>
        <v>11.8262983329438</v>
      </c>
      <c r="C63">
        <f t="shared" si="17"/>
        <v>4.0666740909523202</v>
      </c>
      <c r="D63">
        <f t="shared" si="18"/>
        <v>6.50797785234455</v>
      </c>
      <c r="E63">
        <f t="shared" si="19"/>
        <v>4.7589732006376204</v>
      </c>
      <c r="F63">
        <f t="shared" si="20"/>
        <v>8.7231409421069703E-2</v>
      </c>
      <c r="G63">
        <f t="shared" si="21"/>
        <v>6.4207464429234902</v>
      </c>
      <c r="H63">
        <f t="shared" si="10"/>
        <v>2</v>
      </c>
      <c r="I63">
        <f t="shared" si="13"/>
        <v>2.5</v>
      </c>
      <c r="J63">
        <f t="shared" si="14"/>
        <v>0.64583565342259996</v>
      </c>
      <c r="K63">
        <f t="shared" si="15"/>
        <v>1.40874307885767</v>
      </c>
      <c r="L63">
        <f t="shared" si="16"/>
        <v>0.86217912519925599</v>
      </c>
      <c r="M63" s="3">
        <f t="shared" si="11"/>
        <v>1.1354611020284631</v>
      </c>
      <c r="P63">
        <v>730944000</v>
      </c>
      <c r="Q63">
        <v>11.8262983329438</v>
      </c>
      <c r="R63">
        <v>4.0666740909523202</v>
      </c>
      <c r="S63">
        <v>6.50797785234455</v>
      </c>
      <c r="T63">
        <v>4.7589732006376204</v>
      </c>
      <c r="U63">
        <v>8.7231409421069703E-2</v>
      </c>
      <c r="V63">
        <v>6.4207464429234902</v>
      </c>
      <c r="W63">
        <v>2.5</v>
      </c>
      <c r="X63">
        <v>0.64583565342259996</v>
      </c>
      <c r="Y63">
        <v>1.40874307885767</v>
      </c>
      <c r="Z63">
        <v>0.86217912519925599</v>
      </c>
      <c r="AC63">
        <v>730944000</v>
      </c>
      <c r="AD63">
        <v>11.902863172165</v>
      </c>
      <c r="AE63">
        <v>4.0728084900958397</v>
      </c>
      <c r="AF63">
        <v>6.2366631937797496</v>
      </c>
      <c r="AG63">
        <v>4.47550966009155</v>
      </c>
      <c r="AH63">
        <v>8.0332230936670093E-2</v>
      </c>
      <c r="AI63">
        <v>6.1563309628431</v>
      </c>
      <c r="AJ63">
        <v>2.5</v>
      </c>
      <c r="AK63">
        <v>0.64775265315495101</v>
      </c>
      <c r="AL63">
        <v>1.3239572480561701</v>
      </c>
      <c r="AM63">
        <v>0.77359676877860895</v>
      </c>
    </row>
    <row r="64" spans="1:39" x14ac:dyDescent="0.35">
      <c r="A64" s="1">
        <v>34121</v>
      </c>
      <c r="B64">
        <f t="shared" si="12"/>
        <v>12.6450995304437</v>
      </c>
      <c r="C64">
        <f t="shared" si="17"/>
        <v>4.2688962220348303</v>
      </c>
      <c r="D64">
        <f t="shared" si="18"/>
        <v>6.9041857676735097</v>
      </c>
      <c r="E64">
        <f t="shared" si="19"/>
        <v>5.0162053586775404</v>
      </c>
      <c r="F64">
        <f t="shared" si="20"/>
        <v>-2.6752628367603899E-2</v>
      </c>
      <c r="G64">
        <f t="shared" si="21"/>
        <v>6.9309383960411202</v>
      </c>
      <c r="H64">
        <f t="shared" si="10"/>
        <v>2</v>
      </c>
      <c r="I64">
        <f t="shared" si="13"/>
        <v>2.5</v>
      </c>
      <c r="J64">
        <f t="shared" si="14"/>
        <v>0.70903006938588398</v>
      </c>
      <c r="K64">
        <f t="shared" si="15"/>
        <v>1.53255805239797</v>
      </c>
      <c r="L64">
        <f t="shared" si="16"/>
        <v>0.94256417458673103</v>
      </c>
      <c r="M64" s="3">
        <f t="shared" si="11"/>
        <v>1.2375611134923505</v>
      </c>
      <c r="P64">
        <v>738892800</v>
      </c>
      <c r="Q64">
        <v>12.6450995304437</v>
      </c>
      <c r="R64">
        <v>4.2688962220348303</v>
      </c>
      <c r="S64">
        <v>6.9041857676735097</v>
      </c>
      <c r="T64">
        <v>5.0162053586775404</v>
      </c>
      <c r="U64">
        <v>-2.6752628367603899E-2</v>
      </c>
      <c r="V64">
        <v>6.9309383960411202</v>
      </c>
      <c r="W64">
        <v>2.5</v>
      </c>
      <c r="X64">
        <v>0.70903006938588398</v>
      </c>
      <c r="Y64">
        <v>1.53255805239797</v>
      </c>
      <c r="Z64">
        <v>0.94256417458673103</v>
      </c>
      <c r="AC64">
        <v>738892800</v>
      </c>
      <c r="AD64">
        <v>12.6539659877836</v>
      </c>
      <c r="AE64">
        <v>4.2382911373646701</v>
      </c>
      <c r="AF64">
        <v>6.5639834025100496</v>
      </c>
      <c r="AG64">
        <v>4.6711108616416803</v>
      </c>
      <c r="AH64">
        <v>-5.2787713213898801E-2</v>
      </c>
      <c r="AI64">
        <v>6.6167711157239504</v>
      </c>
      <c r="AJ64">
        <v>2.5</v>
      </c>
      <c r="AK64">
        <v>0.69946598042645902</v>
      </c>
      <c r="AL64">
        <v>1.4262448132843899</v>
      </c>
      <c r="AM64">
        <v>0.83472214426302604</v>
      </c>
    </row>
    <row r="65" spans="1:39" x14ac:dyDescent="0.35">
      <c r="A65" s="1">
        <v>34213</v>
      </c>
      <c r="B65">
        <f t="shared" si="12"/>
        <v>11.920534460293601</v>
      </c>
      <c r="C65">
        <f t="shared" si="17"/>
        <v>3.98141631459427</v>
      </c>
      <c r="D65">
        <f t="shared" si="18"/>
        <v>6.4791917721154997</v>
      </c>
      <c r="E65">
        <f t="shared" si="19"/>
        <v>4.6897295334497597</v>
      </c>
      <c r="F65">
        <f t="shared" si="20"/>
        <v>-9.0077950778404303E-2</v>
      </c>
      <c r="G65">
        <f t="shared" si="21"/>
        <v>6.5692697228939103</v>
      </c>
      <c r="H65">
        <f t="shared" si="10"/>
        <v>2</v>
      </c>
      <c r="I65">
        <f t="shared" si="13"/>
        <v>2.5</v>
      </c>
      <c r="J65">
        <f t="shared" si="14"/>
        <v>0.61919259831071005</v>
      </c>
      <c r="K65">
        <f t="shared" si="15"/>
        <v>1.39974742878609</v>
      </c>
      <c r="L65">
        <f t="shared" si="16"/>
        <v>0.84054047920304897</v>
      </c>
      <c r="M65" s="3">
        <f t="shared" si="11"/>
        <v>1.1201439539945695</v>
      </c>
      <c r="P65">
        <v>746841600</v>
      </c>
      <c r="Q65">
        <v>11.920534460293601</v>
      </c>
      <c r="R65">
        <v>3.98141631459427</v>
      </c>
      <c r="S65">
        <v>6.4791917721154997</v>
      </c>
      <c r="T65">
        <v>4.6897295334497597</v>
      </c>
      <c r="U65">
        <v>-9.0077950778404303E-2</v>
      </c>
      <c r="V65">
        <v>6.5692697228939103</v>
      </c>
      <c r="W65">
        <v>2.5</v>
      </c>
      <c r="X65">
        <v>0.61919259831071005</v>
      </c>
      <c r="Y65">
        <v>1.39974742878609</v>
      </c>
      <c r="Z65">
        <v>0.84054047920304897</v>
      </c>
      <c r="AC65">
        <v>746841600</v>
      </c>
      <c r="AD65">
        <v>11.8320460724643</v>
      </c>
      <c r="AE65">
        <v>3.90361724872615</v>
      </c>
      <c r="AF65">
        <v>6.0946578863294203</v>
      </c>
      <c r="AG65">
        <v>4.3113778191419101</v>
      </c>
      <c r="AH65">
        <v>-0.13901912311122</v>
      </c>
      <c r="AI65">
        <v>6.2336770094406599</v>
      </c>
      <c r="AJ65">
        <v>2.5</v>
      </c>
      <c r="AK65">
        <v>0.59488039022692296</v>
      </c>
      <c r="AL65">
        <v>1.27958058947794</v>
      </c>
      <c r="AM65">
        <v>0.72230556848184702</v>
      </c>
    </row>
    <row r="66" spans="1:39" x14ac:dyDescent="0.35">
      <c r="A66" s="1">
        <v>34304</v>
      </c>
      <c r="B66">
        <f t="shared" ref="B66:B97" si="22">IF(Q66="","",Q66)</f>
        <v>9.3451541353026109</v>
      </c>
      <c r="C66">
        <f t="shared" si="17"/>
        <v>3.3905331568686399</v>
      </c>
      <c r="D66">
        <f t="shared" si="18"/>
        <v>5.2639535879313</v>
      </c>
      <c r="E66">
        <f t="shared" si="19"/>
        <v>3.9217932634566601</v>
      </c>
      <c r="F66">
        <f t="shared" si="20"/>
        <v>0.336767647749104</v>
      </c>
      <c r="G66">
        <f t="shared" si="21"/>
        <v>4.9271859401822198</v>
      </c>
      <c r="H66">
        <f t="shared" si="10"/>
        <v>2</v>
      </c>
      <c r="I66">
        <f t="shared" ref="I66:I97" si="23">IF(W66="","",W66)</f>
        <v>2.2953606672820701</v>
      </c>
      <c r="J66">
        <f t="shared" ref="J66:J97" si="24">IF(X66="","",X66)</f>
        <v>0.43454161152144899</v>
      </c>
      <c r="K66">
        <f t="shared" ref="K66:K97" si="25">IF(Y66="","",Y66)</f>
        <v>1.01998549622853</v>
      </c>
      <c r="L66">
        <f t="shared" ref="L66:L97" si="26">IF(Z66="","",Z66)</f>
        <v>0.60056039483020596</v>
      </c>
      <c r="M66" s="3">
        <f t="shared" si="11"/>
        <v>0.81027294552936802</v>
      </c>
      <c r="P66">
        <v>754704000</v>
      </c>
      <c r="Q66">
        <v>9.3451541353026109</v>
      </c>
      <c r="R66">
        <v>3.3905331568686399</v>
      </c>
      <c r="S66">
        <v>5.2639535879313</v>
      </c>
      <c r="T66">
        <v>3.9217932634566601</v>
      </c>
      <c r="U66">
        <v>0.336767647749104</v>
      </c>
      <c r="V66">
        <v>4.9271859401822198</v>
      </c>
      <c r="W66">
        <v>2.2953606672820701</v>
      </c>
      <c r="X66">
        <v>0.43454161152144899</v>
      </c>
      <c r="Y66">
        <v>1.01998549622853</v>
      </c>
      <c r="Z66">
        <v>0.60056039483020596</v>
      </c>
      <c r="AC66">
        <v>754704000</v>
      </c>
      <c r="AD66">
        <v>9.2035971320497403</v>
      </c>
      <c r="AE66">
        <v>3.2946976671489501</v>
      </c>
      <c r="AF66">
        <v>4.9276364421489998</v>
      </c>
      <c r="AG66">
        <v>3.5985934666702399</v>
      </c>
      <c r="AH66">
        <v>0.28180161606533899</v>
      </c>
      <c r="AI66">
        <v>4.6458348260836804</v>
      </c>
      <c r="AJ66">
        <v>2.2511241037655401</v>
      </c>
      <c r="AK66">
        <v>0.40459302098404598</v>
      </c>
      <c r="AL66">
        <v>0.91488638817156298</v>
      </c>
      <c r="AM66">
        <v>0.49956045833445101</v>
      </c>
    </row>
    <row r="67" spans="1:39" x14ac:dyDescent="0.35">
      <c r="A67" s="1">
        <v>34394</v>
      </c>
      <c r="B67">
        <f t="shared" si="22"/>
        <v>6.9838945748995398</v>
      </c>
      <c r="C67">
        <f t="shared" ref="C67:C98" si="27">IF(R67="","",R67)</f>
        <v>2.2915628865537099</v>
      </c>
      <c r="D67">
        <f t="shared" ref="D67:D98" si="28">IF(S67="","",S67)</f>
        <v>3.7678466141171598</v>
      </c>
      <c r="E67">
        <f t="shared" ref="E67:E98" si="29">IF(T67="","",T67)</f>
        <v>2.71020391205735</v>
      </c>
      <c r="F67">
        <f t="shared" ref="F67:F98" si="30">IF(U67="","",U67)</f>
        <v>-0.114850673455512</v>
      </c>
      <c r="G67">
        <f t="shared" ref="G67:G98" si="31">IF(V67="","",V67)</f>
        <v>3.8826972875726802</v>
      </c>
      <c r="H67">
        <f t="shared" ref="H67:H130" si="32">IF(A67="","",2)</f>
        <v>2</v>
      </c>
      <c r="I67">
        <f t="shared" si="23"/>
        <v>1.5574670546561</v>
      </c>
      <c r="J67">
        <f t="shared" si="24"/>
        <v>9.1113402048035197E-2</v>
      </c>
      <c r="K67">
        <f t="shared" si="25"/>
        <v>0.55245206691161197</v>
      </c>
      <c r="L67">
        <f t="shared" si="26"/>
        <v>0.22193872251791999</v>
      </c>
      <c r="M67" s="3">
        <f t="shared" ref="M67:M130" si="33">MEDIAN(I67:L67)</f>
        <v>0.38719539471476594</v>
      </c>
      <c r="P67">
        <v>762480000</v>
      </c>
      <c r="Q67">
        <v>6.9838945748995398</v>
      </c>
      <c r="R67">
        <v>2.2915628865537099</v>
      </c>
      <c r="S67">
        <v>3.7678466141171598</v>
      </c>
      <c r="T67">
        <v>2.71020391205735</v>
      </c>
      <c r="U67">
        <v>-0.114850673455512</v>
      </c>
      <c r="V67">
        <v>3.8826972875726802</v>
      </c>
      <c r="W67">
        <v>1.5574670546561</v>
      </c>
      <c r="X67">
        <v>9.1113402048035197E-2</v>
      </c>
      <c r="Y67">
        <v>0.55245206691161197</v>
      </c>
      <c r="Z67">
        <v>0.22193872251791999</v>
      </c>
      <c r="AC67">
        <v>762480000</v>
      </c>
      <c r="AD67">
        <v>6.8287515682994604</v>
      </c>
      <c r="AE67">
        <v>2.1919980942160402</v>
      </c>
      <c r="AF67">
        <v>3.4733762227359901</v>
      </c>
      <c r="AG67">
        <v>2.4304671885981399</v>
      </c>
      <c r="AH67">
        <v>-0.17224186533941899</v>
      </c>
      <c r="AI67">
        <v>3.6456180880754201</v>
      </c>
      <c r="AJ67">
        <v>1.50898486509358</v>
      </c>
      <c r="AK67">
        <v>5.9999404442512498E-2</v>
      </c>
      <c r="AL67">
        <v>0.46043006960499799</v>
      </c>
      <c r="AM67">
        <v>0.13452099643691801</v>
      </c>
    </row>
    <row r="68" spans="1:39" x14ac:dyDescent="0.35">
      <c r="A68" s="1">
        <v>34486</v>
      </c>
      <c r="B68">
        <f t="shared" si="22"/>
        <v>3.9100079302800799</v>
      </c>
      <c r="C68">
        <f t="shared" si="27"/>
        <v>1.0858716259530199</v>
      </c>
      <c r="D68">
        <f t="shared" si="28"/>
        <v>1.9743907561871901</v>
      </c>
      <c r="E68">
        <f t="shared" si="29"/>
        <v>1.3378357659864299</v>
      </c>
      <c r="F68">
        <f t="shared" si="30"/>
        <v>-0.36245733913824602</v>
      </c>
      <c r="G68">
        <f t="shared" si="31"/>
        <v>2.33684809532545</v>
      </c>
      <c r="H68">
        <f t="shared" si="32"/>
        <v>2</v>
      </c>
      <c r="I68">
        <f t="shared" si="23"/>
        <v>0.59687747821252402</v>
      </c>
      <c r="J68">
        <f t="shared" si="24"/>
        <v>0</v>
      </c>
      <c r="K68">
        <f t="shared" si="25"/>
        <v>0</v>
      </c>
      <c r="L68">
        <f t="shared" si="26"/>
        <v>0</v>
      </c>
      <c r="M68" s="3">
        <f t="shared" si="33"/>
        <v>0</v>
      </c>
      <c r="P68">
        <v>770428800</v>
      </c>
      <c r="Q68">
        <v>3.9100079302800799</v>
      </c>
      <c r="R68">
        <v>1.0858716259530199</v>
      </c>
      <c r="S68">
        <v>1.9743907561871901</v>
      </c>
      <c r="T68">
        <v>1.3378357659864299</v>
      </c>
      <c r="U68">
        <v>-0.36245733913824602</v>
      </c>
      <c r="V68">
        <v>2.33684809532545</v>
      </c>
      <c r="W68">
        <v>0.59687747821252402</v>
      </c>
      <c r="X68">
        <v>0</v>
      </c>
      <c r="Y68">
        <v>0</v>
      </c>
      <c r="Z68">
        <v>0</v>
      </c>
      <c r="AC68">
        <v>770428800</v>
      </c>
      <c r="AD68">
        <v>3.7400155157844601</v>
      </c>
      <c r="AE68">
        <v>0.984679489036419</v>
      </c>
      <c r="AF68">
        <v>1.7461233184598</v>
      </c>
      <c r="AG68">
        <v>1.1263869338444401</v>
      </c>
      <c r="AH68">
        <v>-0.420242203016296</v>
      </c>
      <c r="AI68">
        <v>2.1663655214761</v>
      </c>
      <c r="AJ68">
        <v>0.54375484868264201</v>
      </c>
      <c r="AK68">
        <v>0</v>
      </c>
      <c r="AL68">
        <v>0</v>
      </c>
      <c r="AM68">
        <v>0</v>
      </c>
    </row>
    <row r="69" spans="1:39" x14ac:dyDescent="0.35">
      <c r="A69" s="1">
        <v>34578</v>
      </c>
      <c r="B69">
        <f t="shared" si="22"/>
        <v>1.0618883019460501</v>
      </c>
      <c r="C69">
        <f t="shared" si="27"/>
        <v>-0.235264400370648</v>
      </c>
      <c r="D69">
        <f t="shared" si="28"/>
        <v>0.17284089861138899</v>
      </c>
      <c r="E69">
        <f t="shared" si="29"/>
        <v>-0.119534871087455</v>
      </c>
      <c r="F69">
        <f t="shared" si="30"/>
        <v>-0.90049568826319903</v>
      </c>
      <c r="G69">
        <f t="shared" si="31"/>
        <v>1.0733365868746001</v>
      </c>
      <c r="H69">
        <f t="shared" si="32"/>
        <v>2</v>
      </c>
      <c r="I69">
        <f t="shared" si="23"/>
        <v>0</v>
      </c>
      <c r="J69">
        <f t="shared" si="24"/>
        <v>0</v>
      </c>
      <c r="K69">
        <f t="shared" si="25"/>
        <v>0</v>
      </c>
      <c r="L69">
        <f t="shared" si="26"/>
        <v>0</v>
      </c>
      <c r="M69" s="3">
        <f t="shared" si="33"/>
        <v>0</v>
      </c>
      <c r="P69">
        <v>778377600</v>
      </c>
      <c r="Q69">
        <v>1.0618883019460501</v>
      </c>
      <c r="R69">
        <v>-0.235264400370648</v>
      </c>
      <c r="S69">
        <v>0.17284089861138899</v>
      </c>
      <c r="T69">
        <v>-0.119534871087455</v>
      </c>
      <c r="U69">
        <v>-0.90049568826319903</v>
      </c>
      <c r="V69">
        <v>1.0733365868746001</v>
      </c>
      <c r="W69">
        <v>0</v>
      </c>
      <c r="X69">
        <v>0</v>
      </c>
      <c r="Y69">
        <v>0</v>
      </c>
      <c r="Z69">
        <v>0</v>
      </c>
      <c r="AC69">
        <v>778377600</v>
      </c>
      <c r="AD69">
        <v>0.88700610694408699</v>
      </c>
      <c r="AE69">
        <v>-0.33514934547305097</v>
      </c>
      <c r="AF69">
        <v>2.5962938265816902E-3</v>
      </c>
      <c r="AG69">
        <v>-0.27229366303031199</v>
      </c>
      <c r="AH69">
        <v>-0.95831569959209995</v>
      </c>
      <c r="AI69">
        <v>0.96091199341870304</v>
      </c>
      <c r="AJ69">
        <v>0</v>
      </c>
      <c r="AK69">
        <v>0</v>
      </c>
      <c r="AL69">
        <v>0</v>
      </c>
      <c r="AM69">
        <v>0</v>
      </c>
    </row>
    <row r="70" spans="1:39" x14ac:dyDescent="0.35">
      <c r="A70" s="1">
        <v>34669</v>
      </c>
      <c r="B70">
        <f t="shared" si="22"/>
        <v>1.1569338702590499</v>
      </c>
      <c r="C70">
        <f t="shared" si="27"/>
        <v>-0.441359854274264</v>
      </c>
      <c r="D70">
        <f t="shared" si="28"/>
        <v>6.1489299219244002E-2</v>
      </c>
      <c r="E70">
        <f t="shared" si="29"/>
        <v>-0.29876308824498299</v>
      </c>
      <c r="F70">
        <f t="shared" si="30"/>
        <v>-1.2610281870025299</v>
      </c>
      <c r="G70">
        <f t="shared" si="31"/>
        <v>1.3225174862217901</v>
      </c>
      <c r="H70">
        <f t="shared" si="32"/>
        <v>2</v>
      </c>
      <c r="I70">
        <f t="shared" si="23"/>
        <v>0</v>
      </c>
      <c r="J70">
        <f t="shared" si="24"/>
        <v>0</v>
      </c>
      <c r="K70">
        <f t="shared" si="25"/>
        <v>0</v>
      </c>
      <c r="L70">
        <f t="shared" si="26"/>
        <v>0</v>
      </c>
      <c r="M70" s="3">
        <f t="shared" si="33"/>
        <v>0</v>
      </c>
      <c r="P70">
        <v>786240000</v>
      </c>
      <c r="Q70">
        <v>1.1569338702590499</v>
      </c>
      <c r="R70">
        <v>-0.441359854274264</v>
      </c>
      <c r="S70">
        <v>6.1489299219244002E-2</v>
      </c>
      <c r="T70">
        <v>-0.29876308824498299</v>
      </c>
      <c r="U70">
        <v>-1.2610281870025299</v>
      </c>
      <c r="V70">
        <v>1.3225174862217901</v>
      </c>
      <c r="W70">
        <v>0</v>
      </c>
      <c r="X70">
        <v>0</v>
      </c>
      <c r="Y70">
        <v>0</v>
      </c>
      <c r="Z70">
        <v>0</v>
      </c>
      <c r="AC70">
        <v>786240000</v>
      </c>
      <c r="AD70">
        <v>0.97269087707970903</v>
      </c>
      <c r="AE70">
        <v>-0.54810749078401499</v>
      </c>
      <c r="AF70">
        <v>-0.12783115360931799</v>
      </c>
      <c r="AG70">
        <v>-0.46989254760242399</v>
      </c>
      <c r="AH70">
        <v>-1.32354925015877</v>
      </c>
      <c r="AI70">
        <v>1.19571809654947</v>
      </c>
      <c r="AJ70">
        <v>0</v>
      </c>
      <c r="AK70">
        <v>0</v>
      </c>
      <c r="AL70">
        <v>0</v>
      </c>
      <c r="AM70">
        <v>0</v>
      </c>
    </row>
    <row r="71" spans="1:39" x14ac:dyDescent="0.35">
      <c r="A71" s="1">
        <v>34759</v>
      </c>
      <c r="B71">
        <f t="shared" si="22"/>
        <v>-1.13771956664416</v>
      </c>
      <c r="C71">
        <f t="shared" si="27"/>
        <v>-1.4891524409867201</v>
      </c>
      <c r="D71">
        <f t="shared" si="28"/>
        <v>-1.37858595332525</v>
      </c>
      <c r="E71">
        <f t="shared" si="29"/>
        <v>-1.4577982595941099</v>
      </c>
      <c r="F71">
        <f t="shared" si="30"/>
        <v>-1.66938113972749</v>
      </c>
      <c r="G71">
        <f t="shared" si="31"/>
        <v>0.29079518640226099</v>
      </c>
      <c r="H71">
        <f t="shared" si="32"/>
        <v>2</v>
      </c>
      <c r="I71">
        <f t="shared" si="23"/>
        <v>0</v>
      </c>
      <c r="J71">
        <f t="shared" si="24"/>
        <v>0</v>
      </c>
      <c r="K71">
        <f t="shared" si="25"/>
        <v>0</v>
      </c>
      <c r="L71">
        <f t="shared" si="26"/>
        <v>0</v>
      </c>
      <c r="M71" s="3">
        <f t="shared" si="33"/>
        <v>0</v>
      </c>
      <c r="P71">
        <v>794016000</v>
      </c>
      <c r="Q71">
        <v>-1.13771956664416</v>
      </c>
      <c r="R71">
        <v>-1.4891524409867201</v>
      </c>
      <c r="S71">
        <v>-1.37858595332525</v>
      </c>
      <c r="T71">
        <v>-1.4577982595941099</v>
      </c>
      <c r="U71">
        <v>-1.66938113972749</v>
      </c>
      <c r="V71">
        <v>0.29079518640226099</v>
      </c>
      <c r="W71">
        <v>0</v>
      </c>
      <c r="X71">
        <v>0</v>
      </c>
      <c r="Y71">
        <v>0</v>
      </c>
      <c r="Z71">
        <v>0</v>
      </c>
      <c r="AC71">
        <v>794016000</v>
      </c>
      <c r="AD71">
        <v>-1.4067552323239301</v>
      </c>
      <c r="AE71">
        <v>-1.6357996095093601</v>
      </c>
      <c r="AF71">
        <v>-1.5725026373872</v>
      </c>
      <c r="AG71">
        <v>-1.6240198145501801</v>
      </c>
      <c r="AH71">
        <v>-1.75258733007297</v>
      </c>
      <c r="AI71">
        <v>0.180084692685784</v>
      </c>
      <c r="AJ71">
        <v>0</v>
      </c>
      <c r="AK71">
        <v>0</v>
      </c>
      <c r="AL71">
        <v>0</v>
      </c>
      <c r="AM71">
        <v>0</v>
      </c>
    </row>
    <row r="72" spans="1:39" x14ac:dyDescent="0.35">
      <c r="A72" s="1">
        <v>34851</v>
      </c>
      <c r="B72">
        <f t="shared" si="22"/>
        <v>-0.65614723627465299</v>
      </c>
      <c r="C72">
        <f t="shared" si="27"/>
        <v>-1.41666847228594</v>
      </c>
      <c r="D72">
        <f t="shared" si="28"/>
        <v>-1.1773961446330099</v>
      </c>
      <c r="E72">
        <f t="shared" si="29"/>
        <v>-1.3488161951436299</v>
      </c>
      <c r="F72">
        <f t="shared" si="30"/>
        <v>-1.80669388748786</v>
      </c>
      <c r="G72">
        <f t="shared" si="31"/>
        <v>0.62929774285486495</v>
      </c>
      <c r="H72">
        <f t="shared" si="32"/>
        <v>2</v>
      </c>
      <c r="I72">
        <f t="shared" si="23"/>
        <v>0</v>
      </c>
      <c r="J72">
        <f t="shared" si="24"/>
        <v>0</v>
      </c>
      <c r="K72">
        <f t="shared" si="25"/>
        <v>0</v>
      </c>
      <c r="L72">
        <f t="shared" si="26"/>
        <v>0</v>
      </c>
      <c r="M72" s="3">
        <f t="shared" si="33"/>
        <v>0</v>
      </c>
      <c r="P72">
        <v>801964800</v>
      </c>
      <c r="Q72">
        <v>-0.65614723627465299</v>
      </c>
      <c r="R72">
        <v>-1.41666847228594</v>
      </c>
      <c r="S72">
        <v>-1.1773961446330099</v>
      </c>
      <c r="T72">
        <v>-1.3488161951436299</v>
      </c>
      <c r="U72">
        <v>-1.80669388748786</v>
      </c>
      <c r="V72">
        <v>0.62929774285486495</v>
      </c>
      <c r="W72">
        <v>0</v>
      </c>
      <c r="X72">
        <v>0</v>
      </c>
      <c r="Y72">
        <v>0</v>
      </c>
      <c r="Z72">
        <v>0</v>
      </c>
      <c r="AC72">
        <v>801964800</v>
      </c>
      <c r="AD72">
        <v>-0.97065346292959598</v>
      </c>
      <c r="AE72">
        <v>-1.5879752256113699</v>
      </c>
      <c r="AF72">
        <v>-1.4173768512570599</v>
      </c>
      <c r="AG72">
        <v>-1.5562262524317101</v>
      </c>
      <c r="AH72">
        <v>-1.90274218214539</v>
      </c>
      <c r="AI72">
        <v>0.48536533088834399</v>
      </c>
      <c r="AJ72">
        <v>0</v>
      </c>
      <c r="AK72">
        <v>0</v>
      </c>
      <c r="AL72">
        <v>0</v>
      </c>
      <c r="AM72">
        <v>0</v>
      </c>
    </row>
    <row r="73" spans="1:39" x14ac:dyDescent="0.35">
      <c r="A73" s="1">
        <v>34943</v>
      </c>
      <c r="B73">
        <f t="shared" si="22"/>
        <v>-1.7851187384715499</v>
      </c>
      <c r="C73">
        <f t="shared" si="27"/>
        <v>-2.02495813353503</v>
      </c>
      <c r="D73">
        <f t="shared" si="28"/>
        <v>-1.9495007661369499</v>
      </c>
      <c r="E73">
        <f t="shared" si="29"/>
        <v>-2.0035601128974001</v>
      </c>
      <c r="F73">
        <f t="shared" si="30"/>
        <v>-2.14795727571807</v>
      </c>
      <c r="G73">
        <f t="shared" si="31"/>
        <v>0.19845650958113401</v>
      </c>
      <c r="H73">
        <f t="shared" si="32"/>
        <v>2</v>
      </c>
      <c r="I73">
        <f t="shared" si="23"/>
        <v>0</v>
      </c>
      <c r="J73">
        <f t="shared" si="24"/>
        <v>0</v>
      </c>
      <c r="K73">
        <f t="shared" si="25"/>
        <v>0</v>
      </c>
      <c r="L73">
        <f t="shared" si="26"/>
        <v>0</v>
      </c>
      <c r="M73" s="3">
        <f t="shared" si="33"/>
        <v>0</v>
      </c>
      <c r="P73">
        <v>809913600</v>
      </c>
      <c r="Q73">
        <v>-1.7851187384715499</v>
      </c>
      <c r="R73">
        <v>-2.02495813353503</v>
      </c>
      <c r="S73">
        <v>-1.9495007661369499</v>
      </c>
      <c r="T73">
        <v>-2.0035601128974001</v>
      </c>
      <c r="U73">
        <v>-2.14795727571807</v>
      </c>
      <c r="V73">
        <v>0.19845650958113401</v>
      </c>
      <c r="W73">
        <v>0</v>
      </c>
      <c r="X73">
        <v>0</v>
      </c>
      <c r="Y73">
        <v>0</v>
      </c>
      <c r="Z73">
        <v>0</v>
      </c>
      <c r="AC73">
        <v>809913600</v>
      </c>
      <c r="AD73">
        <v>-2.1496764396319001</v>
      </c>
      <c r="AE73">
        <v>-2.2206523685642701</v>
      </c>
      <c r="AF73">
        <v>-2.20103799754061</v>
      </c>
      <c r="AG73">
        <v>-2.2170020633258298</v>
      </c>
      <c r="AH73">
        <v>-2.2568423726882099</v>
      </c>
      <c r="AI73">
        <v>5.5804375147612703E-2</v>
      </c>
      <c r="AJ73">
        <v>0</v>
      </c>
      <c r="AK73">
        <v>0</v>
      </c>
      <c r="AL73">
        <v>0</v>
      </c>
      <c r="AM73">
        <v>0</v>
      </c>
    </row>
    <row r="74" spans="1:39" x14ac:dyDescent="0.35">
      <c r="A74" s="1">
        <v>35034</v>
      </c>
      <c r="B74">
        <f t="shared" si="22"/>
        <v>-2.4941487222219498</v>
      </c>
      <c r="C74">
        <f t="shared" si="27"/>
        <v>-2.3385393032841999</v>
      </c>
      <c r="D74">
        <f t="shared" si="28"/>
        <v>-2.3874965527479701</v>
      </c>
      <c r="E74">
        <f t="shared" si="29"/>
        <v>-2.3524224835554501</v>
      </c>
      <c r="F74">
        <f t="shared" si="30"/>
        <v>-2.2587366293327</v>
      </c>
      <c r="G74">
        <f t="shared" si="31"/>
        <v>-0.12875992341525599</v>
      </c>
      <c r="H74">
        <f t="shared" si="32"/>
        <v>2</v>
      </c>
      <c r="I74">
        <f t="shared" si="23"/>
        <v>0</v>
      </c>
      <c r="J74">
        <f t="shared" si="24"/>
        <v>0</v>
      </c>
      <c r="K74">
        <f t="shared" si="25"/>
        <v>0</v>
      </c>
      <c r="L74">
        <f t="shared" si="26"/>
        <v>0</v>
      </c>
      <c r="M74" s="3">
        <f t="shared" si="33"/>
        <v>0</v>
      </c>
      <c r="P74">
        <v>817776000</v>
      </c>
      <c r="Q74">
        <v>-2.4941487222219498</v>
      </c>
      <c r="R74">
        <v>-2.3385393032841999</v>
      </c>
      <c r="S74">
        <v>-2.3874965527479701</v>
      </c>
      <c r="T74">
        <v>-2.3524224835554501</v>
      </c>
      <c r="U74">
        <v>-2.2587366293327</v>
      </c>
      <c r="V74">
        <v>-0.12875992341525599</v>
      </c>
      <c r="W74">
        <v>0</v>
      </c>
      <c r="X74">
        <v>0</v>
      </c>
      <c r="Y74">
        <v>0</v>
      </c>
      <c r="Z74">
        <v>0</v>
      </c>
      <c r="AC74">
        <v>817776000</v>
      </c>
      <c r="AD74">
        <v>-2.8872852887008902</v>
      </c>
      <c r="AE74">
        <v>-2.5476387056646601</v>
      </c>
      <c r="AF74">
        <v>-2.6415008670586602</v>
      </c>
      <c r="AG74">
        <v>-2.5651067926611102</v>
      </c>
      <c r="AH74">
        <v>-2.3744558896644898</v>
      </c>
      <c r="AI74">
        <v>-0.26704497739414201</v>
      </c>
      <c r="AJ74">
        <v>0</v>
      </c>
      <c r="AK74">
        <v>0</v>
      </c>
      <c r="AL74">
        <v>0</v>
      </c>
      <c r="AM74">
        <v>0</v>
      </c>
    </row>
    <row r="75" spans="1:39" x14ac:dyDescent="0.35">
      <c r="A75" s="1">
        <v>35125</v>
      </c>
      <c r="B75">
        <f t="shared" si="22"/>
        <v>-3.7138922376179901</v>
      </c>
      <c r="C75">
        <f t="shared" si="27"/>
        <v>-2.8800273122865701</v>
      </c>
      <c r="D75">
        <f t="shared" si="28"/>
        <v>-3.1423747553093602</v>
      </c>
      <c r="E75">
        <f t="shared" si="29"/>
        <v>-2.9544231757202999</v>
      </c>
      <c r="F75">
        <f t="shared" si="30"/>
        <v>-2.4523883479487001</v>
      </c>
      <c r="G75">
        <f t="shared" si="31"/>
        <v>-0.68998640736064099</v>
      </c>
      <c r="H75">
        <f t="shared" si="32"/>
        <v>2</v>
      </c>
      <c r="I75">
        <f t="shared" si="23"/>
        <v>0</v>
      </c>
      <c r="J75">
        <f t="shared" si="24"/>
        <v>0</v>
      </c>
      <c r="K75">
        <f t="shared" si="25"/>
        <v>0</v>
      </c>
      <c r="L75">
        <f t="shared" si="26"/>
        <v>0</v>
      </c>
      <c r="M75" s="3">
        <f t="shared" si="33"/>
        <v>0</v>
      </c>
      <c r="P75">
        <v>825638400</v>
      </c>
      <c r="Q75">
        <v>-3.7138922376179901</v>
      </c>
      <c r="R75">
        <v>-2.8800273122865701</v>
      </c>
      <c r="S75">
        <v>-3.1423747553093602</v>
      </c>
      <c r="T75">
        <v>-2.9544231757202999</v>
      </c>
      <c r="U75">
        <v>-2.4523883479487001</v>
      </c>
      <c r="V75">
        <v>-0.68998640736064099</v>
      </c>
      <c r="W75">
        <v>0</v>
      </c>
      <c r="X75">
        <v>0</v>
      </c>
      <c r="Y75">
        <v>0</v>
      </c>
      <c r="Z75">
        <v>0</v>
      </c>
      <c r="AC75">
        <v>825638400</v>
      </c>
      <c r="AD75">
        <v>-4.0579027510033603</v>
      </c>
      <c r="AE75">
        <v>-3.06252353580029</v>
      </c>
      <c r="AF75">
        <v>-3.3375990089892098</v>
      </c>
      <c r="AG75">
        <v>-3.1137160741447598</v>
      </c>
      <c r="AH75">
        <v>-2.5549883975516798</v>
      </c>
      <c r="AI75">
        <v>-0.78261061143751098</v>
      </c>
      <c r="AJ75">
        <v>0</v>
      </c>
      <c r="AK75">
        <v>0</v>
      </c>
      <c r="AL75">
        <v>0</v>
      </c>
      <c r="AM75">
        <v>0</v>
      </c>
    </row>
    <row r="76" spans="1:39" x14ac:dyDescent="0.35">
      <c r="A76" s="1">
        <v>35217</v>
      </c>
      <c r="B76">
        <f t="shared" si="22"/>
        <v>-4.2478106786651502</v>
      </c>
      <c r="C76">
        <f t="shared" si="27"/>
        <v>-3.2202513954505001</v>
      </c>
      <c r="D76">
        <f t="shared" si="28"/>
        <v>-3.54353822802541</v>
      </c>
      <c r="E76">
        <f t="shared" si="29"/>
        <v>-3.3119283059210001</v>
      </c>
      <c r="F76">
        <f t="shared" si="30"/>
        <v>-2.6932782918689901</v>
      </c>
      <c r="G76">
        <f t="shared" si="31"/>
        <v>-0.85025993615641504</v>
      </c>
      <c r="H76">
        <f t="shared" si="32"/>
        <v>2</v>
      </c>
      <c r="I76">
        <f t="shared" si="23"/>
        <v>0</v>
      </c>
      <c r="J76">
        <f t="shared" si="24"/>
        <v>0</v>
      </c>
      <c r="K76">
        <f t="shared" si="25"/>
        <v>0</v>
      </c>
      <c r="L76">
        <f t="shared" si="26"/>
        <v>0</v>
      </c>
      <c r="M76" s="3">
        <f t="shared" si="33"/>
        <v>0</v>
      </c>
      <c r="P76">
        <v>833587200</v>
      </c>
      <c r="Q76">
        <v>-4.2478106786651502</v>
      </c>
      <c r="R76">
        <v>-3.2202513954505001</v>
      </c>
      <c r="S76">
        <v>-3.54353822802541</v>
      </c>
      <c r="T76">
        <v>-3.3119283059210001</v>
      </c>
      <c r="U76">
        <v>-2.6932782918689901</v>
      </c>
      <c r="V76">
        <v>-0.85025993615641504</v>
      </c>
      <c r="W76">
        <v>0</v>
      </c>
      <c r="X76">
        <v>0</v>
      </c>
      <c r="Y76">
        <v>0</v>
      </c>
      <c r="Z76">
        <v>0</v>
      </c>
      <c r="AC76">
        <v>833587200</v>
      </c>
      <c r="AD76">
        <v>-4.5629680847280296</v>
      </c>
      <c r="AE76">
        <v>-3.3879203101880702</v>
      </c>
      <c r="AF76">
        <v>-3.7126476278418199</v>
      </c>
      <c r="AG76">
        <v>-3.4483532359875699</v>
      </c>
      <c r="AH76">
        <v>-2.7887737481632602</v>
      </c>
      <c r="AI76">
        <v>-0.92387387967854395</v>
      </c>
      <c r="AJ76">
        <v>0</v>
      </c>
      <c r="AK76">
        <v>0</v>
      </c>
      <c r="AL76">
        <v>0</v>
      </c>
      <c r="AM76">
        <v>0</v>
      </c>
    </row>
    <row r="77" spans="1:39" x14ac:dyDescent="0.35">
      <c r="A77" s="1">
        <v>35309</v>
      </c>
      <c r="B77">
        <f t="shared" si="22"/>
        <v>-5.5098375648168396</v>
      </c>
      <c r="C77">
        <f t="shared" si="27"/>
        <v>-3.5148839217935901</v>
      </c>
      <c r="D77">
        <f t="shared" si="28"/>
        <v>-4.1425287252828502</v>
      </c>
      <c r="E77">
        <f t="shared" si="29"/>
        <v>-3.6928699412007999</v>
      </c>
      <c r="F77">
        <f t="shared" si="30"/>
        <v>-2.4917926705751698</v>
      </c>
      <c r="G77">
        <f t="shared" si="31"/>
        <v>-1.6507360547076599</v>
      </c>
      <c r="H77">
        <f t="shared" si="32"/>
        <v>2</v>
      </c>
      <c r="I77">
        <f t="shared" si="23"/>
        <v>0</v>
      </c>
      <c r="J77">
        <f t="shared" si="24"/>
        <v>0</v>
      </c>
      <c r="K77">
        <f t="shared" si="25"/>
        <v>0</v>
      </c>
      <c r="L77">
        <f t="shared" si="26"/>
        <v>0</v>
      </c>
      <c r="M77" s="3">
        <f t="shared" si="33"/>
        <v>0</v>
      </c>
      <c r="P77">
        <v>841536000</v>
      </c>
      <c r="Q77">
        <v>-5.5098375648168396</v>
      </c>
      <c r="R77">
        <v>-3.5148839217935901</v>
      </c>
      <c r="S77">
        <v>-4.1425287252828502</v>
      </c>
      <c r="T77">
        <v>-3.6928699412007999</v>
      </c>
      <c r="U77">
        <v>-2.4917926705751698</v>
      </c>
      <c r="V77">
        <v>-1.6507360547076599</v>
      </c>
      <c r="W77">
        <v>0</v>
      </c>
      <c r="X77">
        <v>0</v>
      </c>
      <c r="Y77">
        <v>0</v>
      </c>
      <c r="Z77">
        <v>0</v>
      </c>
      <c r="AC77">
        <v>841536000</v>
      </c>
      <c r="AD77">
        <v>-5.7696546210478203</v>
      </c>
      <c r="AE77">
        <v>-3.6511060837234401</v>
      </c>
      <c r="AF77">
        <v>-4.2365721377433196</v>
      </c>
      <c r="AG77">
        <v>-3.76006342940153</v>
      </c>
      <c r="AH77">
        <v>-2.5708767516713</v>
      </c>
      <c r="AI77">
        <v>-1.6656953860720101</v>
      </c>
      <c r="AJ77">
        <v>0</v>
      </c>
      <c r="AK77">
        <v>0</v>
      </c>
      <c r="AL77">
        <v>0</v>
      </c>
      <c r="AM77">
        <v>0</v>
      </c>
    </row>
    <row r="78" spans="1:39" x14ac:dyDescent="0.35">
      <c r="A78" s="1">
        <v>35400</v>
      </c>
      <c r="B78">
        <f t="shared" si="22"/>
        <v>-4.9153112216951804</v>
      </c>
      <c r="C78">
        <f t="shared" si="27"/>
        <v>-3.2352608112765902</v>
      </c>
      <c r="D78">
        <f t="shared" si="28"/>
        <v>-3.7638319454414999</v>
      </c>
      <c r="E78">
        <f t="shared" si="29"/>
        <v>-3.3851517553592201</v>
      </c>
      <c r="F78">
        <f t="shared" si="30"/>
        <v>-2.3736644115224701</v>
      </c>
      <c r="G78">
        <f t="shared" si="31"/>
        <v>-1.39016753391901</v>
      </c>
      <c r="H78">
        <f t="shared" si="32"/>
        <v>2</v>
      </c>
      <c r="I78">
        <f t="shared" si="23"/>
        <v>0</v>
      </c>
      <c r="J78">
        <f t="shared" si="24"/>
        <v>0</v>
      </c>
      <c r="K78">
        <f t="shared" si="25"/>
        <v>0</v>
      </c>
      <c r="L78">
        <f t="shared" si="26"/>
        <v>0</v>
      </c>
      <c r="M78" s="3">
        <f t="shared" si="33"/>
        <v>0</v>
      </c>
      <c r="P78">
        <v>849398400</v>
      </c>
      <c r="Q78">
        <v>-4.9153112216951804</v>
      </c>
      <c r="R78">
        <v>-3.2352608112765902</v>
      </c>
      <c r="S78">
        <v>-3.7638319454414999</v>
      </c>
      <c r="T78">
        <v>-3.3851517553592201</v>
      </c>
      <c r="U78">
        <v>-2.3736644115224701</v>
      </c>
      <c r="V78">
        <v>-1.39016753391901</v>
      </c>
      <c r="W78">
        <v>0</v>
      </c>
      <c r="X78">
        <v>0</v>
      </c>
      <c r="Y78">
        <v>0</v>
      </c>
      <c r="Z78">
        <v>0</v>
      </c>
      <c r="AC78">
        <v>849398400</v>
      </c>
      <c r="AD78">
        <v>-5.1467839995865301</v>
      </c>
      <c r="AE78">
        <v>-3.3577259522630301</v>
      </c>
      <c r="AF78">
        <v>-3.8521365059630699</v>
      </c>
      <c r="AG78">
        <v>-3.4497375407001698</v>
      </c>
      <c r="AH78">
        <v>-2.4455009333812199</v>
      </c>
      <c r="AI78">
        <v>-1.40663557258182</v>
      </c>
      <c r="AJ78">
        <v>0</v>
      </c>
      <c r="AK78">
        <v>0</v>
      </c>
      <c r="AL78">
        <v>0</v>
      </c>
      <c r="AM78">
        <v>0</v>
      </c>
    </row>
    <row r="79" spans="1:39" x14ac:dyDescent="0.35">
      <c r="A79" s="1">
        <v>35490</v>
      </c>
      <c r="B79">
        <f t="shared" si="22"/>
        <v>-4.5012198656066804</v>
      </c>
      <c r="C79">
        <f t="shared" si="27"/>
        <v>-3.23980595941969</v>
      </c>
      <c r="D79">
        <f t="shared" si="28"/>
        <v>-3.6366672529320101</v>
      </c>
      <c r="E79">
        <f t="shared" si="29"/>
        <v>-3.3523469403954902</v>
      </c>
      <c r="F79">
        <f t="shared" si="30"/>
        <v>-2.5929029418490899</v>
      </c>
      <c r="G79">
        <f t="shared" si="31"/>
        <v>-1.0437643110829</v>
      </c>
      <c r="H79">
        <f t="shared" si="32"/>
        <v>2</v>
      </c>
      <c r="I79">
        <f t="shared" si="23"/>
        <v>0</v>
      </c>
      <c r="J79">
        <f t="shared" si="24"/>
        <v>0</v>
      </c>
      <c r="K79">
        <f t="shared" si="25"/>
        <v>0</v>
      </c>
      <c r="L79">
        <f t="shared" si="26"/>
        <v>0</v>
      </c>
      <c r="M79" s="3">
        <f t="shared" si="33"/>
        <v>0</v>
      </c>
      <c r="P79">
        <v>857174400</v>
      </c>
      <c r="Q79">
        <v>-4.5012198656066804</v>
      </c>
      <c r="R79">
        <v>-3.23980595941969</v>
      </c>
      <c r="S79">
        <v>-3.6366672529320101</v>
      </c>
      <c r="T79">
        <v>-3.3523469403954902</v>
      </c>
      <c r="U79">
        <v>-2.5929029418490899</v>
      </c>
      <c r="V79">
        <v>-1.0437643110829</v>
      </c>
      <c r="W79">
        <v>0</v>
      </c>
      <c r="X79">
        <v>0</v>
      </c>
      <c r="Y79">
        <v>0</v>
      </c>
      <c r="Z79">
        <v>0</v>
      </c>
      <c r="AC79">
        <v>857174400</v>
      </c>
      <c r="AD79">
        <v>-4.7646081026009499</v>
      </c>
      <c r="AE79">
        <v>-3.38006461001414</v>
      </c>
      <c r="AF79">
        <v>-3.7626865801708398</v>
      </c>
      <c r="AG79">
        <v>-3.4512719395939602</v>
      </c>
      <c r="AH79">
        <v>-2.6740980173945399</v>
      </c>
      <c r="AI79">
        <v>-1.0885885627762799</v>
      </c>
      <c r="AJ79">
        <v>0</v>
      </c>
      <c r="AK79">
        <v>0</v>
      </c>
      <c r="AL79">
        <v>0</v>
      </c>
      <c r="AM79">
        <v>0</v>
      </c>
    </row>
    <row r="80" spans="1:39" x14ac:dyDescent="0.35">
      <c r="A80" s="1">
        <v>35582</v>
      </c>
      <c r="B80">
        <f t="shared" si="22"/>
        <v>-4.5651424118229498</v>
      </c>
      <c r="C80">
        <f t="shared" si="27"/>
        <v>-3.17609832842526</v>
      </c>
      <c r="D80">
        <f t="shared" si="28"/>
        <v>-3.6131141477206201</v>
      </c>
      <c r="E80">
        <f t="shared" si="29"/>
        <v>-3.3000262342438602</v>
      </c>
      <c r="F80">
        <f t="shared" si="30"/>
        <v>-2.4637415003601699</v>
      </c>
      <c r="G80">
        <f t="shared" si="31"/>
        <v>-1.14937264736043</v>
      </c>
      <c r="H80">
        <f t="shared" si="32"/>
        <v>2</v>
      </c>
      <c r="I80">
        <f t="shared" si="23"/>
        <v>0</v>
      </c>
      <c r="J80">
        <f t="shared" si="24"/>
        <v>0</v>
      </c>
      <c r="K80">
        <f t="shared" si="25"/>
        <v>0</v>
      </c>
      <c r="L80">
        <f t="shared" si="26"/>
        <v>0</v>
      </c>
      <c r="M80" s="3">
        <f t="shared" si="33"/>
        <v>0</v>
      </c>
      <c r="P80">
        <v>865123200</v>
      </c>
      <c r="Q80">
        <v>-4.5651424118229498</v>
      </c>
      <c r="R80">
        <v>-3.17609832842526</v>
      </c>
      <c r="S80">
        <v>-3.6131141477206201</v>
      </c>
      <c r="T80">
        <v>-3.3000262342438602</v>
      </c>
      <c r="U80">
        <v>-2.4637415003601699</v>
      </c>
      <c r="V80">
        <v>-1.14937264736043</v>
      </c>
      <c r="W80">
        <v>0</v>
      </c>
      <c r="X80">
        <v>0</v>
      </c>
      <c r="Y80">
        <v>0</v>
      </c>
      <c r="Z80">
        <v>0</v>
      </c>
      <c r="AC80">
        <v>865123200</v>
      </c>
      <c r="AD80">
        <v>-4.8550184830347298</v>
      </c>
      <c r="AE80">
        <v>-3.3290849862713299</v>
      </c>
      <c r="AF80">
        <v>-3.7507804288383602</v>
      </c>
      <c r="AG80">
        <v>-3.4075640300880798</v>
      </c>
      <c r="AH80">
        <v>-2.5510248696754201</v>
      </c>
      <c r="AI80">
        <v>-1.1997555591629301</v>
      </c>
      <c r="AJ80">
        <v>0</v>
      </c>
      <c r="AK80">
        <v>0</v>
      </c>
      <c r="AL80">
        <v>0</v>
      </c>
      <c r="AM80">
        <v>0</v>
      </c>
    </row>
    <row r="81" spans="1:39" x14ac:dyDescent="0.35">
      <c r="A81" s="1">
        <v>35674</v>
      </c>
      <c r="B81">
        <f t="shared" si="22"/>
        <v>-5.4201594088383498</v>
      </c>
      <c r="C81">
        <f t="shared" si="27"/>
        <v>-3.49733753832917</v>
      </c>
      <c r="D81">
        <f t="shared" si="28"/>
        <v>-4.10228851515072</v>
      </c>
      <c r="E81">
        <f t="shared" si="29"/>
        <v>-3.6688880963874801</v>
      </c>
      <c r="F81">
        <f t="shared" si="30"/>
        <v>-2.5112383173025901</v>
      </c>
      <c r="G81">
        <f t="shared" si="31"/>
        <v>-1.59105019784812</v>
      </c>
      <c r="H81">
        <f t="shared" si="32"/>
        <v>2</v>
      </c>
      <c r="I81">
        <f t="shared" si="23"/>
        <v>0</v>
      </c>
      <c r="J81">
        <f t="shared" si="24"/>
        <v>0</v>
      </c>
      <c r="K81">
        <f t="shared" si="25"/>
        <v>0</v>
      </c>
      <c r="L81">
        <f t="shared" si="26"/>
        <v>0</v>
      </c>
      <c r="M81" s="3">
        <f t="shared" si="33"/>
        <v>0</v>
      </c>
      <c r="P81">
        <v>873072000</v>
      </c>
      <c r="Q81">
        <v>-5.4201594088383498</v>
      </c>
      <c r="R81">
        <v>-3.49733753832917</v>
      </c>
      <c r="S81">
        <v>-4.10228851515072</v>
      </c>
      <c r="T81">
        <v>-3.6688880963874801</v>
      </c>
      <c r="U81">
        <v>-2.5112383173025901</v>
      </c>
      <c r="V81">
        <v>-1.59105019784812</v>
      </c>
      <c r="W81">
        <v>0</v>
      </c>
      <c r="X81">
        <v>0</v>
      </c>
      <c r="Y81">
        <v>0</v>
      </c>
      <c r="Z81">
        <v>0</v>
      </c>
      <c r="AC81">
        <v>873072000</v>
      </c>
      <c r="AD81">
        <v>-5.7766372109263404</v>
      </c>
      <c r="AE81">
        <v>-3.68264806805694</v>
      </c>
      <c r="AF81">
        <v>-4.2613270735351696</v>
      </c>
      <c r="AG81">
        <v>-3.7903423195060699</v>
      </c>
      <c r="AH81">
        <v>-2.6149413559968799</v>
      </c>
      <c r="AI81">
        <v>-1.6463857175382699</v>
      </c>
      <c r="AJ81">
        <v>0</v>
      </c>
      <c r="AK81">
        <v>0</v>
      </c>
      <c r="AL81">
        <v>0</v>
      </c>
      <c r="AM81">
        <v>0</v>
      </c>
    </row>
    <row r="82" spans="1:39" x14ac:dyDescent="0.35">
      <c r="A82" s="1">
        <v>35765</v>
      </c>
      <c r="B82">
        <f t="shared" si="22"/>
        <v>-5.8678671938436402</v>
      </c>
      <c r="C82">
        <f t="shared" si="27"/>
        <v>-3.5498064135093799</v>
      </c>
      <c r="D82">
        <f t="shared" si="28"/>
        <v>-4.2791059679312102</v>
      </c>
      <c r="E82">
        <f t="shared" si="29"/>
        <v>-3.7566194452199602</v>
      </c>
      <c r="F82">
        <f t="shared" si="30"/>
        <v>-2.36101302352442</v>
      </c>
      <c r="G82">
        <f t="shared" si="31"/>
        <v>-1.91809294440678</v>
      </c>
      <c r="H82">
        <f t="shared" si="32"/>
        <v>2</v>
      </c>
      <c r="I82">
        <f t="shared" si="23"/>
        <v>0</v>
      </c>
      <c r="J82">
        <f t="shared" si="24"/>
        <v>0</v>
      </c>
      <c r="K82">
        <f t="shared" si="25"/>
        <v>0</v>
      </c>
      <c r="L82">
        <f t="shared" si="26"/>
        <v>0</v>
      </c>
      <c r="M82" s="3">
        <f t="shared" si="33"/>
        <v>0</v>
      </c>
      <c r="P82">
        <v>880934400</v>
      </c>
      <c r="Q82">
        <v>-5.8678671938436402</v>
      </c>
      <c r="R82">
        <v>-3.5498064135093799</v>
      </c>
      <c r="S82">
        <v>-4.2791059679312102</v>
      </c>
      <c r="T82">
        <v>-3.7566194452199602</v>
      </c>
      <c r="U82">
        <v>-2.36101302352442</v>
      </c>
      <c r="V82">
        <v>-1.91809294440678</v>
      </c>
      <c r="W82">
        <v>0</v>
      </c>
      <c r="X82">
        <v>0</v>
      </c>
      <c r="Y82">
        <v>0</v>
      </c>
      <c r="Z82">
        <v>0</v>
      </c>
      <c r="AC82">
        <v>880934400</v>
      </c>
      <c r="AD82">
        <v>-6.2212208676390004</v>
      </c>
      <c r="AE82">
        <v>-3.7322313035855599</v>
      </c>
      <c r="AF82">
        <v>-4.4200696386012197</v>
      </c>
      <c r="AG82">
        <v>-3.8602405002321798</v>
      </c>
      <c r="AH82">
        <v>-2.4631173385791598</v>
      </c>
      <c r="AI82">
        <v>-1.9569523000220601</v>
      </c>
      <c r="AJ82">
        <v>0</v>
      </c>
      <c r="AK82">
        <v>0</v>
      </c>
      <c r="AL82">
        <v>0</v>
      </c>
      <c r="AM82">
        <v>0</v>
      </c>
    </row>
    <row r="83" spans="1:39" x14ac:dyDescent="0.35">
      <c r="A83" s="1">
        <v>35855</v>
      </c>
      <c r="B83">
        <f t="shared" si="22"/>
        <v>-6.2220271197224202</v>
      </c>
      <c r="C83">
        <f t="shared" si="27"/>
        <v>-4.2030636043475198</v>
      </c>
      <c r="D83">
        <f t="shared" si="28"/>
        <v>-4.8382623034707297</v>
      </c>
      <c r="E83">
        <f t="shared" si="29"/>
        <v>-4.3831917394982902</v>
      </c>
      <c r="F83">
        <f t="shared" si="30"/>
        <v>-3.1676591395205</v>
      </c>
      <c r="G83">
        <f t="shared" si="31"/>
        <v>-1.6706031639502299</v>
      </c>
      <c r="H83">
        <f t="shared" si="32"/>
        <v>2</v>
      </c>
      <c r="I83">
        <f t="shared" si="23"/>
        <v>0</v>
      </c>
      <c r="J83">
        <f t="shared" si="24"/>
        <v>0</v>
      </c>
      <c r="K83">
        <f t="shared" si="25"/>
        <v>0</v>
      </c>
      <c r="L83">
        <f t="shared" si="26"/>
        <v>0</v>
      </c>
      <c r="M83" s="3">
        <f t="shared" si="33"/>
        <v>0</v>
      </c>
      <c r="P83">
        <v>888710400</v>
      </c>
      <c r="Q83">
        <v>-6.2220271197224202</v>
      </c>
      <c r="R83">
        <v>-4.2030636043475198</v>
      </c>
      <c r="S83">
        <v>-4.8382623034707297</v>
      </c>
      <c r="T83">
        <v>-4.3831917394982902</v>
      </c>
      <c r="U83">
        <v>-3.1676591395205</v>
      </c>
      <c r="V83">
        <v>-1.6706031639502299</v>
      </c>
      <c r="W83">
        <v>0</v>
      </c>
      <c r="X83">
        <v>0</v>
      </c>
      <c r="Y83">
        <v>0</v>
      </c>
      <c r="Z83">
        <v>0</v>
      </c>
      <c r="AC83">
        <v>888710400</v>
      </c>
      <c r="AD83">
        <v>-6.5383793929629297</v>
      </c>
      <c r="AE83">
        <v>-4.36836254782484</v>
      </c>
      <c r="AF83">
        <v>-4.96805199420601</v>
      </c>
      <c r="AG83">
        <v>-4.4799669181554798</v>
      </c>
      <c r="AH83">
        <v>-3.26188997669085</v>
      </c>
      <c r="AI83">
        <v>-1.70616201751513</v>
      </c>
      <c r="AJ83">
        <v>0</v>
      </c>
      <c r="AK83">
        <v>0</v>
      </c>
      <c r="AL83">
        <v>0</v>
      </c>
      <c r="AM83">
        <v>0</v>
      </c>
    </row>
    <row r="84" spans="1:39" x14ac:dyDescent="0.35">
      <c r="A84" s="1">
        <v>35947</v>
      </c>
      <c r="B84">
        <f t="shared" si="22"/>
        <v>-6.76829040350247</v>
      </c>
      <c r="C84">
        <f t="shared" si="27"/>
        <v>-4.26739009974703</v>
      </c>
      <c r="D84">
        <f t="shared" si="28"/>
        <v>-5.0542139365746896</v>
      </c>
      <c r="E84">
        <f t="shared" si="29"/>
        <v>-4.4905157305387302</v>
      </c>
      <c r="F84">
        <f t="shared" si="30"/>
        <v>-2.9848293596066502</v>
      </c>
      <c r="G84">
        <f t="shared" si="31"/>
        <v>-2.0693845769680199</v>
      </c>
      <c r="H84">
        <f t="shared" si="32"/>
        <v>2</v>
      </c>
      <c r="I84">
        <f t="shared" si="23"/>
        <v>0</v>
      </c>
      <c r="J84">
        <f t="shared" si="24"/>
        <v>0</v>
      </c>
      <c r="K84">
        <f t="shared" si="25"/>
        <v>0</v>
      </c>
      <c r="L84">
        <f t="shared" si="26"/>
        <v>0</v>
      </c>
      <c r="M84" s="3">
        <f t="shared" si="33"/>
        <v>0</v>
      </c>
      <c r="P84">
        <v>896659200</v>
      </c>
      <c r="Q84">
        <v>-6.76829040350247</v>
      </c>
      <c r="R84">
        <v>-4.26739009974703</v>
      </c>
      <c r="S84">
        <v>-5.0542139365746896</v>
      </c>
      <c r="T84">
        <v>-4.4905157305387302</v>
      </c>
      <c r="U84">
        <v>-2.9848293596066502</v>
      </c>
      <c r="V84">
        <v>-2.0693845769680199</v>
      </c>
      <c r="W84">
        <v>0</v>
      </c>
      <c r="X84">
        <v>0</v>
      </c>
      <c r="Y84">
        <v>0</v>
      </c>
      <c r="Z84">
        <v>0</v>
      </c>
      <c r="AC84">
        <v>896659200</v>
      </c>
      <c r="AD84">
        <v>-7.00382885048323</v>
      </c>
      <c r="AE84">
        <v>-4.3901105494201103</v>
      </c>
      <c r="AF84">
        <v>-5.1124179750388201</v>
      </c>
      <c r="AG84">
        <v>-4.5245345682314904</v>
      </c>
      <c r="AH84">
        <v>-3.0573984945451298</v>
      </c>
      <c r="AI84">
        <v>-2.0550194804936699</v>
      </c>
      <c r="AJ84">
        <v>0</v>
      </c>
      <c r="AK84">
        <v>0</v>
      </c>
      <c r="AL84">
        <v>0</v>
      </c>
      <c r="AM84">
        <v>0</v>
      </c>
    </row>
    <row r="85" spans="1:39" x14ac:dyDescent="0.35">
      <c r="A85" s="1">
        <v>36039</v>
      </c>
      <c r="B85">
        <f t="shared" si="22"/>
        <v>-7.47850157125752</v>
      </c>
      <c r="C85">
        <f t="shared" si="27"/>
        <v>-4.4539595097032603</v>
      </c>
      <c r="D85">
        <f t="shared" si="28"/>
        <v>-5.4055295446803502</v>
      </c>
      <c r="E85">
        <f t="shared" si="29"/>
        <v>-4.7238034752251901</v>
      </c>
      <c r="F85">
        <f t="shared" si="30"/>
        <v>-2.9028545339360901</v>
      </c>
      <c r="G85">
        <f t="shared" si="31"/>
        <v>-2.5026750107442499</v>
      </c>
      <c r="H85">
        <f t="shared" si="32"/>
        <v>2</v>
      </c>
      <c r="I85">
        <f t="shared" si="23"/>
        <v>0</v>
      </c>
      <c r="J85">
        <f t="shared" si="24"/>
        <v>0</v>
      </c>
      <c r="K85">
        <f t="shared" si="25"/>
        <v>0</v>
      </c>
      <c r="L85">
        <f t="shared" si="26"/>
        <v>0</v>
      </c>
      <c r="M85" s="3">
        <f t="shared" si="33"/>
        <v>0</v>
      </c>
      <c r="P85">
        <v>904608000</v>
      </c>
      <c r="Q85">
        <v>-7.47850157125752</v>
      </c>
      <c r="R85">
        <v>-4.4539595097032603</v>
      </c>
      <c r="S85">
        <v>-5.4055295446803502</v>
      </c>
      <c r="T85">
        <v>-4.7238034752251901</v>
      </c>
      <c r="U85">
        <v>-2.9028545339360901</v>
      </c>
      <c r="V85">
        <v>-2.5026750107442499</v>
      </c>
      <c r="W85">
        <v>0</v>
      </c>
      <c r="X85">
        <v>0</v>
      </c>
      <c r="Y85">
        <v>0</v>
      </c>
      <c r="Z85">
        <v>0</v>
      </c>
      <c r="AC85">
        <v>904608000</v>
      </c>
      <c r="AD85">
        <v>-7.6014027573562801</v>
      </c>
      <c r="AE85">
        <v>-4.5177960508688901</v>
      </c>
      <c r="AF85">
        <v>-5.3699582830718002</v>
      </c>
      <c r="AG85">
        <v>-4.6763865178488899</v>
      </c>
      <c r="AH85">
        <v>-2.94549201620779</v>
      </c>
      <c r="AI85">
        <v>-2.4244662668639898</v>
      </c>
      <c r="AJ85">
        <v>0</v>
      </c>
      <c r="AK85">
        <v>0</v>
      </c>
      <c r="AL85">
        <v>0</v>
      </c>
      <c r="AM85">
        <v>0</v>
      </c>
    </row>
    <row r="86" spans="1:39" x14ac:dyDescent="0.35">
      <c r="A86" s="1">
        <v>36130</v>
      </c>
      <c r="B86">
        <f t="shared" si="22"/>
        <v>-8.1731889410598004</v>
      </c>
      <c r="C86">
        <f t="shared" si="27"/>
        <v>-4.7488794992976899</v>
      </c>
      <c r="D86">
        <f t="shared" si="28"/>
        <v>-5.8262228421756799</v>
      </c>
      <c r="E86">
        <f t="shared" si="29"/>
        <v>-5.0543899600993196</v>
      </c>
      <c r="F86">
        <f t="shared" si="30"/>
        <v>-2.9927579755804401</v>
      </c>
      <c r="G86">
        <f t="shared" si="31"/>
        <v>-2.83346486659523</v>
      </c>
      <c r="H86">
        <f t="shared" si="32"/>
        <v>2</v>
      </c>
      <c r="I86">
        <f t="shared" si="23"/>
        <v>0</v>
      </c>
      <c r="J86">
        <f t="shared" si="24"/>
        <v>0</v>
      </c>
      <c r="K86">
        <f t="shared" si="25"/>
        <v>0</v>
      </c>
      <c r="L86">
        <f t="shared" si="26"/>
        <v>0</v>
      </c>
      <c r="M86" s="3">
        <f t="shared" si="33"/>
        <v>0</v>
      </c>
      <c r="P86">
        <v>912470400</v>
      </c>
      <c r="Q86">
        <v>-8.1731889410598004</v>
      </c>
      <c r="R86">
        <v>-4.7488794992976899</v>
      </c>
      <c r="S86">
        <v>-5.8262228421756799</v>
      </c>
      <c r="T86">
        <v>-5.0543899600993196</v>
      </c>
      <c r="U86">
        <v>-2.9927579755804401</v>
      </c>
      <c r="V86">
        <v>-2.83346486659523</v>
      </c>
      <c r="W86">
        <v>0</v>
      </c>
      <c r="X86">
        <v>0</v>
      </c>
      <c r="Y86">
        <v>0</v>
      </c>
      <c r="Z86">
        <v>0</v>
      </c>
      <c r="AC86">
        <v>912470400</v>
      </c>
      <c r="AD86">
        <v>-8.2340193346855095</v>
      </c>
      <c r="AE86">
        <v>-4.7800625241918704</v>
      </c>
      <c r="AF86">
        <v>-5.73457191067443</v>
      </c>
      <c r="AG86">
        <v>-4.9577001659678404</v>
      </c>
      <c r="AH86">
        <v>-3.0189202172760399</v>
      </c>
      <c r="AI86">
        <v>-2.7156516933983599</v>
      </c>
      <c r="AJ86">
        <v>0</v>
      </c>
      <c r="AK86">
        <v>0</v>
      </c>
      <c r="AL86">
        <v>0</v>
      </c>
      <c r="AM86">
        <v>0</v>
      </c>
    </row>
    <row r="87" spans="1:39" x14ac:dyDescent="0.35">
      <c r="A87" s="1">
        <v>36220</v>
      </c>
      <c r="B87">
        <f t="shared" si="22"/>
        <v>-7.8163604219819298</v>
      </c>
      <c r="C87">
        <f t="shared" si="27"/>
        <v>-4.55542712948467</v>
      </c>
      <c r="D87">
        <f t="shared" si="28"/>
        <v>-7.8558506360536704</v>
      </c>
      <c r="E87">
        <f t="shared" si="29"/>
        <v>-7.0925563323799201</v>
      </c>
      <c r="F87">
        <f t="shared" si="30"/>
        <v>-2.7078336895031199</v>
      </c>
      <c r="G87">
        <f t="shared" si="31"/>
        <v>-5.1480169465505501</v>
      </c>
      <c r="H87">
        <f t="shared" si="32"/>
        <v>2</v>
      </c>
      <c r="I87">
        <f t="shared" si="23"/>
        <v>0</v>
      </c>
      <c r="J87">
        <f t="shared" si="24"/>
        <v>0</v>
      </c>
      <c r="K87">
        <f t="shared" si="25"/>
        <v>0</v>
      </c>
      <c r="L87">
        <f t="shared" si="26"/>
        <v>0</v>
      </c>
      <c r="M87" s="3">
        <f t="shared" si="33"/>
        <v>0</v>
      </c>
      <c r="P87">
        <v>920246400</v>
      </c>
      <c r="Q87">
        <v>-7.8163604219819298</v>
      </c>
      <c r="R87">
        <v>-4.55542712948467</v>
      </c>
      <c r="S87">
        <v>-7.8558506360536704</v>
      </c>
      <c r="T87">
        <v>-7.0925563323799201</v>
      </c>
      <c r="U87">
        <v>-2.7078336895031199</v>
      </c>
      <c r="V87">
        <v>-5.1480169465505501</v>
      </c>
      <c r="W87">
        <v>0</v>
      </c>
      <c r="X87">
        <v>0</v>
      </c>
      <c r="Y87">
        <v>0</v>
      </c>
      <c r="Z87">
        <v>0</v>
      </c>
      <c r="AC87">
        <v>920246400</v>
      </c>
      <c r="AD87">
        <v>-8.3649477447925307</v>
      </c>
      <c r="AE87">
        <v>-4.7188480363119796</v>
      </c>
      <c r="AF87">
        <v>-5.7264565811619104</v>
      </c>
      <c r="AG87">
        <v>-4.9063676231020699</v>
      </c>
      <c r="AH87">
        <v>-2.8597337496684001</v>
      </c>
      <c r="AI87">
        <v>-2.8667228314934898</v>
      </c>
      <c r="AJ87">
        <v>0</v>
      </c>
      <c r="AK87">
        <v>0</v>
      </c>
      <c r="AL87">
        <v>0</v>
      </c>
      <c r="AM87">
        <v>0</v>
      </c>
    </row>
    <row r="88" spans="1:39" x14ac:dyDescent="0.35">
      <c r="A88" s="1">
        <v>36312</v>
      </c>
      <c r="B88">
        <f t="shared" si="22"/>
        <v>-5.1037995719372002</v>
      </c>
      <c r="C88">
        <f t="shared" si="27"/>
        <v>-4.0534067014261197</v>
      </c>
      <c r="D88">
        <f t="shared" si="28"/>
        <v>-5.8295962328875701</v>
      </c>
      <c r="E88">
        <f t="shared" si="29"/>
        <v>-5.8620409595068299</v>
      </c>
      <c r="F88">
        <f t="shared" si="30"/>
        <v>-2.1039380782320798</v>
      </c>
      <c r="G88">
        <f t="shared" si="31"/>
        <v>-3.7256581546554899</v>
      </c>
      <c r="H88">
        <f t="shared" si="32"/>
        <v>2</v>
      </c>
      <c r="I88">
        <f t="shared" si="23"/>
        <v>0</v>
      </c>
      <c r="J88">
        <f t="shared" si="24"/>
        <v>0</v>
      </c>
      <c r="K88">
        <f t="shared" si="25"/>
        <v>0</v>
      </c>
      <c r="L88">
        <f t="shared" si="26"/>
        <v>0</v>
      </c>
      <c r="M88" s="3">
        <f t="shared" si="33"/>
        <v>0</v>
      </c>
      <c r="P88">
        <v>928195200</v>
      </c>
      <c r="Q88">
        <v>-5.1037995719372002</v>
      </c>
      <c r="R88">
        <v>-4.0534067014261197</v>
      </c>
      <c r="S88">
        <v>-5.8295962328875701</v>
      </c>
      <c r="T88">
        <v>-5.8620409595068299</v>
      </c>
      <c r="U88">
        <v>-2.1039380782320798</v>
      </c>
      <c r="V88">
        <v>-3.7256581546554899</v>
      </c>
      <c r="W88">
        <v>0</v>
      </c>
      <c r="X88">
        <v>0</v>
      </c>
      <c r="Y88">
        <v>0</v>
      </c>
      <c r="Z88">
        <v>0</v>
      </c>
      <c r="AC88">
        <v>928195200</v>
      </c>
      <c r="AD88">
        <v>-5.6112354862843903</v>
      </c>
      <c r="AE88">
        <v>-4.2025568467828798</v>
      </c>
      <c r="AF88">
        <v>-3.8112130978382099</v>
      </c>
      <c r="AG88">
        <v>-3.79125880347241</v>
      </c>
      <c r="AH88">
        <v>-2.2450477408356502</v>
      </c>
      <c r="AI88">
        <v>-1.56616535700255</v>
      </c>
      <c r="AJ88">
        <v>0</v>
      </c>
      <c r="AK88">
        <v>0</v>
      </c>
      <c r="AL88">
        <v>0</v>
      </c>
      <c r="AM88">
        <v>0</v>
      </c>
    </row>
    <row r="89" spans="1:39" x14ac:dyDescent="0.35">
      <c r="A89" s="1">
        <v>36404</v>
      </c>
      <c r="B89">
        <f t="shared" si="22"/>
        <v>-4.2380065049778599</v>
      </c>
      <c r="C89">
        <f t="shared" si="27"/>
        <v>-3.26073551379115</v>
      </c>
      <c r="D89">
        <f t="shared" si="28"/>
        <v>-5.0753275707063601</v>
      </c>
      <c r="E89">
        <f t="shared" si="29"/>
        <v>-4.8266877710165899</v>
      </c>
      <c r="F89">
        <f t="shared" si="30"/>
        <v>-1.72181057465818</v>
      </c>
      <c r="G89">
        <f t="shared" si="31"/>
        <v>-3.3535169960481799</v>
      </c>
      <c r="H89">
        <f t="shared" si="32"/>
        <v>2</v>
      </c>
      <c r="I89">
        <f t="shared" si="23"/>
        <v>0</v>
      </c>
      <c r="J89">
        <f t="shared" si="24"/>
        <v>0</v>
      </c>
      <c r="K89">
        <f t="shared" si="25"/>
        <v>0</v>
      </c>
      <c r="L89">
        <f t="shared" si="26"/>
        <v>0</v>
      </c>
      <c r="M89" s="3">
        <f t="shared" si="33"/>
        <v>0</v>
      </c>
      <c r="P89">
        <v>936144000</v>
      </c>
      <c r="Q89">
        <v>-4.2380065049778599</v>
      </c>
      <c r="R89">
        <v>-3.26073551379115</v>
      </c>
      <c r="S89">
        <v>-5.0753275707063601</v>
      </c>
      <c r="T89">
        <v>-4.8266877710165899</v>
      </c>
      <c r="U89">
        <v>-1.72181057465818</v>
      </c>
      <c r="V89">
        <v>-3.3535169960481799</v>
      </c>
      <c r="W89">
        <v>0</v>
      </c>
      <c r="X89">
        <v>0</v>
      </c>
      <c r="Y89">
        <v>0</v>
      </c>
      <c r="Z89">
        <v>0</v>
      </c>
      <c r="AC89">
        <v>936144000</v>
      </c>
      <c r="AD89">
        <v>-4.70593258549592</v>
      </c>
      <c r="AE89">
        <v>-3.39622114123677</v>
      </c>
      <c r="AF89">
        <v>-3.1644222009594598</v>
      </c>
      <c r="AG89">
        <v>-2.8676011816538902</v>
      </c>
      <c r="AH89">
        <v>-1.8525491802554901</v>
      </c>
      <c r="AI89">
        <v>-1.3118730207039599</v>
      </c>
      <c r="AJ89">
        <v>0</v>
      </c>
      <c r="AK89">
        <v>0</v>
      </c>
      <c r="AL89">
        <v>0</v>
      </c>
      <c r="AM89">
        <v>0</v>
      </c>
    </row>
    <row r="90" spans="1:39" x14ac:dyDescent="0.35">
      <c r="A90" s="1">
        <v>36495</v>
      </c>
      <c r="B90">
        <f t="shared" si="22"/>
        <v>-1.90544655811746</v>
      </c>
      <c r="C90">
        <f t="shared" si="27"/>
        <v>-2.6273476502577102</v>
      </c>
      <c r="D90">
        <f t="shared" si="28"/>
        <v>-3.2366367072325599</v>
      </c>
      <c r="E90">
        <f t="shared" si="29"/>
        <v>-2.5221429617087199</v>
      </c>
      <c r="F90">
        <f t="shared" si="30"/>
        <v>-1.51149660723163</v>
      </c>
      <c r="G90">
        <f t="shared" si="31"/>
        <v>-1.7251401000009201</v>
      </c>
      <c r="H90">
        <f t="shared" si="32"/>
        <v>2</v>
      </c>
      <c r="I90">
        <f t="shared" si="23"/>
        <v>0</v>
      </c>
      <c r="J90">
        <f t="shared" si="24"/>
        <v>0</v>
      </c>
      <c r="K90">
        <f t="shared" si="25"/>
        <v>0</v>
      </c>
      <c r="L90">
        <f t="shared" si="26"/>
        <v>0</v>
      </c>
      <c r="M90" s="3">
        <f t="shared" si="33"/>
        <v>0</v>
      </c>
      <c r="P90">
        <v>944006400</v>
      </c>
      <c r="Q90">
        <v>-1.90544655811746</v>
      </c>
      <c r="R90">
        <v>-2.6273476502577102</v>
      </c>
      <c r="S90">
        <v>-3.2366367072325599</v>
      </c>
      <c r="T90">
        <v>-2.5221429617087199</v>
      </c>
      <c r="U90">
        <v>-1.51149660723163</v>
      </c>
      <c r="V90">
        <v>-1.7251401000009201</v>
      </c>
      <c r="W90">
        <v>0</v>
      </c>
      <c r="X90">
        <v>0</v>
      </c>
      <c r="Y90">
        <v>0</v>
      </c>
      <c r="Z90">
        <v>0</v>
      </c>
      <c r="AC90">
        <v>944006400</v>
      </c>
      <c r="AD90">
        <v>-2.33545471608682</v>
      </c>
      <c r="AE90">
        <v>-2.7497558511692599</v>
      </c>
      <c r="AF90">
        <v>-1.4297631945923801</v>
      </c>
      <c r="AG90">
        <v>-0.67113363336828602</v>
      </c>
      <c r="AH90">
        <v>-1.6322710534448901</v>
      </c>
      <c r="AI90">
        <v>0.20250785885253</v>
      </c>
      <c r="AJ90">
        <v>0</v>
      </c>
      <c r="AK90">
        <v>0</v>
      </c>
      <c r="AL90">
        <v>0</v>
      </c>
      <c r="AM90">
        <v>0</v>
      </c>
    </row>
    <row r="91" spans="1:39" x14ac:dyDescent="0.35">
      <c r="A91" s="1">
        <v>36586</v>
      </c>
      <c r="B91">
        <f t="shared" si="22"/>
        <v>-2.2427332263654098</v>
      </c>
      <c r="C91">
        <f t="shared" si="27"/>
        <v>-2.4222373154544798</v>
      </c>
      <c r="D91">
        <f t="shared" si="28"/>
        <v>-3.70462519704405</v>
      </c>
      <c r="E91">
        <f t="shared" si="29"/>
        <v>-3.92032810720498</v>
      </c>
      <c r="F91">
        <f t="shared" si="30"/>
        <v>-1.6064656044793699</v>
      </c>
      <c r="G91">
        <f t="shared" si="31"/>
        <v>-2.0981595925646701</v>
      </c>
      <c r="H91">
        <f t="shared" si="32"/>
        <v>2</v>
      </c>
      <c r="I91">
        <f t="shared" si="23"/>
        <v>0</v>
      </c>
      <c r="J91">
        <f t="shared" si="24"/>
        <v>0</v>
      </c>
      <c r="K91">
        <f t="shared" si="25"/>
        <v>0</v>
      </c>
      <c r="L91">
        <f t="shared" si="26"/>
        <v>0</v>
      </c>
      <c r="M91" s="3">
        <f t="shared" si="33"/>
        <v>0</v>
      </c>
      <c r="P91">
        <v>951868800</v>
      </c>
      <c r="Q91">
        <v>-2.2427332263654098</v>
      </c>
      <c r="R91">
        <v>-2.4222373154544798</v>
      </c>
      <c r="S91">
        <v>-3.70462519704405</v>
      </c>
      <c r="T91">
        <v>-3.92032810720498</v>
      </c>
      <c r="U91">
        <v>-1.6064656044793699</v>
      </c>
      <c r="V91">
        <v>-2.0981595925646701</v>
      </c>
      <c r="W91">
        <v>0</v>
      </c>
      <c r="X91">
        <v>0</v>
      </c>
      <c r="Y91">
        <v>0</v>
      </c>
      <c r="Z91">
        <v>0</v>
      </c>
      <c r="AC91">
        <v>951868800</v>
      </c>
      <c r="AD91">
        <v>-2.6346518016547198</v>
      </c>
      <c r="AE91">
        <v>-2.5312742126461401</v>
      </c>
      <c r="AF91">
        <v>-1.9973120341750299</v>
      </c>
      <c r="AG91">
        <v>-2.1729515492626201</v>
      </c>
      <c r="AH91">
        <v>-1.7172304440435999</v>
      </c>
      <c r="AI91">
        <v>-0.28008159013142098</v>
      </c>
      <c r="AJ91">
        <v>0</v>
      </c>
      <c r="AK91">
        <v>0</v>
      </c>
      <c r="AL91">
        <v>0</v>
      </c>
      <c r="AM91">
        <v>0</v>
      </c>
    </row>
    <row r="92" spans="1:39" x14ac:dyDescent="0.35">
      <c r="A92" s="1">
        <v>36678</v>
      </c>
      <c r="B92">
        <f t="shared" si="22"/>
        <v>-1.1640966383506199</v>
      </c>
      <c r="C92">
        <f t="shared" si="27"/>
        <v>-2.0455324957330601</v>
      </c>
      <c r="D92">
        <f t="shared" si="28"/>
        <v>-2.5466499021638098</v>
      </c>
      <c r="E92">
        <f t="shared" si="29"/>
        <v>-2.4987459540209001</v>
      </c>
      <c r="F92">
        <f t="shared" si="30"/>
        <v>-1.6027385625480399</v>
      </c>
      <c r="G92">
        <f t="shared" si="31"/>
        <v>-0.94391133961576601</v>
      </c>
      <c r="H92">
        <f t="shared" si="32"/>
        <v>2</v>
      </c>
      <c r="I92">
        <f t="shared" si="23"/>
        <v>0</v>
      </c>
      <c r="J92">
        <f t="shared" si="24"/>
        <v>0</v>
      </c>
      <c r="K92">
        <f t="shared" si="25"/>
        <v>0</v>
      </c>
      <c r="L92">
        <f t="shared" si="26"/>
        <v>0</v>
      </c>
      <c r="M92" s="3">
        <f t="shared" si="33"/>
        <v>0</v>
      </c>
      <c r="P92">
        <v>959817600</v>
      </c>
      <c r="Q92">
        <v>-1.1640966383506199</v>
      </c>
      <c r="R92">
        <v>-2.0455324957330601</v>
      </c>
      <c r="S92">
        <v>-2.5466499021638098</v>
      </c>
      <c r="T92">
        <v>-2.4987459540209001</v>
      </c>
      <c r="U92">
        <v>-1.6027385625480399</v>
      </c>
      <c r="V92">
        <v>-0.94391133961576601</v>
      </c>
      <c r="W92">
        <v>0</v>
      </c>
      <c r="X92">
        <v>0</v>
      </c>
      <c r="Y92">
        <v>0</v>
      </c>
      <c r="Z92">
        <v>0</v>
      </c>
      <c r="AC92">
        <v>959817600</v>
      </c>
      <c r="AD92">
        <v>-1.5229571694836599</v>
      </c>
      <c r="AE92">
        <v>-2.1435249289072602</v>
      </c>
      <c r="AF92">
        <v>-0.93789304610845903</v>
      </c>
      <c r="AG92">
        <v>-0.85343610837307404</v>
      </c>
      <c r="AH92">
        <v>-1.70478410000187</v>
      </c>
      <c r="AI92">
        <v>0.76689105389343204</v>
      </c>
      <c r="AJ92">
        <v>0</v>
      </c>
      <c r="AK92">
        <v>0</v>
      </c>
      <c r="AL92">
        <v>0</v>
      </c>
      <c r="AM92">
        <v>0</v>
      </c>
    </row>
    <row r="93" spans="1:39" x14ac:dyDescent="0.35">
      <c r="A93" s="1">
        <v>36770</v>
      </c>
      <c r="B93">
        <f t="shared" si="22"/>
        <v>0.36264217182835501</v>
      </c>
      <c r="C93">
        <f t="shared" si="27"/>
        <v>-1.9301652380173</v>
      </c>
      <c r="D93">
        <f t="shared" si="28"/>
        <v>-1.2235816014751799</v>
      </c>
      <c r="E93">
        <f t="shared" si="29"/>
        <v>-1.3964416218543201</v>
      </c>
      <c r="F93">
        <f t="shared" si="30"/>
        <v>-1.54403730766282</v>
      </c>
      <c r="G93">
        <f t="shared" si="31"/>
        <v>0.32045570618765001</v>
      </c>
      <c r="H93">
        <f t="shared" si="32"/>
        <v>2</v>
      </c>
      <c r="I93">
        <f t="shared" si="23"/>
        <v>0</v>
      </c>
      <c r="J93">
        <f t="shared" si="24"/>
        <v>0</v>
      </c>
      <c r="K93">
        <f t="shared" si="25"/>
        <v>0</v>
      </c>
      <c r="L93">
        <f t="shared" si="26"/>
        <v>0</v>
      </c>
      <c r="M93" s="3">
        <f t="shared" si="33"/>
        <v>0</v>
      </c>
      <c r="P93">
        <v>967766400</v>
      </c>
      <c r="Q93">
        <v>0.36264217182835501</v>
      </c>
      <c r="R93">
        <v>-1.9301652380173</v>
      </c>
      <c r="S93">
        <v>-1.2235816014751799</v>
      </c>
      <c r="T93">
        <v>-1.3964416218543201</v>
      </c>
      <c r="U93">
        <v>-1.54403730766282</v>
      </c>
      <c r="V93">
        <v>0.32045570618765001</v>
      </c>
      <c r="W93">
        <v>0</v>
      </c>
      <c r="X93">
        <v>0</v>
      </c>
      <c r="Y93">
        <v>0</v>
      </c>
      <c r="Z93">
        <v>0</v>
      </c>
      <c r="AC93">
        <v>967766400</v>
      </c>
      <c r="AD93">
        <v>3.8732754143330703E-2</v>
      </c>
      <c r="AE93">
        <v>-2.0159752315391102</v>
      </c>
      <c r="AF93">
        <v>0.291998449156678</v>
      </c>
      <c r="AG93">
        <v>0.15196321514414901</v>
      </c>
      <c r="AH93">
        <v>-1.6368847028539999</v>
      </c>
      <c r="AI93">
        <v>1.9288831520106999</v>
      </c>
      <c r="AJ93">
        <v>0</v>
      </c>
      <c r="AK93">
        <v>0</v>
      </c>
      <c r="AL93">
        <v>0</v>
      </c>
      <c r="AM93">
        <v>0</v>
      </c>
    </row>
    <row r="94" spans="1:39" x14ac:dyDescent="0.35">
      <c r="A94" s="1">
        <v>36861</v>
      </c>
      <c r="B94">
        <f t="shared" si="22"/>
        <v>0.67502413829377905</v>
      </c>
      <c r="C94">
        <f t="shared" si="27"/>
        <v>-1.78266434022112</v>
      </c>
      <c r="D94">
        <f t="shared" si="28"/>
        <v>-1.0929371933154599</v>
      </c>
      <c r="E94">
        <f t="shared" si="29"/>
        <v>-1.5158740108511699</v>
      </c>
      <c r="F94">
        <f t="shared" si="30"/>
        <v>-1.6650577558741999</v>
      </c>
      <c r="G94">
        <f t="shared" si="31"/>
        <v>0.572120562558739</v>
      </c>
      <c r="H94">
        <f t="shared" si="32"/>
        <v>2</v>
      </c>
      <c r="I94">
        <f t="shared" si="23"/>
        <v>0</v>
      </c>
      <c r="J94">
        <f t="shared" si="24"/>
        <v>0</v>
      </c>
      <c r="K94">
        <f t="shared" si="25"/>
        <v>0</v>
      </c>
      <c r="L94">
        <f t="shared" si="26"/>
        <v>0</v>
      </c>
      <c r="M94" s="3">
        <f t="shared" si="33"/>
        <v>0</v>
      </c>
      <c r="P94">
        <v>975628800</v>
      </c>
      <c r="Q94">
        <v>0.67502413829377905</v>
      </c>
      <c r="R94">
        <v>-1.78266434022112</v>
      </c>
      <c r="S94">
        <v>-1.0929371933154599</v>
      </c>
      <c r="T94">
        <v>-1.5158740108511699</v>
      </c>
      <c r="U94">
        <v>-1.6650577558741999</v>
      </c>
      <c r="V94">
        <v>0.572120562558739</v>
      </c>
      <c r="W94">
        <v>0</v>
      </c>
      <c r="X94">
        <v>0</v>
      </c>
      <c r="Y94">
        <v>0</v>
      </c>
      <c r="Z94">
        <v>0</v>
      </c>
      <c r="AC94">
        <v>975628800</v>
      </c>
      <c r="AD94">
        <v>0.38159226262215301</v>
      </c>
      <c r="AE94">
        <v>-1.8583262998830601</v>
      </c>
      <c r="AF94">
        <v>0.33061564878398497</v>
      </c>
      <c r="AG94">
        <v>-6.2732978594748495E-2</v>
      </c>
      <c r="AH94">
        <v>-1.7498391322633799</v>
      </c>
      <c r="AI94">
        <v>2.0804547810473899</v>
      </c>
      <c r="AJ94">
        <v>0</v>
      </c>
      <c r="AK94">
        <v>0</v>
      </c>
      <c r="AL94">
        <v>0</v>
      </c>
      <c r="AM94">
        <v>0</v>
      </c>
    </row>
    <row r="95" spans="1:39" x14ac:dyDescent="0.35">
      <c r="A95" s="1">
        <v>36951</v>
      </c>
      <c r="B95">
        <f t="shared" si="22"/>
        <v>1.6994690914855199</v>
      </c>
      <c r="C95">
        <f t="shared" si="27"/>
        <v>-1.5846368104098101</v>
      </c>
      <c r="D95">
        <f t="shared" si="28"/>
        <v>-0.346518583219597</v>
      </c>
      <c r="E95">
        <f t="shared" si="29"/>
        <v>-1.16020593587792</v>
      </c>
      <c r="F95">
        <f t="shared" si="30"/>
        <v>-1.6955910814811701</v>
      </c>
      <c r="G95">
        <f t="shared" si="31"/>
        <v>1.34907249826158</v>
      </c>
      <c r="H95">
        <f t="shared" si="32"/>
        <v>2</v>
      </c>
      <c r="I95">
        <f t="shared" si="23"/>
        <v>0</v>
      </c>
      <c r="J95">
        <f t="shared" si="24"/>
        <v>0</v>
      </c>
      <c r="K95">
        <f t="shared" si="25"/>
        <v>0</v>
      </c>
      <c r="L95">
        <f t="shared" si="26"/>
        <v>0</v>
      </c>
      <c r="M95" s="3">
        <f t="shared" si="33"/>
        <v>0</v>
      </c>
      <c r="P95">
        <v>983404800</v>
      </c>
      <c r="Q95">
        <v>1.6994690914855199</v>
      </c>
      <c r="R95">
        <v>-1.5846368104098101</v>
      </c>
      <c r="S95">
        <v>-0.346518583219597</v>
      </c>
      <c r="T95">
        <v>-1.16020593587792</v>
      </c>
      <c r="U95">
        <v>-1.6955910814811701</v>
      </c>
      <c r="V95">
        <v>1.34907249826158</v>
      </c>
      <c r="W95">
        <v>0</v>
      </c>
      <c r="X95">
        <v>0</v>
      </c>
      <c r="Y95">
        <v>0</v>
      </c>
      <c r="Z95">
        <v>0</v>
      </c>
      <c r="AC95">
        <v>983404800</v>
      </c>
      <c r="AD95">
        <v>1.4341663884123499</v>
      </c>
      <c r="AE95">
        <v>-1.65112670593988</v>
      </c>
      <c r="AF95">
        <v>0.98744708513056101</v>
      </c>
      <c r="AG95">
        <v>0.20037733005174699</v>
      </c>
      <c r="AH95">
        <v>-1.7728922802746601</v>
      </c>
      <c r="AI95">
        <v>2.7603393654052399</v>
      </c>
      <c r="AJ95">
        <v>0</v>
      </c>
      <c r="AK95">
        <v>0</v>
      </c>
      <c r="AL95">
        <v>0</v>
      </c>
      <c r="AM95">
        <v>0</v>
      </c>
    </row>
    <row r="96" spans="1:39" x14ac:dyDescent="0.35">
      <c r="A96" s="1">
        <v>37043</v>
      </c>
      <c r="B96">
        <f t="shared" si="22"/>
        <v>3.0631459817802602</v>
      </c>
      <c r="C96">
        <f t="shared" si="27"/>
        <v>-1.1488279779626001</v>
      </c>
      <c r="D96">
        <f t="shared" si="28"/>
        <v>0.78481300613565097</v>
      </c>
      <c r="E96">
        <f t="shared" si="29"/>
        <v>-0.57791363018422903</v>
      </c>
      <c r="F96">
        <f t="shared" si="30"/>
        <v>-1.5373501390737601</v>
      </c>
      <c r="G96">
        <f t="shared" si="31"/>
        <v>2.32216314520941</v>
      </c>
      <c r="H96">
        <f t="shared" si="32"/>
        <v>2</v>
      </c>
      <c r="I96">
        <f t="shared" si="23"/>
        <v>0.33223311930633298</v>
      </c>
      <c r="J96">
        <f t="shared" si="24"/>
        <v>0</v>
      </c>
      <c r="K96">
        <f t="shared" si="25"/>
        <v>0</v>
      </c>
      <c r="L96">
        <f t="shared" si="26"/>
        <v>0</v>
      </c>
      <c r="M96" s="3">
        <f t="shared" si="33"/>
        <v>0</v>
      </c>
      <c r="P96">
        <v>991353600</v>
      </c>
      <c r="Q96">
        <v>3.0631459817802602</v>
      </c>
      <c r="R96">
        <v>-1.1488279779626001</v>
      </c>
      <c r="S96">
        <v>0.78481300613565097</v>
      </c>
      <c r="T96">
        <v>-0.57791363018422903</v>
      </c>
      <c r="U96">
        <v>-1.5373501390737601</v>
      </c>
      <c r="V96">
        <v>2.32216314520941</v>
      </c>
      <c r="W96">
        <v>0.33223311930633298</v>
      </c>
      <c r="X96">
        <v>0</v>
      </c>
      <c r="Y96">
        <v>0</v>
      </c>
      <c r="Z96">
        <v>0</v>
      </c>
      <c r="AC96">
        <v>991353600</v>
      </c>
      <c r="AD96">
        <v>2.8265534371930299</v>
      </c>
      <c r="AE96">
        <v>-1.2056828987630801</v>
      </c>
      <c r="AF96">
        <v>2.03343590708797</v>
      </c>
      <c r="AG96">
        <v>0.69429101020788597</v>
      </c>
      <c r="AH96">
        <v>-1.6070343155100599</v>
      </c>
      <c r="AI96">
        <v>3.6404702225980499</v>
      </c>
      <c r="AJ96">
        <v>0.258297949122821</v>
      </c>
      <c r="AK96">
        <v>0</v>
      </c>
      <c r="AL96">
        <v>1.04487209649899E-2</v>
      </c>
      <c r="AM96">
        <v>0</v>
      </c>
    </row>
    <row r="97" spans="1:39" x14ac:dyDescent="0.35">
      <c r="A97" s="1">
        <v>37135</v>
      </c>
      <c r="B97">
        <f t="shared" si="22"/>
        <v>3.2349793336141901</v>
      </c>
      <c r="C97">
        <f t="shared" si="27"/>
        <v>-1.36028476649029</v>
      </c>
      <c r="D97">
        <f t="shared" si="28"/>
        <v>0.73251080914105005</v>
      </c>
      <c r="E97">
        <f t="shared" si="29"/>
        <v>-0.84760634991317696</v>
      </c>
      <c r="F97">
        <f t="shared" si="30"/>
        <v>-1.49018591084241</v>
      </c>
      <c r="G97">
        <f t="shared" si="31"/>
        <v>2.2226967199834702</v>
      </c>
      <c r="H97">
        <f t="shared" si="32"/>
        <v>2</v>
      </c>
      <c r="I97">
        <f t="shared" si="23"/>
        <v>0.38593104175443299</v>
      </c>
      <c r="J97">
        <f t="shared" si="24"/>
        <v>0</v>
      </c>
      <c r="K97">
        <f t="shared" si="25"/>
        <v>0</v>
      </c>
      <c r="L97">
        <f t="shared" si="26"/>
        <v>0</v>
      </c>
      <c r="M97" s="3">
        <f t="shared" si="33"/>
        <v>0</v>
      </c>
      <c r="P97">
        <v>999302400</v>
      </c>
      <c r="Q97">
        <v>3.2349793336141901</v>
      </c>
      <c r="R97">
        <v>-1.36028476649029</v>
      </c>
      <c r="S97">
        <v>0.73251080914105005</v>
      </c>
      <c r="T97">
        <v>-0.84760634991317696</v>
      </c>
      <c r="U97">
        <v>-1.49018591084241</v>
      </c>
      <c r="V97">
        <v>2.2226967199834702</v>
      </c>
      <c r="W97">
        <v>0.38593104175443299</v>
      </c>
      <c r="X97">
        <v>0</v>
      </c>
      <c r="Y97">
        <v>0</v>
      </c>
      <c r="Z97">
        <v>0</v>
      </c>
      <c r="AC97">
        <v>999302400</v>
      </c>
      <c r="AD97">
        <v>3.0294350537236499</v>
      </c>
      <c r="AE97">
        <v>-1.4062059935396001</v>
      </c>
      <c r="AF97">
        <v>1.9010994255134499</v>
      </c>
      <c r="AG97">
        <v>0.34123283687717998</v>
      </c>
      <c r="AH97">
        <v>-1.5517009860434201</v>
      </c>
      <c r="AI97">
        <v>3.4528004115568902</v>
      </c>
      <c r="AJ97">
        <v>0.32169845428864202</v>
      </c>
      <c r="AK97">
        <v>0</v>
      </c>
      <c r="AL97">
        <v>0</v>
      </c>
      <c r="AM97">
        <v>0</v>
      </c>
    </row>
    <row r="98" spans="1:39" x14ac:dyDescent="0.35">
      <c r="A98" s="1">
        <v>37226</v>
      </c>
      <c r="B98">
        <f t="shared" ref="B98:B129" si="34">IF(Q98="","",Q98)</f>
        <v>3.4797594612278302</v>
      </c>
      <c r="C98">
        <f t="shared" si="27"/>
        <v>-1.53861812825136</v>
      </c>
      <c r="D98">
        <f t="shared" si="28"/>
        <v>0.66565644049984096</v>
      </c>
      <c r="E98">
        <f t="shared" si="29"/>
        <v>-1.2837819413657301</v>
      </c>
      <c r="F98">
        <f t="shared" si="30"/>
        <v>-1.41825277230417</v>
      </c>
      <c r="G98">
        <f t="shared" si="31"/>
        <v>2.0839092128040102</v>
      </c>
      <c r="H98">
        <f t="shared" si="32"/>
        <v>2</v>
      </c>
      <c r="I98">
        <f t="shared" ref="I98:I129" si="35">IF(W98="","",W98)</f>
        <v>0.46242483163369802</v>
      </c>
      <c r="J98">
        <f t="shared" ref="J98:J129" si="36">IF(X98="","",X98)</f>
        <v>0</v>
      </c>
      <c r="K98">
        <f t="shared" ref="K98:K129" si="37">IF(Y98="","",Y98)</f>
        <v>0</v>
      </c>
      <c r="L98">
        <f t="shared" ref="L98:L129" si="38">IF(Z98="","",Z98)</f>
        <v>0</v>
      </c>
      <c r="M98" s="3">
        <f t="shared" si="33"/>
        <v>0</v>
      </c>
      <c r="P98">
        <v>1007164800</v>
      </c>
      <c r="Q98">
        <v>3.4797594612278302</v>
      </c>
      <c r="R98">
        <v>-1.53861812825136</v>
      </c>
      <c r="S98">
        <v>0.66565644049984096</v>
      </c>
      <c r="T98">
        <v>-1.2837819413657301</v>
      </c>
      <c r="U98">
        <v>-1.41825277230417</v>
      </c>
      <c r="V98">
        <v>2.0839092128040102</v>
      </c>
      <c r="W98">
        <v>0.46242483163369802</v>
      </c>
      <c r="X98">
        <v>0</v>
      </c>
      <c r="Y98">
        <v>0</v>
      </c>
      <c r="Z98">
        <v>0</v>
      </c>
      <c r="AC98">
        <v>1007164800</v>
      </c>
      <c r="AD98">
        <v>3.3015859492297301</v>
      </c>
      <c r="AE98">
        <v>-1.57525016363842</v>
      </c>
      <c r="AF98">
        <v>1.75551699493139</v>
      </c>
      <c r="AG98">
        <v>-0.17658410655839901</v>
      </c>
      <c r="AH98">
        <v>-1.47251551766031</v>
      </c>
      <c r="AI98">
        <v>3.2280325125917102</v>
      </c>
      <c r="AJ98">
        <v>0.40674560913429197</v>
      </c>
      <c r="AK98">
        <v>0</v>
      </c>
      <c r="AL98">
        <v>0</v>
      </c>
      <c r="AM98">
        <v>0</v>
      </c>
    </row>
    <row r="99" spans="1:39" x14ac:dyDescent="0.35">
      <c r="A99" s="1">
        <v>37316</v>
      </c>
      <c r="B99">
        <f t="shared" si="34"/>
        <v>3.3675744245892099</v>
      </c>
      <c r="C99">
        <f t="shared" ref="C99:C130" si="39">IF(R99="","",R99)</f>
        <v>-2.0623015723065201</v>
      </c>
      <c r="D99">
        <f t="shared" ref="D99:D130" si="40">IF(S99="","",S99)</f>
        <v>0.13802842378598201</v>
      </c>
      <c r="E99">
        <f t="shared" ref="E99:E130" si="41">IF(T99="","",T99)</f>
        <v>-1.6990172702252799</v>
      </c>
      <c r="F99">
        <f t="shared" ref="F99:F130" si="42">IF(U99="","",U99)</f>
        <v>-1.3473849180831901</v>
      </c>
      <c r="G99">
        <f t="shared" ref="G99:G130" si="43">IF(V99="","",V99)</f>
        <v>1.4854133418691799</v>
      </c>
      <c r="H99">
        <f t="shared" si="32"/>
        <v>2</v>
      </c>
      <c r="I99">
        <f t="shared" si="35"/>
        <v>0.42736700768413</v>
      </c>
      <c r="J99">
        <f t="shared" si="36"/>
        <v>0</v>
      </c>
      <c r="K99">
        <f t="shared" si="37"/>
        <v>0</v>
      </c>
      <c r="L99">
        <f t="shared" si="38"/>
        <v>0</v>
      </c>
      <c r="M99" s="3">
        <f t="shared" si="33"/>
        <v>0</v>
      </c>
      <c r="P99">
        <v>1014940800</v>
      </c>
      <c r="Q99">
        <v>3.3675744245892099</v>
      </c>
      <c r="R99">
        <v>-2.0623015723065201</v>
      </c>
      <c r="S99">
        <v>0.13802842378598201</v>
      </c>
      <c r="T99">
        <v>-1.6990172702252799</v>
      </c>
      <c r="U99">
        <v>-1.3473849180831901</v>
      </c>
      <c r="V99">
        <v>1.4854133418691799</v>
      </c>
      <c r="W99">
        <v>0.42736700768413</v>
      </c>
      <c r="X99">
        <v>0</v>
      </c>
      <c r="Y99">
        <v>0</v>
      </c>
      <c r="Z99">
        <v>0</v>
      </c>
      <c r="AC99">
        <v>1014940800</v>
      </c>
      <c r="AD99">
        <v>3.2144354907900401</v>
      </c>
      <c r="AE99">
        <v>-2.0906258485373499</v>
      </c>
      <c r="AF99">
        <v>1.1512629739920699</v>
      </c>
      <c r="AG99">
        <v>-0.67109129088997999</v>
      </c>
      <c r="AH99">
        <v>-1.39498122293091</v>
      </c>
      <c r="AI99">
        <v>2.5462441969229799</v>
      </c>
      <c r="AJ99">
        <v>0.379511090871887</v>
      </c>
      <c r="AK99">
        <v>0</v>
      </c>
      <c r="AL99">
        <v>0</v>
      </c>
      <c r="AM99">
        <v>0</v>
      </c>
    </row>
    <row r="100" spans="1:39" x14ac:dyDescent="0.35">
      <c r="A100" s="1">
        <v>37408</v>
      </c>
      <c r="B100">
        <f t="shared" si="34"/>
        <v>2.5360708081471199</v>
      </c>
      <c r="C100">
        <f t="shared" si="39"/>
        <v>-1.84125154355542</v>
      </c>
      <c r="D100">
        <f t="shared" si="40"/>
        <v>-0.32190535102483903</v>
      </c>
      <c r="E100">
        <f t="shared" si="41"/>
        <v>-1.7230609151371199</v>
      </c>
      <c r="F100">
        <f t="shared" si="42"/>
        <v>-1.1551152378720799</v>
      </c>
      <c r="G100">
        <f t="shared" si="43"/>
        <v>0.83320988684724595</v>
      </c>
      <c r="H100">
        <f t="shared" si="32"/>
        <v>2</v>
      </c>
      <c r="I100">
        <f t="shared" si="35"/>
        <v>0.16752212754597601</v>
      </c>
      <c r="J100">
        <f t="shared" si="36"/>
        <v>0</v>
      </c>
      <c r="K100">
        <f t="shared" si="37"/>
        <v>0</v>
      </c>
      <c r="L100">
        <f t="shared" si="38"/>
        <v>0</v>
      </c>
      <c r="M100" s="3">
        <f t="shared" si="33"/>
        <v>0</v>
      </c>
      <c r="P100">
        <v>1022889600</v>
      </c>
      <c r="Q100">
        <v>2.5360708081471199</v>
      </c>
      <c r="R100">
        <v>-1.84125154355542</v>
      </c>
      <c r="S100">
        <v>-0.32190535102483903</v>
      </c>
      <c r="T100">
        <v>-1.7230609151371199</v>
      </c>
      <c r="U100">
        <v>-1.1551152378720799</v>
      </c>
      <c r="V100">
        <v>0.83320988684724595</v>
      </c>
      <c r="W100">
        <v>0.16752212754597601</v>
      </c>
      <c r="X100">
        <v>0</v>
      </c>
      <c r="Y100">
        <v>0</v>
      </c>
      <c r="Z100">
        <v>0</v>
      </c>
      <c r="AC100">
        <v>1022889600</v>
      </c>
      <c r="AD100">
        <v>2.40821968267747</v>
      </c>
      <c r="AE100">
        <v>-1.8610052967988899</v>
      </c>
      <c r="AF100">
        <v>0.61839362755579697</v>
      </c>
      <c r="AG100">
        <v>-0.77076302783649797</v>
      </c>
      <c r="AH100">
        <v>-1.19599835556445</v>
      </c>
      <c r="AI100">
        <v>1.81439198312026</v>
      </c>
      <c r="AJ100">
        <v>0.12756865083670799</v>
      </c>
      <c r="AK100">
        <v>0</v>
      </c>
      <c r="AL100">
        <v>0</v>
      </c>
      <c r="AM100">
        <v>0</v>
      </c>
    </row>
    <row r="101" spans="1:39" x14ac:dyDescent="0.35">
      <c r="A101" s="1">
        <v>37500</v>
      </c>
      <c r="B101">
        <f t="shared" si="34"/>
        <v>1.51681115416857</v>
      </c>
      <c r="C101">
        <f t="shared" si="39"/>
        <v>-1.8713295822107301</v>
      </c>
      <c r="D101">
        <f t="shared" si="40"/>
        <v>-0.60071556463730602</v>
      </c>
      <c r="E101">
        <f t="shared" si="41"/>
        <v>-2.3459195636957602</v>
      </c>
      <c r="F101">
        <f t="shared" si="42"/>
        <v>-0.96269418429515496</v>
      </c>
      <c r="G101">
        <f t="shared" si="43"/>
        <v>0.361978619657843</v>
      </c>
      <c r="H101">
        <f t="shared" si="32"/>
        <v>2</v>
      </c>
      <c r="I101">
        <f t="shared" si="35"/>
        <v>0</v>
      </c>
      <c r="J101">
        <f t="shared" si="36"/>
        <v>0</v>
      </c>
      <c r="K101">
        <f t="shared" si="37"/>
        <v>0</v>
      </c>
      <c r="L101">
        <f t="shared" si="38"/>
        <v>0</v>
      </c>
      <c r="M101" s="3">
        <f t="shared" si="33"/>
        <v>0</v>
      </c>
      <c r="P101">
        <v>1030838400</v>
      </c>
      <c r="Q101">
        <v>1.51681115416857</v>
      </c>
      <c r="R101">
        <v>-1.8713295822107301</v>
      </c>
      <c r="S101">
        <v>-0.60071556463730602</v>
      </c>
      <c r="T101">
        <v>-2.3459195636957602</v>
      </c>
      <c r="U101">
        <v>-0.96269418429515496</v>
      </c>
      <c r="V101">
        <v>0.361978619657843</v>
      </c>
      <c r="W101">
        <v>0</v>
      </c>
      <c r="X101">
        <v>0</v>
      </c>
      <c r="Y101">
        <v>0</v>
      </c>
      <c r="Z101">
        <v>0</v>
      </c>
      <c r="AC101">
        <v>1030838400</v>
      </c>
      <c r="AD101">
        <v>1.4108269104990701</v>
      </c>
      <c r="AE101">
        <v>-1.8840200912893299</v>
      </c>
      <c r="AF101">
        <v>0.26789922386291998</v>
      </c>
      <c r="AG101">
        <v>-1.4675993033657999</v>
      </c>
      <c r="AH101">
        <v>-0.99771879541436803</v>
      </c>
      <c r="AI101">
        <v>1.2656180192773001</v>
      </c>
      <c r="AJ101">
        <v>0</v>
      </c>
      <c r="AK101">
        <v>0</v>
      </c>
      <c r="AL101">
        <v>0</v>
      </c>
      <c r="AM101">
        <v>0</v>
      </c>
    </row>
    <row r="102" spans="1:39" x14ac:dyDescent="0.35">
      <c r="A102" s="1">
        <v>37591</v>
      </c>
      <c r="B102">
        <f t="shared" si="34"/>
        <v>1.27732682439334</v>
      </c>
      <c r="C102">
        <f t="shared" si="39"/>
        <v>-2.2217442668195302</v>
      </c>
      <c r="D102">
        <f t="shared" si="40"/>
        <v>-0.79836683544772602</v>
      </c>
      <c r="E102">
        <f t="shared" si="41"/>
        <v>-2.27942184763292</v>
      </c>
      <c r="F102">
        <f t="shared" si="42"/>
        <v>-0.87577993439158996</v>
      </c>
      <c r="G102">
        <f t="shared" si="43"/>
        <v>7.7413098943865194E-2</v>
      </c>
      <c r="H102">
        <f t="shared" si="32"/>
        <v>2</v>
      </c>
      <c r="I102">
        <f t="shared" si="35"/>
        <v>0</v>
      </c>
      <c r="J102">
        <f t="shared" si="36"/>
        <v>0</v>
      </c>
      <c r="K102">
        <f t="shared" si="37"/>
        <v>0</v>
      </c>
      <c r="L102">
        <f t="shared" si="38"/>
        <v>0</v>
      </c>
      <c r="M102" s="3">
        <f t="shared" si="33"/>
        <v>0</v>
      </c>
      <c r="P102">
        <v>1038700800</v>
      </c>
      <c r="Q102">
        <v>1.27732682439334</v>
      </c>
      <c r="R102">
        <v>-2.2217442668195302</v>
      </c>
      <c r="S102">
        <v>-0.79836683544772602</v>
      </c>
      <c r="T102">
        <v>-2.27942184763292</v>
      </c>
      <c r="U102">
        <v>-0.87577993439158996</v>
      </c>
      <c r="V102">
        <v>7.7413098943865194E-2</v>
      </c>
      <c r="W102">
        <v>0</v>
      </c>
      <c r="X102">
        <v>0</v>
      </c>
      <c r="Y102">
        <v>0</v>
      </c>
      <c r="Z102">
        <v>0</v>
      </c>
      <c r="AC102">
        <v>1038700800</v>
      </c>
      <c r="AD102">
        <v>1.1934770297767401</v>
      </c>
      <c r="AE102">
        <v>-2.2271064311319999</v>
      </c>
      <c r="AF102">
        <v>2.1073444018642699E-3</v>
      </c>
      <c r="AG102">
        <v>-1.4715842677208499</v>
      </c>
      <c r="AH102">
        <v>-0.90489327874966696</v>
      </c>
      <c r="AI102">
        <v>0.90700062315154095</v>
      </c>
      <c r="AJ102">
        <v>0</v>
      </c>
      <c r="AK102">
        <v>0</v>
      </c>
      <c r="AL102">
        <v>0</v>
      </c>
      <c r="AM102">
        <v>0</v>
      </c>
    </row>
    <row r="103" spans="1:39" x14ac:dyDescent="0.35">
      <c r="A103" s="1">
        <v>37681</v>
      </c>
      <c r="B103">
        <f t="shared" si="34"/>
        <v>1.5201601029009</v>
      </c>
      <c r="C103">
        <f t="shared" si="39"/>
        <v>-2.61109245074184</v>
      </c>
      <c r="D103">
        <f t="shared" si="40"/>
        <v>-0.81389021412700602</v>
      </c>
      <c r="E103">
        <f t="shared" si="41"/>
        <v>-2.9286884146697898</v>
      </c>
      <c r="F103">
        <f t="shared" si="42"/>
        <v>-0.86170851753994404</v>
      </c>
      <c r="G103">
        <f t="shared" si="43"/>
        <v>4.7818303412938801E-2</v>
      </c>
      <c r="H103">
        <f t="shared" si="32"/>
        <v>2</v>
      </c>
      <c r="I103">
        <f t="shared" si="35"/>
        <v>0</v>
      </c>
      <c r="J103">
        <f t="shared" si="36"/>
        <v>0</v>
      </c>
      <c r="K103">
        <f t="shared" si="37"/>
        <v>0</v>
      </c>
      <c r="L103">
        <f t="shared" si="38"/>
        <v>0</v>
      </c>
      <c r="M103" s="3">
        <f t="shared" si="33"/>
        <v>0</v>
      </c>
      <c r="P103">
        <v>1046476800</v>
      </c>
      <c r="Q103">
        <v>1.5201601029009</v>
      </c>
      <c r="R103">
        <v>-2.61109245074184</v>
      </c>
      <c r="S103">
        <v>-0.81389021412700602</v>
      </c>
      <c r="T103">
        <v>-2.9286884146697898</v>
      </c>
      <c r="U103">
        <v>-0.86170851753994404</v>
      </c>
      <c r="V103">
        <v>4.7818303412938801E-2</v>
      </c>
      <c r="W103">
        <v>0</v>
      </c>
      <c r="X103">
        <v>0</v>
      </c>
      <c r="Y103">
        <v>0</v>
      </c>
      <c r="Z103">
        <v>0</v>
      </c>
      <c r="AC103">
        <v>1046476800</v>
      </c>
      <c r="AD103">
        <v>1.45742915829174</v>
      </c>
      <c r="AE103">
        <v>-2.60948344578886</v>
      </c>
      <c r="AF103">
        <v>-7.8913433398308794E-2</v>
      </c>
      <c r="AG103">
        <v>-2.1885813082651202</v>
      </c>
      <c r="AH103">
        <v>-0.88517321457674403</v>
      </c>
      <c r="AI103">
        <v>0.80625978117845098</v>
      </c>
      <c r="AJ103">
        <v>0</v>
      </c>
      <c r="AK103">
        <v>0</v>
      </c>
      <c r="AL103">
        <v>0</v>
      </c>
      <c r="AM103">
        <v>0</v>
      </c>
    </row>
    <row r="104" spans="1:39" x14ac:dyDescent="0.35">
      <c r="A104" s="1">
        <v>37773</v>
      </c>
      <c r="B104">
        <f t="shared" si="34"/>
        <v>1.2824340250976101</v>
      </c>
      <c r="C104">
        <f t="shared" si="39"/>
        <v>-2.5780715319102701</v>
      </c>
      <c r="D104">
        <f t="shared" si="40"/>
        <v>-0.95863110404590501</v>
      </c>
      <c r="E104">
        <f t="shared" si="41"/>
        <v>-3.5596670228393799</v>
      </c>
      <c r="F104">
        <f t="shared" si="42"/>
        <v>-0.62598254473680404</v>
      </c>
      <c r="G104">
        <f t="shared" si="43"/>
        <v>-0.33264855930909998</v>
      </c>
      <c r="H104">
        <f t="shared" si="32"/>
        <v>2</v>
      </c>
      <c r="I104">
        <f t="shared" si="35"/>
        <v>0</v>
      </c>
      <c r="J104">
        <f t="shared" si="36"/>
        <v>0</v>
      </c>
      <c r="K104">
        <f t="shared" si="37"/>
        <v>0</v>
      </c>
      <c r="L104">
        <f t="shared" si="38"/>
        <v>0</v>
      </c>
      <c r="M104" s="3">
        <f t="shared" si="33"/>
        <v>0</v>
      </c>
      <c r="P104">
        <v>1054425600</v>
      </c>
      <c r="Q104">
        <v>1.2824340250976101</v>
      </c>
      <c r="R104">
        <v>-2.5780715319102701</v>
      </c>
      <c r="S104">
        <v>-0.95863110404590501</v>
      </c>
      <c r="T104">
        <v>-3.5596670228393799</v>
      </c>
      <c r="U104">
        <v>-0.62598254473680404</v>
      </c>
      <c r="V104">
        <v>-0.33264855930909998</v>
      </c>
      <c r="W104">
        <v>0</v>
      </c>
      <c r="X104">
        <v>0</v>
      </c>
      <c r="Y104">
        <v>0</v>
      </c>
      <c r="Z104">
        <v>0</v>
      </c>
      <c r="AC104">
        <v>1054425600</v>
      </c>
      <c r="AD104">
        <v>1.2398340369268701</v>
      </c>
      <c r="AE104">
        <v>-2.5698393230733898</v>
      </c>
      <c r="AF104">
        <v>-0.28656567989219001</v>
      </c>
      <c r="AG104">
        <v>-2.8846016775428698</v>
      </c>
      <c r="AH104">
        <v>-0.64405453984180705</v>
      </c>
      <c r="AI104">
        <v>0.35748885994962598</v>
      </c>
      <c r="AJ104">
        <v>0</v>
      </c>
      <c r="AK104">
        <v>0</v>
      </c>
      <c r="AL104">
        <v>0</v>
      </c>
      <c r="AM104">
        <v>0</v>
      </c>
    </row>
    <row r="105" spans="1:39" x14ac:dyDescent="0.35">
      <c r="A105" s="1">
        <v>37865</v>
      </c>
      <c r="B105">
        <f t="shared" si="34"/>
        <v>0.227315796819373</v>
      </c>
      <c r="C105">
        <f t="shared" si="39"/>
        <v>-2.7202083774665802</v>
      </c>
      <c r="D105">
        <f t="shared" si="40"/>
        <v>-1.5318229033309401</v>
      </c>
      <c r="E105">
        <f t="shared" si="41"/>
        <v>-4.2571908498423401</v>
      </c>
      <c r="F105">
        <f t="shared" si="42"/>
        <v>-0.17913925422669399</v>
      </c>
      <c r="G105">
        <f t="shared" si="43"/>
        <v>-1.35268364910425</v>
      </c>
      <c r="H105">
        <f t="shared" si="32"/>
        <v>2</v>
      </c>
      <c r="I105">
        <f t="shared" si="35"/>
        <v>0</v>
      </c>
      <c r="J105">
        <f t="shared" si="36"/>
        <v>0</v>
      </c>
      <c r="K105">
        <f t="shared" si="37"/>
        <v>0</v>
      </c>
      <c r="L105">
        <f t="shared" si="38"/>
        <v>0</v>
      </c>
      <c r="M105" s="3">
        <f t="shared" si="33"/>
        <v>0</v>
      </c>
      <c r="P105">
        <v>1062374400</v>
      </c>
      <c r="Q105">
        <v>0.227315796819373</v>
      </c>
      <c r="R105">
        <v>-2.7202083774665802</v>
      </c>
      <c r="S105">
        <v>-1.5318229033309401</v>
      </c>
      <c r="T105">
        <v>-4.2571908498423401</v>
      </c>
      <c r="U105">
        <v>-0.17913925422669399</v>
      </c>
      <c r="V105">
        <v>-1.35268364910425</v>
      </c>
      <c r="W105">
        <v>0</v>
      </c>
      <c r="X105">
        <v>0</v>
      </c>
      <c r="Y105">
        <v>0</v>
      </c>
      <c r="Z105">
        <v>0</v>
      </c>
      <c r="AC105">
        <v>1062374400</v>
      </c>
      <c r="AD105">
        <v>0.20336636136139799</v>
      </c>
      <c r="AE105">
        <v>-2.70593607403248</v>
      </c>
      <c r="AF105">
        <v>-0.92047053090070796</v>
      </c>
      <c r="AG105">
        <v>-3.64479877584054</v>
      </c>
      <c r="AH105">
        <v>-0.19219718355236701</v>
      </c>
      <c r="AI105">
        <v>-0.72827334734833205</v>
      </c>
      <c r="AJ105">
        <v>0</v>
      </c>
      <c r="AK105">
        <v>0</v>
      </c>
      <c r="AL105">
        <v>0</v>
      </c>
      <c r="AM105">
        <v>0</v>
      </c>
    </row>
    <row r="106" spans="1:39" x14ac:dyDescent="0.35">
      <c r="A106" s="1">
        <v>37956</v>
      </c>
      <c r="B106">
        <f t="shared" si="34"/>
        <v>-1.5380654306178401</v>
      </c>
      <c r="C106">
        <f t="shared" si="39"/>
        <v>-2.85636911342226</v>
      </c>
      <c r="D106">
        <f t="shared" si="40"/>
        <v>-3.1880989425705302</v>
      </c>
      <c r="E106">
        <f t="shared" si="41"/>
        <v>-5.9334430303995704</v>
      </c>
      <c r="F106">
        <f t="shared" si="42"/>
        <v>0.101795772197562</v>
      </c>
      <c r="G106">
        <f t="shared" si="43"/>
        <v>-3.2898947147681001</v>
      </c>
      <c r="H106">
        <f t="shared" si="32"/>
        <v>2</v>
      </c>
      <c r="I106">
        <f t="shared" si="35"/>
        <v>0</v>
      </c>
      <c r="J106">
        <f t="shared" si="36"/>
        <v>0</v>
      </c>
      <c r="K106">
        <f t="shared" si="37"/>
        <v>0</v>
      </c>
      <c r="L106">
        <f t="shared" si="38"/>
        <v>0</v>
      </c>
      <c r="M106" s="3">
        <f t="shared" si="33"/>
        <v>0</v>
      </c>
      <c r="P106">
        <v>1070236800</v>
      </c>
      <c r="Q106">
        <v>-1.5380654306178401</v>
      </c>
      <c r="R106">
        <v>-2.85636911342226</v>
      </c>
      <c r="S106">
        <v>-3.1880989425705302</v>
      </c>
      <c r="T106">
        <v>-5.9334430303995704</v>
      </c>
      <c r="U106">
        <v>0.101795772197562</v>
      </c>
      <c r="V106">
        <v>-3.2898947147681001</v>
      </c>
      <c r="W106">
        <v>0</v>
      </c>
      <c r="X106">
        <v>0</v>
      </c>
      <c r="Y106">
        <v>0</v>
      </c>
      <c r="Z106">
        <v>0</v>
      </c>
      <c r="AC106">
        <v>1070236800</v>
      </c>
      <c r="AD106">
        <v>-1.5440997606114499</v>
      </c>
      <c r="AE106">
        <v>-2.83628844382421</v>
      </c>
      <c r="AF106">
        <v>-2.6348573252029501</v>
      </c>
      <c r="AG106">
        <v>-5.3810500668436498</v>
      </c>
      <c r="AH106">
        <v>9.3559919096621799E-2</v>
      </c>
      <c r="AI106">
        <v>-2.7284172442995498</v>
      </c>
      <c r="AJ106">
        <v>0</v>
      </c>
      <c r="AK106">
        <v>0</v>
      </c>
      <c r="AL106">
        <v>0</v>
      </c>
      <c r="AM106">
        <v>0</v>
      </c>
    </row>
    <row r="107" spans="1:39" x14ac:dyDescent="0.35">
      <c r="A107" s="1">
        <v>38047</v>
      </c>
      <c r="B107">
        <f t="shared" si="34"/>
        <v>-1.65106268314773</v>
      </c>
      <c r="C107">
        <f t="shared" si="39"/>
        <v>-3.0139097116718099</v>
      </c>
      <c r="D107">
        <f t="shared" si="40"/>
        <v>-3.41221383142733</v>
      </c>
      <c r="E107">
        <f t="shared" si="41"/>
        <v>-6.5397161494224196</v>
      </c>
      <c r="F107">
        <f t="shared" si="42"/>
        <v>0.20191756716717801</v>
      </c>
      <c r="G107">
        <f t="shared" si="43"/>
        <v>-3.6141313985945001</v>
      </c>
      <c r="H107">
        <f t="shared" si="32"/>
        <v>2</v>
      </c>
      <c r="I107">
        <f t="shared" si="35"/>
        <v>0</v>
      </c>
      <c r="J107">
        <f t="shared" si="36"/>
        <v>0</v>
      </c>
      <c r="K107">
        <f t="shared" si="37"/>
        <v>0</v>
      </c>
      <c r="L107">
        <f t="shared" si="38"/>
        <v>0</v>
      </c>
      <c r="M107" s="3">
        <f t="shared" si="33"/>
        <v>0</v>
      </c>
      <c r="P107">
        <v>1078099200</v>
      </c>
      <c r="Q107">
        <v>-1.65106268314773</v>
      </c>
      <c r="R107">
        <v>-3.0139097116718099</v>
      </c>
      <c r="S107">
        <v>-3.41221383142733</v>
      </c>
      <c r="T107">
        <v>-6.5397161494224196</v>
      </c>
      <c r="U107">
        <v>0.20191756716717801</v>
      </c>
      <c r="V107">
        <v>-3.6141313985945001</v>
      </c>
      <c r="W107">
        <v>0</v>
      </c>
      <c r="X107">
        <v>0</v>
      </c>
      <c r="Y107">
        <v>0</v>
      </c>
      <c r="Z107">
        <v>0</v>
      </c>
      <c r="AC107">
        <v>1078099200</v>
      </c>
      <c r="AD107">
        <v>-1.6409121448431501</v>
      </c>
      <c r="AE107">
        <v>-2.9887303679649699</v>
      </c>
      <c r="AF107">
        <v>-2.9151832517756899</v>
      </c>
      <c r="AG107">
        <v>-6.0452103990197301</v>
      </c>
      <c r="AH107">
        <v>0.198054462922893</v>
      </c>
      <c r="AI107">
        <v>-3.1132377146985601</v>
      </c>
      <c r="AJ107">
        <v>0</v>
      </c>
      <c r="AK107">
        <v>0</v>
      </c>
      <c r="AL107">
        <v>0</v>
      </c>
      <c r="AM107">
        <v>0</v>
      </c>
    </row>
    <row r="108" spans="1:39" x14ac:dyDescent="0.35">
      <c r="A108" s="1">
        <v>38139</v>
      </c>
      <c r="B108">
        <f t="shared" si="34"/>
        <v>-0.54680867389702303</v>
      </c>
      <c r="C108">
        <f t="shared" si="39"/>
        <v>-2.1077174544201198</v>
      </c>
      <c r="D108">
        <f t="shared" si="40"/>
        <v>-2.1454021887714201</v>
      </c>
      <c r="E108">
        <f t="shared" si="41"/>
        <v>-5.0764411424935103</v>
      </c>
      <c r="F108">
        <f t="shared" si="42"/>
        <v>0.870100007619379</v>
      </c>
      <c r="G108">
        <f t="shared" si="43"/>
        <v>-3.0155021963908002</v>
      </c>
      <c r="H108">
        <f t="shared" si="32"/>
        <v>2</v>
      </c>
      <c r="I108">
        <f t="shared" si="35"/>
        <v>0</v>
      </c>
      <c r="J108">
        <f t="shared" si="36"/>
        <v>0</v>
      </c>
      <c r="K108">
        <f t="shared" si="37"/>
        <v>0</v>
      </c>
      <c r="L108">
        <f t="shared" si="38"/>
        <v>0</v>
      </c>
      <c r="M108" s="3">
        <f t="shared" si="33"/>
        <v>0</v>
      </c>
      <c r="P108">
        <v>1086048000</v>
      </c>
      <c r="Q108">
        <v>-0.54680867389702303</v>
      </c>
      <c r="R108">
        <v>-2.1077174544201198</v>
      </c>
      <c r="S108">
        <v>-2.1454021887714201</v>
      </c>
      <c r="T108">
        <v>-5.0764411424935103</v>
      </c>
      <c r="U108">
        <v>0.870100007619379</v>
      </c>
      <c r="V108">
        <v>-3.0155021963908002</v>
      </c>
      <c r="W108">
        <v>0</v>
      </c>
      <c r="X108">
        <v>0</v>
      </c>
      <c r="Y108">
        <v>0</v>
      </c>
      <c r="Z108">
        <v>0</v>
      </c>
      <c r="AC108">
        <v>1086048000</v>
      </c>
      <c r="AD108">
        <v>-0.52004334979292899</v>
      </c>
      <c r="AE108">
        <v>-2.0771191137426901</v>
      </c>
      <c r="AF108">
        <v>-1.7013858556802099</v>
      </c>
      <c r="AG108">
        <v>-4.6367203902601597</v>
      </c>
      <c r="AH108">
        <v>0.87072322070387098</v>
      </c>
      <c r="AI108">
        <v>-2.5721090763840699</v>
      </c>
      <c r="AJ108">
        <v>0</v>
      </c>
      <c r="AK108">
        <v>0</v>
      </c>
      <c r="AL108">
        <v>0</v>
      </c>
      <c r="AM108">
        <v>0</v>
      </c>
    </row>
    <row r="109" spans="1:39" x14ac:dyDescent="0.35">
      <c r="A109" s="1">
        <v>38231</v>
      </c>
      <c r="B109">
        <f t="shared" si="34"/>
        <v>-0.30268237615474303</v>
      </c>
      <c r="C109">
        <f t="shared" si="39"/>
        <v>-1.71474855841767</v>
      </c>
      <c r="D109">
        <f t="shared" si="40"/>
        <v>-2.0802760145363299</v>
      </c>
      <c r="E109">
        <f t="shared" si="41"/>
        <v>-4.8053863689929903</v>
      </c>
      <c r="F109">
        <f t="shared" si="42"/>
        <v>1.09221687921388</v>
      </c>
      <c r="G109">
        <f t="shared" si="43"/>
        <v>-3.1724928937502201</v>
      </c>
      <c r="H109">
        <f t="shared" si="32"/>
        <v>2</v>
      </c>
      <c r="I109">
        <f t="shared" si="35"/>
        <v>0</v>
      </c>
      <c r="J109">
        <f t="shared" si="36"/>
        <v>0</v>
      </c>
      <c r="K109">
        <f t="shared" si="37"/>
        <v>0</v>
      </c>
      <c r="L109">
        <f t="shared" si="38"/>
        <v>0</v>
      </c>
      <c r="M109" s="3">
        <f t="shared" si="33"/>
        <v>0</v>
      </c>
      <c r="P109">
        <v>1093996800</v>
      </c>
      <c r="Q109">
        <v>-0.30268237615474303</v>
      </c>
      <c r="R109">
        <v>-1.71474855841767</v>
      </c>
      <c r="S109">
        <v>-2.0802760145363299</v>
      </c>
      <c r="T109">
        <v>-4.8053863689929903</v>
      </c>
      <c r="U109">
        <v>1.09221687921388</v>
      </c>
      <c r="V109">
        <v>-3.1724928937502201</v>
      </c>
      <c r="W109">
        <v>0</v>
      </c>
      <c r="X109">
        <v>0</v>
      </c>
      <c r="Y109">
        <v>0</v>
      </c>
      <c r="Z109">
        <v>0</v>
      </c>
      <c r="AC109">
        <v>1093996800</v>
      </c>
      <c r="AD109">
        <v>-0.26283520984012498</v>
      </c>
      <c r="AE109">
        <v>-1.6803123303907801</v>
      </c>
      <c r="AF109">
        <v>-1.6886580432661</v>
      </c>
      <c r="AG109">
        <v>-4.4193649716107899</v>
      </c>
      <c r="AH109">
        <v>1.0963975552123999</v>
      </c>
      <c r="AI109">
        <v>-2.7850555984784902</v>
      </c>
      <c r="AJ109">
        <v>0</v>
      </c>
      <c r="AK109">
        <v>0</v>
      </c>
      <c r="AL109">
        <v>0</v>
      </c>
      <c r="AM109">
        <v>0</v>
      </c>
    </row>
    <row r="110" spans="1:39" x14ac:dyDescent="0.35">
      <c r="A110" s="1">
        <v>38322</v>
      </c>
      <c r="B110">
        <f t="shared" si="34"/>
        <v>-0.46428807618346002</v>
      </c>
      <c r="C110">
        <f t="shared" si="39"/>
        <v>-1.52270459796036</v>
      </c>
      <c r="D110">
        <f t="shared" si="40"/>
        <v>-2.25237875656609</v>
      </c>
      <c r="E110">
        <f t="shared" si="41"/>
        <v>-5.0610532756025304</v>
      </c>
      <c r="F110">
        <f t="shared" si="42"/>
        <v>1.1773662232600901</v>
      </c>
      <c r="G110">
        <f t="shared" si="43"/>
        <v>-3.4297449798261801</v>
      </c>
      <c r="H110">
        <f t="shared" si="32"/>
        <v>2</v>
      </c>
      <c r="I110">
        <f t="shared" si="35"/>
        <v>0</v>
      </c>
      <c r="J110">
        <f t="shared" si="36"/>
        <v>0</v>
      </c>
      <c r="K110">
        <f t="shared" si="37"/>
        <v>0</v>
      </c>
      <c r="L110">
        <f t="shared" si="38"/>
        <v>0</v>
      </c>
      <c r="M110" s="3">
        <f t="shared" si="33"/>
        <v>0</v>
      </c>
      <c r="P110">
        <v>1101859200</v>
      </c>
      <c r="Q110">
        <v>-0.46428807618346002</v>
      </c>
      <c r="R110">
        <v>-1.52270459796036</v>
      </c>
      <c r="S110">
        <v>-2.25237875656609</v>
      </c>
      <c r="T110">
        <v>-5.0610532756025304</v>
      </c>
      <c r="U110">
        <v>1.1773662232600901</v>
      </c>
      <c r="V110">
        <v>-3.4297449798261801</v>
      </c>
      <c r="W110">
        <v>0</v>
      </c>
      <c r="X110">
        <v>0</v>
      </c>
      <c r="Y110">
        <v>0</v>
      </c>
      <c r="Z110">
        <v>0</v>
      </c>
      <c r="AC110">
        <v>1101859200</v>
      </c>
      <c r="AD110">
        <v>-0.40856352490604703</v>
      </c>
      <c r="AE110">
        <v>-1.48297632765934</v>
      </c>
      <c r="AF110">
        <v>-1.9085999111418901</v>
      </c>
      <c r="AG110">
        <v>-4.7245976617179801</v>
      </c>
      <c r="AH110">
        <v>1.1858502747749</v>
      </c>
      <c r="AI110">
        <v>-3.0944501859167701</v>
      </c>
      <c r="AJ110">
        <v>0</v>
      </c>
      <c r="AK110">
        <v>0</v>
      </c>
      <c r="AL110">
        <v>0</v>
      </c>
      <c r="AM110">
        <v>0</v>
      </c>
    </row>
    <row r="111" spans="1:39" x14ac:dyDescent="0.35">
      <c r="A111" s="1">
        <v>38412</v>
      </c>
      <c r="B111">
        <f t="shared" si="34"/>
        <v>-0.89821844803457596</v>
      </c>
      <c r="C111">
        <f t="shared" si="39"/>
        <v>-1.4176225961003901</v>
      </c>
      <c r="D111">
        <f t="shared" si="40"/>
        <v>-2.4816032928000902</v>
      </c>
      <c r="E111">
        <f t="shared" si="41"/>
        <v>-5.4095899972756598</v>
      </c>
      <c r="F111">
        <f t="shared" si="42"/>
        <v>1.3616148648448101</v>
      </c>
      <c r="G111">
        <f t="shared" si="43"/>
        <v>-3.8432181576448898</v>
      </c>
      <c r="H111">
        <f t="shared" si="32"/>
        <v>2</v>
      </c>
      <c r="I111">
        <f t="shared" si="35"/>
        <v>0</v>
      </c>
      <c r="J111">
        <f t="shared" si="36"/>
        <v>0</v>
      </c>
      <c r="K111">
        <f t="shared" si="37"/>
        <v>0</v>
      </c>
      <c r="L111">
        <f t="shared" si="38"/>
        <v>0</v>
      </c>
      <c r="M111" s="3">
        <f t="shared" si="33"/>
        <v>0</v>
      </c>
      <c r="P111">
        <v>1109635200</v>
      </c>
      <c r="Q111">
        <v>-0.89821844803457596</v>
      </c>
      <c r="R111">
        <v>-1.4176225961003901</v>
      </c>
      <c r="S111">
        <v>-2.4816032928000902</v>
      </c>
      <c r="T111">
        <v>-5.4095899972756598</v>
      </c>
      <c r="U111">
        <v>1.3616148648448101</v>
      </c>
      <c r="V111">
        <v>-3.8432181576448898</v>
      </c>
      <c r="W111">
        <v>0</v>
      </c>
      <c r="X111">
        <v>0</v>
      </c>
      <c r="Y111">
        <v>0</v>
      </c>
      <c r="Z111">
        <v>0</v>
      </c>
      <c r="AC111">
        <v>1109635200</v>
      </c>
      <c r="AD111">
        <v>-0.83054075979901898</v>
      </c>
      <c r="AE111">
        <v>-1.3743818556558001</v>
      </c>
      <c r="AF111">
        <v>-2.1854320697321601</v>
      </c>
      <c r="AG111">
        <v>-5.1219364959543503</v>
      </c>
      <c r="AH111">
        <v>1.37336035999916</v>
      </c>
      <c r="AI111">
        <v>-3.5587924297313198</v>
      </c>
      <c r="AJ111">
        <v>0</v>
      </c>
      <c r="AK111">
        <v>0</v>
      </c>
      <c r="AL111">
        <v>0</v>
      </c>
      <c r="AM111">
        <v>0</v>
      </c>
    </row>
    <row r="112" spans="1:39" x14ac:dyDescent="0.35">
      <c r="A112" s="1">
        <v>38504</v>
      </c>
      <c r="B112">
        <f t="shared" si="34"/>
        <v>0.723531698488316</v>
      </c>
      <c r="C112">
        <f t="shared" si="39"/>
        <v>-0.202113802787869</v>
      </c>
      <c r="D112">
        <f t="shared" si="40"/>
        <v>-0.57766150620064305</v>
      </c>
      <c r="E112">
        <f t="shared" si="41"/>
        <v>-3.4883752716274699</v>
      </c>
      <c r="F112">
        <f t="shared" si="42"/>
        <v>2.0163877532657102</v>
      </c>
      <c r="G112">
        <f t="shared" si="43"/>
        <v>-2.5940492594663498</v>
      </c>
      <c r="H112">
        <f t="shared" si="32"/>
        <v>2</v>
      </c>
      <c r="I112">
        <f t="shared" si="35"/>
        <v>0</v>
      </c>
      <c r="J112">
        <f t="shared" si="36"/>
        <v>0</v>
      </c>
      <c r="K112">
        <f t="shared" si="37"/>
        <v>0</v>
      </c>
      <c r="L112">
        <f t="shared" si="38"/>
        <v>0</v>
      </c>
      <c r="M112" s="3">
        <f t="shared" si="33"/>
        <v>0</v>
      </c>
      <c r="P112">
        <v>1117584000</v>
      </c>
      <c r="Q112">
        <v>0.723531698488316</v>
      </c>
      <c r="R112">
        <v>-0.202113802787869</v>
      </c>
      <c r="S112">
        <v>-0.57766150620064305</v>
      </c>
      <c r="T112">
        <v>-3.4883752716274699</v>
      </c>
      <c r="U112">
        <v>2.0163877532657102</v>
      </c>
      <c r="V112">
        <v>-2.5940492594663498</v>
      </c>
      <c r="W112">
        <v>0</v>
      </c>
      <c r="X112">
        <v>0</v>
      </c>
      <c r="Y112">
        <v>0</v>
      </c>
      <c r="Z112">
        <v>0</v>
      </c>
      <c r="AC112">
        <v>1117584000</v>
      </c>
      <c r="AD112">
        <v>0.80402975085074102</v>
      </c>
      <c r="AE112">
        <v>-0.15483625024766101</v>
      </c>
      <c r="AF112">
        <v>-0.32590910499389703</v>
      </c>
      <c r="AG112">
        <v>-3.2464952161067502</v>
      </c>
      <c r="AH112">
        <v>2.03163358954889</v>
      </c>
      <c r="AI112">
        <v>-2.35754269454277</v>
      </c>
      <c r="AJ112">
        <v>0</v>
      </c>
      <c r="AK112">
        <v>0</v>
      </c>
      <c r="AL112">
        <v>0</v>
      </c>
      <c r="AM112">
        <v>0</v>
      </c>
    </row>
    <row r="113" spans="1:39" x14ac:dyDescent="0.35">
      <c r="A113" s="1">
        <v>38596</v>
      </c>
      <c r="B113">
        <f t="shared" si="34"/>
        <v>0.38462606087788098</v>
      </c>
      <c r="C113">
        <f t="shared" si="39"/>
        <v>0.18520498398104099</v>
      </c>
      <c r="D113">
        <f t="shared" si="40"/>
        <v>-0.507775225362048</v>
      </c>
      <c r="E113">
        <f t="shared" si="41"/>
        <v>-3.6310333272343698</v>
      </c>
      <c r="F113">
        <f t="shared" si="42"/>
        <v>2.3761463033304802</v>
      </c>
      <c r="G113">
        <f t="shared" si="43"/>
        <v>-2.8839215286925302</v>
      </c>
      <c r="H113">
        <f t="shared" si="32"/>
        <v>2</v>
      </c>
      <c r="I113">
        <f t="shared" si="35"/>
        <v>0</v>
      </c>
      <c r="J113">
        <f t="shared" si="36"/>
        <v>0</v>
      </c>
      <c r="K113">
        <f t="shared" si="37"/>
        <v>0</v>
      </c>
      <c r="L113">
        <f t="shared" si="38"/>
        <v>0</v>
      </c>
      <c r="M113" s="3">
        <f t="shared" si="33"/>
        <v>0</v>
      </c>
      <c r="P113">
        <v>1125532800</v>
      </c>
      <c r="Q113">
        <v>0.38462606087788098</v>
      </c>
      <c r="R113">
        <v>0.18520498398104099</v>
      </c>
      <c r="S113">
        <v>-0.507775225362048</v>
      </c>
      <c r="T113">
        <v>-3.6310333272343698</v>
      </c>
      <c r="U113">
        <v>2.3761463033304802</v>
      </c>
      <c r="V113">
        <v>-2.8839215286925302</v>
      </c>
      <c r="W113">
        <v>0</v>
      </c>
      <c r="X113">
        <v>0</v>
      </c>
      <c r="Y113">
        <v>0</v>
      </c>
      <c r="Z113">
        <v>0</v>
      </c>
      <c r="AC113">
        <v>1125532800</v>
      </c>
      <c r="AD113">
        <v>0.47778440351773299</v>
      </c>
      <c r="AE113">
        <v>0.23655199704857399</v>
      </c>
      <c r="AF113">
        <v>-0.29795271788876398</v>
      </c>
      <c r="AG113">
        <v>-3.4324444686240798</v>
      </c>
      <c r="AH113">
        <v>2.3948604650109702</v>
      </c>
      <c r="AI113">
        <v>-2.6928131828997199</v>
      </c>
      <c r="AJ113">
        <v>0</v>
      </c>
      <c r="AK113">
        <v>0</v>
      </c>
      <c r="AL113">
        <v>0</v>
      </c>
      <c r="AM113">
        <v>0</v>
      </c>
    </row>
    <row r="114" spans="1:39" x14ac:dyDescent="0.35">
      <c r="A114" s="1">
        <v>38687</v>
      </c>
      <c r="B114">
        <f t="shared" si="34"/>
        <v>1.15844888525852</v>
      </c>
      <c r="C114">
        <f t="shared" si="39"/>
        <v>1.2549084211727499</v>
      </c>
      <c r="D114">
        <f t="shared" si="40"/>
        <v>0.14010096164479099</v>
      </c>
      <c r="E114">
        <f t="shared" si="41"/>
        <v>-2.98324979970478</v>
      </c>
      <c r="F114">
        <f t="shared" si="42"/>
        <v>2.92620932416391</v>
      </c>
      <c r="G114">
        <f t="shared" si="43"/>
        <v>-2.7861083625191099</v>
      </c>
      <c r="H114">
        <f t="shared" si="32"/>
        <v>2</v>
      </c>
      <c r="I114">
        <f t="shared" si="35"/>
        <v>0</v>
      </c>
      <c r="J114">
        <f t="shared" si="36"/>
        <v>0</v>
      </c>
      <c r="K114">
        <f t="shared" si="37"/>
        <v>0</v>
      </c>
      <c r="L114">
        <f t="shared" si="38"/>
        <v>0</v>
      </c>
      <c r="M114" s="3">
        <f t="shared" si="33"/>
        <v>0</v>
      </c>
      <c r="P114">
        <v>1133395200</v>
      </c>
      <c r="Q114">
        <v>1.15844888525852</v>
      </c>
      <c r="R114">
        <v>1.2549084211727499</v>
      </c>
      <c r="S114">
        <v>0.14010096164479099</v>
      </c>
      <c r="T114">
        <v>-2.98324979970478</v>
      </c>
      <c r="U114">
        <v>2.92620932416391</v>
      </c>
      <c r="V114">
        <v>-2.7861083625191099</v>
      </c>
      <c r="W114">
        <v>0</v>
      </c>
      <c r="X114">
        <v>0</v>
      </c>
      <c r="Y114">
        <v>0</v>
      </c>
      <c r="Z114">
        <v>0</v>
      </c>
      <c r="AC114">
        <v>1133395200</v>
      </c>
      <c r="AD114">
        <v>1.2626081987821001</v>
      </c>
      <c r="AE114">
        <v>1.30962536363497</v>
      </c>
      <c r="AF114">
        <v>0.30945219119596101</v>
      </c>
      <c r="AG114">
        <v>-2.8262827436287798</v>
      </c>
      <c r="AH114">
        <v>2.9479508721930099</v>
      </c>
      <c r="AI114">
        <v>-2.6384986809970301</v>
      </c>
      <c r="AJ114">
        <v>0</v>
      </c>
      <c r="AK114">
        <v>0</v>
      </c>
      <c r="AL114">
        <v>0</v>
      </c>
      <c r="AM114">
        <v>0</v>
      </c>
    </row>
    <row r="115" spans="1:39" x14ac:dyDescent="0.35">
      <c r="A115" s="1">
        <v>38777</v>
      </c>
      <c r="B115">
        <f t="shared" si="34"/>
        <v>1.29271046502124</v>
      </c>
      <c r="C115">
        <f t="shared" si="39"/>
        <v>2.1257921116591101</v>
      </c>
      <c r="D115">
        <f t="shared" si="40"/>
        <v>0.700975337268535</v>
      </c>
      <c r="E115">
        <f t="shared" si="41"/>
        <v>-2.2298301999477301</v>
      </c>
      <c r="F115">
        <f t="shared" si="42"/>
        <v>3.08665519140671</v>
      </c>
      <c r="G115">
        <f t="shared" si="43"/>
        <v>-2.3856798541381798</v>
      </c>
      <c r="H115">
        <f t="shared" si="32"/>
        <v>2</v>
      </c>
      <c r="I115">
        <f t="shared" si="35"/>
        <v>0</v>
      </c>
      <c r="J115">
        <f t="shared" si="36"/>
        <v>3.9310034893471797E-2</v>
      </c>
      <c r="K115">
        <f t="shared" si="37"/>
        <v>0</v>
      </c>
      <c r="L115">
        <f t="shared" si="38"/>
        <v>0</v>
      </c>
      <c r="M115" s="3">
        <f t="shared" si="33"/>
        <v>0</v>
      </c>
      <c r="P115">
        <v>1141171200</v>
      </c>
      <c r="Q115">
        <v>1.29271046502124</v>
      </c>
      <c r="R115">
        <v>2.1257921116591101</v>
      </c>
      <c r="S115">
        <v>0.700975337268535</v>
      </c>
      <c r="T115">
        <v>-2.2298301999477301</v>
      </c>
      <c r="U115">
        <v>3.08665519140671</v>
      </c>
      <c r="V115">
        <v>-2.3856798541381798</v>
      </c>
      <c r="W115">
        <v>0</v>
      </c>
      <c r="X115">
        <v>3.9310034893471797E-2</v>
      </c>
      <c r="Y115">
        <v>0</v>
      </c>
      <c r="Z115">
        <v>0</v>
      </c>
      <c r="AC115">
        <v>1141171200</v>
      </c>
      <c r="AD115">
        <v>1.4087226049933099</v>
      </c>
      <c r="AE115">
        <v>2.18441696725053</v>
      </c>
      <c r="AF115">
        <v>0.83285386677620399</v>
      </c>
      <c r="AG115">
        <v>-2.11164601385883</v>
      </c>
      <c r="AH115">
        <v>3.1116785178187798</v>
      </c>
      <c r="AI115">
        <v>-2.27882465104256</v>
      </c>
      <c r="AJ115">
        <v>0</v>
      </c>
      <c r="AK115">
        <v>5.7630302265790898E-2</v>
      </c>
      <c r="AL115">
        <v>0</v>
      </c>
      <c r="AM115">
        <v>0</v>
      </c>
    </row>
    <row r="116" spans="1:39" x14ac:dyDescent="0.35">
      <c r="A116" s="1">
        <v>38869</v>
      </c>
      <c r="B116">
        <f t="shared" si="34"/>
        <v>2.3080990841834201</v>
      </c>
      <c r="C116">
        <f t="shared" si="39"/>
        <v>3.32281356986738</v>
      </c>
      <c r="D116">
        <f t="shared" si="40"/>
        <v>1.76194219607656</v>
      </c>
      <c r="E116">
        <f t="shared" si="41"/>
        <v>-1.46318849976965</v>
      </c>
      <c r="F116">
        <f t="shared" si="42"/>
        <v>3.6393548620989802</v>
      </c>
      <c r="G116">
        <f t="shared" si="43"/>
        <v>-1.87741266602242</v>
      </c>
      <c r="H116">
        <f t="shared" si="32"/>
        <v>2</v>
      </c>
      <c r="I116">
        <f t="shared" si="35"/>
        <v>9.6280963807318196E-2</v>
      </c>
      <c r="J116">
        <f t="shared" si="36"/>
        <v>0.41337924058355802</v>
      </c>
      <c r="K116">
        <f t="shared" si="37"/>
        <v>0</v>
      </c>
      <c r="L116">
        <f t="shared" si="38"/>
        <v>0</v>
      </c>
      <c r="M116" s="3">
        <f t="shared" si="33"/>
        <v>4.8140481903659098E-2</v>
      </c>
      <c r="P116">
        <v>1149120000</v>
      </c>
      <c r="Q116">
        <v>2.3080990841834201</v>
      </c>
      <c r="R116">
        <v>3.32281356986738</v>
      </c>
      <c r="S116">
        <v>1.76194219607656</v>
      </c>
      <c r="T116">
        <v>-1.46318849976965</v>
      </c>
      <c r="U116">
        <v>3.6393548620989802</v>
      </c>
      <c r="V116">
        <v>-1.87741266602242</v>
      </c>
      <c r="W116">
        <v>9.6280963807318196E-2</v>
      </c>
      <c r="X116">
        <v>0.41337924058355802</v>
      </c>
      <c r="Y116">
        <v>0</v>
      </c>
      <c r="Z116">
        <v>0</v>
      </c>
      <c r="AC116">
        <v>1149120000</v>
      </c>
      <c r="AD116">
        <v>2.4356947122046502</v>
      </c>
      <c r="AE116">
        <v>3.3853409593534001</v>
      </c>
      <c r="AF116">
        <v>1.8585696753744601</v>
      </c>
      <c r="AG116">
        <v>-1.3815658900801699</v>
      </c>
      <c r="AH116">
        <v>3.6676103244965299</v>
      </c>
      <c r="AI116">
        <v>-1.8090406491220501</v>
      </c>
      <c r="AJ116">
        <v>0.13615459756395401</v>
      </c>
      <c r="AK116">
        <v>0.43291904979793799</v>
      </c>
      <c r="AL116">
        <v>0</v>
      </c>
      <c r="AM116">
        <v>0</v>
      </c>
    </row>
    <row r="117" spans="1:39" x14ac:dyDescent="0.35">
      <c r="A117" s="1">
        <v>38961</v>
      </c>
      <c r="B117">
        <f t="shared" si="34"/>
        <v>2.1992734159939702</v>
      </c>
      <c r="C117">
        <f t="shared" si="39"/>
        <v>3.18728390211121</v>
      </c>
      <c r="D117">
        <f t="shared" si="40"/>
        <v>1.5779507672376401</v>
      </c>
      <c r="E117">
        <f t="shared" si="41"/>
        <v>-1.57144831252255</v>
      </c>
      <c r="F117">
        <f t="shared" si="42"/>
        <v>3.7684773416458399</v>
      </c>
      <c r="G117">
        <f t="shared" si="43"/>
        <v>-2.1905265744081901</v>
      </c>
      <c r="H117">
        <f t="shared" si="32"/>
        <v>2</v>
      </c>
      <c r="I117">
        <f t="shared" si="35"/>
        <v>6.2272942498114998E-2</v>
      </c>
      <c r="J117">
        <f t="shared" si="36"/>
        <v>0.371026219409753</v>
      </c>
      <c r="K117">
        <f t="shared" si="37"/>
        <v>0</v>
      </c>
      <c r="L117">
        <f t="shared" si="38"/>
        <v>0</v>
      </c>
      <c r="M117" s="3">
        <f t="shared" si="33"/>
        <v>3.1136471249057499E-2</v>
      </c>
      <c r="P117">
        <v>1157068800</v>
      </c>
      <c r="Q117">
        <v>2.1992734159939702</v>
      </c>
      <c r="R117">
        <v>3.18728390211121</v>
      </c>
      <c r="S117">
        <v>1.5779507672376401</v>
      </c>
      <c r="T117">
        <v>-1.57144831252255</v>
      </c>
      <c r="U117">
        <v>3.7684773416458399</v>
      </c>
      <c r="V117">
        <v>-2.1905265744081901</v>
      </c>
      <c r="W117">
        <v>6.2272942498114998E-2</v>
      </c>
      <c r="X117">
        <v>0.371026219409753</v>
      </c>
      <c r="Y117">
        <v>0</v>
      </c>
      <c r="Z117">
        <v>0</v>
      </c>
      <c r="AC117">
        <v>1157068800</v>
      </c>
      <c r="AD117">
        <v>2.3352541821464801</v>
      </c>
      <c r="AE117">
        <v>3.2522027836991598</v>
      </c>
      <c r="AF117">
        <v>1.6395780860401601</v>
      </c>
      <c r="AG117">
        <v>-1.5256816049530999</v>
      </c>
      <c r="AH117">
        <v>3.79907731707809</v>
      </c>
      <c r="AI117">
        <v>-2.15949923103791</v>
      </c>
      <c r="AJ117">
        <v>0.10476693192077401</v>
      </c>
      <c r="AK117">
        <v>0.39131336990598597</v>
      </c>
      <c r="AL117">
        <v>0</v>
      </c>
      <c r="AM117">
        <v>0</v>
      </c>
    </row>
    <row r="118" spans="1:39" x14ac:dyDescent="0.35">
      <c r="A118" s="1">
        <v>39052</v>
      </c>
      <c r="B118">
        <f t="shared" si="34"/>
        <v>2.7436500806835098</v>
      </c>
      <c r="C118">
        <f t="shared" si="39"/>
        <v>3.6400365098110101</v>
      </c>
      <c r="D118">
        <f t="shared" si="40"/>
        <v>1.90950680320692</v>
      </c>
      <c r="E118">
        <f t="shared" si="41"/>
        <v>-0.66011046399407503</v>
      </c>
      <c r="F118">
        <f t="shared" si="42"/>
        <v>3.91391466359324</v>
      </c>
      <c r="G118">
        <f t="shared" si="43"/>
        <v>-2.0044078603863098</v>
      </c>
      <c r="H118">
        <f t="shared" si="32"/>
        <v>2</v>
      </c>
      <c r="I118">
        <f t="shared" si="35"/>
        <v>0.23239065021359601</v>
      </c>
      <c r="J118">
        <f t="shared" si="36"/>
        <v>0.51251140931594197</v>
      </c>
      <c r="K118">
        <f t="shared" si="37"/>
        <v>0</v>
      </c>
      <c r="L118">
        <f t="shared" si="38"/>
        <v>0</v>
      </c>
      <c r="M118" s="3">
        <f t="shared" si="33"/>
        <v>0.116195325106798</v>
      </c>
      <c r="P118">
        <v>1164931200</v>
      </c>
      <c r="Q118">
        <v>2.7436500806835098</v>
      </c>
      <c r="R118">
        <v>3.6400365098110101</v>
      </c>
      <c r="S118">
        <v>1.90950680320692</v>
      </c>
      <c r="T118">
        <v>-0.66011046399407503</v>
      </c>
      <c r="U118">
        <v>3.91391466359324</v>
      </c>
      <c r="V118">
        <v>-2.0044078603863098</v>
      </c>
      <c r="W118">
        <v>0.23239065021359601</v>
      </c>
      <c r="X118">
        <v>0.51251140931594197</v>
      </c>
      <c r="Y118">
        <v>0</v>
      </c>
      <c r="Z118">
        <v>0</v>
      </c>
      <c r="AC118">
        <v>1164931200</v>
      </c>
      <c r="AD118">
        <v>2.8849831728350699</v>
      </c>
      <c r="AE118">
        <v>3.7059290302847501</v>
      </c>
      <c r="AF118">
        <v>1.9364401188160301</v>
      </c>
      <c r="AG118">
        <v>-0.64945091278073297</v>
      </c>
      <c r="AH118">
        <v>3.9460003186306598</v>
      </c>
      <c r="AI118">
        <v>-2.00956019981462</v>
      </c>
      <c r="AJ118">
        <v>0.27655724151096001</v>
      </c>
      <c r="AK118">
        <v>0.53310282196398495</v>
      </c>
      <c r="AL118">
        <v>0</v>
      </c>
      <c r="AM118">
        <v>0</v>
      </c>
    </row>
    <row r="119" spans="1:39" x14ac:dyDescent="0.35">
      <c r="A119" s="1">
        <v>39142</v>
      </c>
      <c r="B119">
        <f t="shared" si="34"/>
        <v>2.7455138501490599</v>
      </c>
      <c r="C119">
        <f t="shared" si="39"/>
        <v>3.7867305513823202</v>
      </c>
      <c r="D119">
        <f t="shared" si="40"/>
        <v>2.1529253126210599</v>
      </c>
      <c r="E119">
        <f t="shared" si="41"/>
        <v>-0.34601670637662402</v>
      </c>
      <c r="F119">
        <f t="shared" si="42"/>
        <v>3.9362543351113599</v>
      </c>
      <c r="G119">
        <f t="shared" si="43"/>
        <v>-1.7833290224903</v>
      </c>
      <c r="H119">
        <f t="shared" si="32"/>
        <v>2</v>
      </c>
      <c r="I119">
        <f t="shared" si="35"/>
        <v>0.232973078171581</v>
      </c>
      <c r="J119">
        <f t="shared" si="36"/>
        <v>0.55835329730697603</v>
      </c>
      <c r="K119">
        <f t="shared" si="37"/>
        <v>4.77891601940807E-2</v>
      </c>
      <c r="L119">
        <f t="shared" si="38"/>
        <v>0</v>
      </c>
      <c r="M119" s="3">
        <f t="shared" si="33"/>
        <v>0.14038111918283086</v>
      </c>
      <c r="P119">
        <v>1172707200</v>
      </c>
      <c r="Q119">
        <v>2.7455138501490599</v>
      </c>
      <c r="R119">
        <v>3.7867305513823202</v>
      </c>
      <c r="S119">
        <v>2.1529253126210599</v>
      </c>
      <c r="T119">
        <v>-0.34601670637662402</v>
      </c>
      <c r="U119">
        <v>3.9362543351113599</v>
      </c>
      <c r="V119">
        <v>-1.7833290224903</v>
      </c>
      <c r="W119">
        <v>0.232973078171581</v>
      </c>
      <c r="X119">
        <v>0.55835329730697603</v>
      </c>
      <c r="Y119">
        <v>4.77891601940807E-2</v>
      </c>
      <c r="Z119">
        <v>0</v>
      </c>
      <c r="AC119">
        <v>1172707200</v>
      </c>
      <c r="AD119">
        <v>2.8952603761091402</v>
      </c>
      <c r="AE119">
        <v>3.8552433463140301</v>
      </c>
      <c r="AF119">
        <v>2.1493242457572102</v>
      </c>
      <c r="AG119">
        <v>-0.36680723464931198</v>
      </c>
      <c r="AH119">
        <v>3.9707191551742</v>
      </c>
      <c r="AI119">
        <v>-1.8213949094169699</v>
      </c>
      <c r="AJ119">
        <v>0.27976886753410601</v>
      </c>
      <c r="AK119">
        <v>0.57976354572313404</v>
      </c>
      <c r="AL119">
        <v>4.6663826799129303E-2</v>
      </c>
      <c r="AM119">
        <v>0</v>
      </c>
    </row>
    <row r="120" spans="1:39" x14ac:dyDescent="0.35">
      <c r="A120" s="1">
        <v>39234</v>
      </c>
      <c r="B120">
        <f t="shared" si="34"/>
        <v>4.2770677255584797</v>
      </c>
      <c r="C120">
        <f t="shared" si="39"/>
        <v>4.7235993315654801</v>
      </c>
      <c r="D120">
        <f t="shared" si="40"/>
        <v>3.5465859784537801</v>
      </c>
      <c r="E120">
        <f t="shared" si="41"/>
        <v>0.99219012627057601</v>
      </c>
      <c r="F120">
        <f t="shared" si="42"/>
        <v>4.3154315708604303</v>
      </c>
      <c r="G120">
        <f t="shared" si="43"/>
        <v>-0.76884559240665096</v>
      </c>
      <c r="H120">
        <f t="shared" si="32"/>
        <v>2</v>
      </c>
      <c r="I120">
        <f t="shared" si="35"/>
        <v>0.71158366423702601</v>
      </c>
      <c r="J120">
        <f t="shared" si="36"/>
        <v>0.85112479111421402</v>
      </c>
      <c r="K120">
        <f t="shared" si="37"/>
        <v>0.48330811826680797</v>
      </c>
      <c r="L120">
        <f t="shared" si="38"/>
        <v>0</v>
      </c>
      <c r="M120" s="3">
        <f t="shared" si="33"/>
        <v>0.59744589125191694</v>
      </c>
      <c r="P120">
        <v>1180656000</v>
      </c>
      <c r="Q120">
        <v>4.2770677255584797</v>
      </c>
      <c r="R120">
        <v>4.7235993315654801</v>
      </c>
      <c r="S120">
        <v>3.5465859784537801</v>
      </c>
      <c r="T120">
        <v>0.99219012627057601</v>
      </c>
      <c r="U120">
        <v>4.3154315708604303</v>
      </c>
      <c r="V120">
        <v>-0.76884559240665096</v>
      </c>
      <c r="W120">
        <v>0.71158366423702601</v>
      </c>
      <c r="X120">
        <v>0.85112479111421402</v>
      </c>
      <c r="Y120">
        <v>0.48330811826680797</v>
      </c>
      <c r="Z120">
        <v>0</v>
      </c>
      <c r="AC120">
        <v>1180656000</v>
      </c>
      <c r="AD120">
        <v>4.4316404839601304</v>
      </c>
      <c r="AE120">
        <v>4.7930156962607802</v>
      </c>
      <c r="AF120">
        <v>3.5122630056592801</v>
      </c>
      <c r="AG120">
        <v>0.94027629598187101</v>
      </c>
      <c r="AH120">
        <v>4.3512552314441004</v>
      </c>
      <c r="AI120">
        <v>-0.83899222578480004</v>
      </c>
      <c r="AJ120">
        <v>0.75988765123754198</v>
      </c>
      <c r="AK120">
        <v>0.87281740508149497</v>
      </c>
      <c r="AL120">
        <v>0.47258218926852602</v>
      </c>
      <c r="AM120">
        <v>0</v>
      </c>
    </row>
    <row r="121" spans="1:39" x14ac:dyDescent="0.35">
      <c r="A121" s="1">
        <v>39326</v>
      </c>
      <c r="B121">
        <f t="shared" si="34"/>
        <v>4.4580867515018703</v>
      </c>
      <c r="C121">
        <f t="shared" si="39"/>
        <v>5.5447140590472301</v>
      </c>
      <c r="D121">
        <f t="shared" si="40"/>
        <v>3.41045873729513</v>
      </c>
      <c r="E121">
        <f t="shared" si="41"/>
        <v>1.8294321280324</v>
      </c>
      <c r="F121">
        <f t="shared" si="42"/>
        <v>4.5002421087170301</v>
      </c>
      <c r="G121">
        <f t="shared" si="43"/>
        <v>-1.0897833714218901</v>
      </c>
      <c r="H121">
        <f t="shared" si="32"/>
        <v>2</v>
      </c>
      <c r="I121">
        <f t="shared" si="35"/>
        <v>0.76815210984433502</v>
      </c>
      <c r="J121">
        <f t="shared" si="36"/>
        <v>1.1077231434522601</v>
      </c>
      <c r="K121">
        <f t="shared" si="37"/>
        <v>0.44076835540472897</v>
      </c>
      <c r="L121">
        <f t="shared" si="38"/>
        <v>0</v>
      </c>
      <c r="M121" s="3">
        <f t="shared" si="33"/>
        <v>0.60446023262453197</v>
      </c>
      <c r="P121">
        <v>1188604800</v>
      </c>
      <c r="Q121">
        <v>4.4580867515018703</v>
      </c>
      <c r="R121">
        <v>5.5447140590472301</v>
      </c>
      <c r="S121">
        <v>3.41045873729513</v>
      </c>
      <c r="T121">
        <v>1.8294321280324</v>
      </c>
      <c r="U121">
        <v>4.5002421087170301</v>
      </c>
      <c r="V121">
        <v>-1.0897833714218901</v>
      </c>
      <c r="W121">
        <v>0.76815210984433502</v>
      </c>
      <c r="X121">
        <v>1.1077231434522601</v>
      </c>
      <c r="Y121">
        <v>0.44076835540472897</v>
      </c>
      <c r="Z121">
        <v>0</v>
      </c>
      <c r="AC121">
        <v>1188604800</v>
      </c>
      <c r="AD121">
        <v>4.6184736822730699</v>
      </c>
      <c r="AE121">
        <v>5.6156349511466699</v>
      </c>
      <c r="AF121">
        <v>3.3481027761212001</v>
      </c>
      <c r="AG121">
        <v>1.74891323970886</v>
      </c>
      <c r="AH121">
        <v>4.5377255293840504</v>
      </c>
      <c r="AI121">
        <v>-1.1896227532628401</v>
      </c>
      <c r="AJ121">
        <v>0.818273025710335</v>
      </c>
      <c r="AK121">
        <v>1.12988592223333</v>
      </c>
      <c r="AL121">
        <v>0.42128211753787498</v>
      </c>
      <c r="AM121">
        <v>0</v>
      </c>
    </row>
    <row r="122" spans="1:39" x14ac:dyDescent="0.35">
      <c r="A122" s="1">
        <v>39417</v>
      </c>
      <c r="B122">
        <f t="shared" si="34"/>
        <v>3.7697013537011999</v>
      </c>
      <c r="C122">
        <f t="shared" si="39"/>
        <v>6.4266309157771904</v>
      </c>
      <c r="D122">
        <f t="shared" si="40"/>
        <v>2.8386026866660101</v>
      </c>
      <c r="E122">
        <f t="shared" si="41"/>
        <v>1.8720104034748299</v>
      </c>
      <c r="F122">
        <f t="shared" si="42"/>
        <v>4.6841935243837201</v>
      </c>
      <c r="G122">
        <f t="shared" si="43"/>
        <v>-1.8455908377176999</v>
      </c>
      <c r="H122">
        <f t="shared" si="32"/>
        <v>2</v>
      </c>
      <c r="I122">
        <f t="shared" si="35"/>
        <v>0.55303167303162504</v>
      </c>
      <c r="J122">
        <f t="shared" si="36"/>
        <v>1.3833221611803701</v>
      </c>
      <c r="K122">
        <f t="shared" si="37"/>
        <v>0.262063339583129</v>
      </c>
      <c r="L122">
        <f t="shared" si="38"/>
        <v>0</v>
      </c>
      <c r="M122" s="3">
        <f t="shared" si="33"/>
        <v>0.40754750630737702</v>
      </c>
      <c r="P122">
        <v>1196467200</v>
      </c>
      <c r="Q122">
        <v>3.7697013537011999</v>
      </c>
      <c r="R122">
        <v>6.4266309157771904</v>
      </c>
      <c r="S122">
        <v>2.8386026866660101</v>
      </c>
      <c r="T122">
        <v>1.8720104034748299</v>
      </c>
      <c r="U122">
        <v>4.6841935243837201</v>
      </c>
      <c r="V122">
        <v>-1.8455908377176999</v>
      </c>
      <c r="W122">
        <v>0.55303167303162504</v>
      </c>
      <c r="X122">
        <v>1.3833221611803701</v>
      </c>
      <c r="Y122">
        <v>0.262063339583129</v>
      </c>
      <c r="Z122">
        <v>0</v>
      </c>
      <c r="AC122">
        <v>1196467200</v>
      </c>
      <c r="AD122">
        <v>3.9360380900580401</v>
      </c>
      <c r="AE122">
        <v>6.4992307464727297</v>
      </c>
      <c r="AF122">
        <v>2.7502959716481601</v>
      </c>
      <c r="AG122">
        <v>1.7649235916161801</v>
      </c>
      <c r="AH122">
        <v>4.7233951825080203</v>
      </c>
      <c r="AI122">
        <v>-1.97309921085986</v>
      </c>
      <c r="AJ122">
        <v>0.60501190314313602</v>
      </c>
      <c r="AK122">
        <v>1.40600960827273</v>
      </c>
      <c r="AL122">
        <v>0.234467491140049</v>
      </c>
      <c r="AM122">
        <v>0</v>
      </c>
    </row>
    <row r="123" spans="1:39" x14ac:dyDescent="0.35">
      <c r="A123" s="1">
        <v>39508</v>
      </c>
      <c r="B123">
        <f t="shared" si="34"/>
        <v>3.74960224978788</v>
      </c>
      <c r="C123">
        <f t="shared" si="39"/>
        <v>6.9134880746694103</v>
      </c>
      <c r="D123">
        <f t="shared" si="40"/>
        <v>3.0584309306064101</v>
      </c>
      <c r="E123">
        <f t="shared" si="41"/>
        <v>1.99995563207675</v>
      </c>
      <c r="F123">
        <f t="shared" si="42"/>
        <v>4.5224094368873597</v>
      </c>
      <c r="G123">
        <f t="shared" si="43"/>
        <v>-1.4639785062809501</v>
      </c>
      <c r="H123">
        <f t="shared" si="32"/>
        <v>2</v>
      </c>
      <c r="I123">
        <f t="shared" si="35"/>
        <v>0.54675070305871398</v>
      </c>
      <c r="J123">
        <f t="shared" si="36"/>
        <v>1.53546502333419</v>
      </c>
      <c r="K123">
        <f t="shared" si="37"/>
        <v>0.330759665814502</v>
      </c>
      <c r="L123">
        <f t="shared" si="38"/>
        <v>0</v>
      </c>
      <c r="M123" s="3">
        <f t="shared" si="33"/>
        <v>0.43875518443660799</v>
      </c>
      <c r="P123">
        <v>1204329600</v>
      </c>
      <c r="Q123">
        <v>3.74960224978788</v>
      </c>
      <c r="R123">
        <v>6.9134880746694103</v>
      </c>
      <c r="S123">
        <v>3.0584309306064101</v>
      </c>
      <c r="T123">
        <v>1.99995563207675</v>
      </c>
      <c r="U123">
        <v>4.5224094368873597</v>
      </c>
      <c r="V123">
        <v>-1.4639785062809501</v>
      </c>
      <c r="W123">
        <v>0.54675070305871398</v>
      </c>
      <c r="X123">
        <v>1.53546502333419</v>
      </c>
      <c r="Y123">
        <v>0.330759665814502</v>
      </c>
      <c r="Z123">
        <v>0</v>
      </c>
      <c r="AC123">
        <v>1204329600</v>
      </c>
      <c r="AD123">
        <v>3.9216146043905802</v>
      </c>
      <c r="AE123">
        <v>6.9877257498088996</v>
      </c>
      <c r="AF123">
        <v>2.9459305966971101</v>
      </c>
      <c r="AG123">
        <v>1.8680720157497199</v>
      </c>
      <c r="AH123">
        <v>4.5632634011779398</v>
      </c>
      <c r="AI123">
        <v>-1.61733280448082</v>
      </c>
      <c r="AJ123">
        <v>0.60050456387205597</v>
      </c>
      <c r="AK123">
        <v>1.55866429681528</v>
      </c>
      <c r="AL123">
        <v>0.29560331146784802</v>
      </c>
      <c r="AM123">
        <v>0</v>
      </c>
    </row>
    <row r="124" spans="1:39" x14ac:dyDescent="0.35">
      <c r="A124" s="1">
        <v>39600</v>
      </c>
      <c r="B124">
        <f t="shared" si="34"/>
        <v>5.7558481298841304</v>
      </c>
      <c r="C124">
        <f t="shared" si="39"/>
        <v>7.6288316660630002</v>
      </c>
      <c r="D124">
        <f t="shared" si="40"/>
        <v>4.30821674972234</v>
      </c>
      <c r="E124">
        <f t="shared" si="41"/>
        <v>3.1776671330887201</v>
      </c>
      <c r="F124">
        <f t="shared" si="42"/>
        <v>4.6350214736321496</v>
      </c>
      <c r="G124">
        <f t="shared" si="43"/>
        <v>-0.32680472390982002</v>
      </c>
      <c r="H124">
        <f t="shared" si="32"/>
        <v>2</v>
      </c>
      <c r="I124">
        <f t="shared" si="35"/>
        <v>1.17370254058879</v>
      </c>
      <c r="J124">
        <f t="shared" si="36"/>
        <v>1.75900989564469</v>
      </c>
      <c r="K124">
        <f t="shared" si="37"/>
        <v>0.72131773428822998</v>
      </c>
      <c r="L124">
        <f t="shared" si="38"/>
        <v>0.36802097909022402</v>
      </c>
      <c r="M124" s="3">
        <f t="shared" si="33"/>
        <v>0.94751013743850998</v>
      </c>
      <c r="P124">
        <v>1212278400</v>
      </c>
      <c r="Q124">
        <v>5.7558481298841304</v>
      </c>
      <c r="R124">
        <v>7.6288316660630002</v>
      </c>
      <c r="S124">
        <v>4.30821674972234</v>
      </c>
      <c r="T124">
        <v>3.1776671330887201</v>
      </c>
      <c r="U124">
        <v>4.6350214736321496</v>
      </c>
      <c r="V124">
        <v>-0.32680472390982002</v>
      </c>
      <c r="W124">
        <v>1.17370254058879</v>
      </c>
      <c r="X124">
        <v>1.75900989564469</v>
      </c>
      <c r="Y124">
        <v>0.72131773428822998</v>
      </c>
      <c r="Z124">
        <v>0.36802097909022402</v>
      </c>
      <c r="AC124">
        <v>1212278400</v>
      </c>
      <c r="AD124">
        <v>5.9315949445940896</v>
      </c>
      <c r="AE124">
        <v>7.70377550979482</v>
      </c>
      <c r="AF124">
        <v>4.1721354129874602</v>
      </c>
      <c r="AG124">
        <v>3.02186149170296</v>
      </c>
      <c r="AH124">
        <v>4.6769669366228204</v>
      </c>
      <c r="AI124">
        <v>-0.50483152363535599</v>
      </c>
      <c r="AJ124">
        <v>1.2286234201856501</v>
      </c>
      <c r="AK124">
        <v>1.7824298468108799</v>
      </c>
      <c r="AL124">
        <v>0.67879231655857997</v>
      </c>
      <c r="AM124">
        <v>0.31933171615717598</v>
      </c>
    </row>
    <row r="125" spans="1:39" x14ac:dyDescent="0.35">
      <c r="A125" s="1">
        <v>39692</v>
      </c>
      <c r="B125">
        <f t="shared" si="34"/>
        <v>7.1771325901918397</v>
      </c>
      <c r="C125">
        <f t="shared" si="39"/>
        <v>8.1862116306036707</v>
      </c>
      <c r="D125">
        <f t="shared" si="40"/>
        <v>5.2647007175732297</v>
      </c>
      <c r="E125">
        <f t="shared" si="41"/>
        <v>3.9652612675227301</v>
      </c>
      <c r="F125">
        <f t="shared" si="42"/>
        <v>4.8461115795971601</v>
      </c>
      <c r="G125">
        <f t="shared" si="43"/>
        <v>0.41858913797608099</v>
      </c>
      <c r="H125">
        <f t="shared" si="32"/>
        <v>2</v>
      </c>
      <c r="I125">
        <f t="shared" si="35"/>
        <v>1.6178539344349501</v>
      </c>
      <c r="J125">
        <f t="shared" si="36"/>
        <v>1.9331911345636501</v>
      </c>
      <c r="K125">
        <f t="shared" si="37"/>
        <v>1.0202189742416401</v>
      </c>
      <c r="L125">
        <f t="shared" si="38"/>
        <v>0.61414414610085499</v>
      </c>
      <c r="M125" s="3">
        <f t="shared" si="33"/>
        <v>1.3190364543382951</v>
      </c>
      <c r="P125">
        <v>1220227200</v>
      </c>
      <c r="Q125">
        <v>7.1771325901918397</v>
      </c>
      <c r="R125">
        <v>8.1862116306036707</v>
      </c>
      <c r="S125">
        <v>5.2647007175732297</v>
      </c>
      <c r="T125">
        <v>3.9652612675227301</v>
      </c>
      <c r="U125">
        <v>4.8461115795971601</v>
      </c>
      <c r="V125">
        <v>0.41858913797608099</v>
      </c>
      <c r="W125">
        <v>1.6178539344349501</v>
      </c>
      <c r="X125">
        <v>1.9331911345636501</v>
      </c>
      <c r="Y125">
        <v>1.0202189742416401</v>
      </c>
      <c r="Z125">
        <v>0.61414414610085499</v>
      </c>
      <c r="AC125">
        <v>1220227200</v>
      </c>
      <c r="AD125">
        <v>7.3547106965834104</v>
      </c>
      <c r="AE125">
        <v>8.2609562292256999</v>
      </c>
      <c r="AF125">
        <v>5.1056168434233502</v>
      </c>
      <c r="AG125">
        <v>3.78636420348117</v>
      </c>
      <c r="AH125">
        <v>4.88860708390773</v>
      </c>
      <c r="AI125">
        <v>0.21700975951563201</v>
      </c>
      <c r="AJ125">
        <v>1.67334709268232</v>
      </c>
      <c r="AK125">
        <v>1.95654882163303</v>
      </c>
      <c r="AL125">
        <v>0.97050526356979805</v>
      </c>
      <c r="AM125">
        <v>0.55823881358786498</v>
      </c>
    </row>
    <row r="126" spans="1:39" x14ac:dyDescent="0.35">
      <c r="A126" s="1">
        <v>39783</v>
      </c>
      <c r="B126">
        <f t="shared" si="34"/>
        <v>7.2304338390439904</v>
      </c>
      <c r="C126">
        <f t="shared" si="39"/>
        <v>8.9147137474579203</v>
      </c>
      <c r="D126">
        <f t="shared" si="40"/>
        <v>6.1468567237808296</v>
      </c>
      <c r="E126">
        <f t="shared" si="41"/>
        <v>4.2872607158234297</v>
      </c>
      <c r="F126">
        <f t="shared" si="42"/>
        <v>4.9651317909624604</v>
      </c>
      <c r="G126">
        <f t="shared" si="43"/>
        <v>1.1817249328183701</v>
      </c>
      <c r="H126">
        <f t="shared" si="32"/>
        <v>2</v>
      </c>
      <c r="I126">
        <f t="shared" si="35"/>
        <v>1.6345105747012501</v>
      </c>
      <c r="J126">
        <f t="shared" si="36"/>
        <v>2.1608480460805999</v>
      </c>
      <c r="K126">
        <f t="shared" si="37"/>
        <v>1.2958927261815101</v>
      </c>
      <c r="L126">
        <f t="shared" si="38"/>
        <v>0.71476897369482195</v>
      </c>
      <c r="M126" s="3">
        <f t="shared" si="33"/>
        <v>1.4652016504413801</v>
      </c>
      <c r="P126">
        <v>1228089600</v>
      </c>
      <c r="Q126">
        <v>7.2304338390439904</v>
      </c>
      <c r="R126">
        <v>8.9147137474579203</v>
      </c>
      <c r="S126">
        <v>6.1468567237808296</v>
      </c>
      <c r="T126">
        <v>4.2872607158234297</v>
      </c>
      <c r="U126">
        <v>4.9651317909624604</v>
      </c>
      <c r="V126">
        <v>1.1817249328183701</v>
      </c>
      <c r="W126">
        <v>1.6345105747012501</v>
      </c>
      <c r="X126">
        <v>2.1608480460805999</v>
      </c>
      <c r="Y126">
        <v>1.2958927261815101</v>
      </c>
      <c r="Z126">
        <v>0.71476897369482195</v>
      </c>
      <c r="AC126">
        <v>1228089600</v>
      </c>
      <c r="AD126">
        <v>7.4122913959791896</v>
      </c>
      <c r="AE126">
        <v>8.9906433885980199</v>
      </c>
      <c r="AF126">
        <v>5.9680944227246302</v>
      </c>
      <c r="AG126">
        <v>4.0882263846827396</v>
      </c>
      <c r="AH126">
        <v>5.0089129928070903</v>
      </c>
      <c r="AI126">
        <v>0.95918142991754396</v>
      </c>
      <c r="AJ126">
        <v>1.6913410612435</v>
      </c>
      <c r="AK126">
        <v>2.1845760589368801</v>
      </c>
      <c r="AL126">
        <v>1.24002950710145</v>
      </c>
      <c r="AM126">
        <v>0.65257074521335701</v>
      </c>
    </row>
    <row r="127" spans="1:39" x14ac:dyDescent="0.35">
      <c r="A127" s="1">
        <v>39873</v>
      </c>
      <c r="B127">
        <f t="shared" si="34"/>
        <v>7.2461950670370898</v>
      </c>
      <c r="C127">
        <f t="shared" si="39"/>
        <v>8.8305187660422693</v>
      </c>
      <c r="D127">
        <f t="shared" si="40"/>
        <v>6.22305579436411</v>
      </c>
      <c r="E127">
        <f t="shared" si="41"/>
        <v>4.6824791763777203</v>
      </c>
      <c r="F127">
        <f t="shared" si="42"/>
        <v>5.04068998070814</v>
      </c>
      <c r="G127">
        <f t="shared" si="43"/>
        <v>1.18236581365597</v>
      </c>
      <c r="H127">
        <f t="shared" si="32"/>
        <v>2</v>
      </c>
      <c r="I127">
        <f t="shared" si="35"/>
        <v>1.6394359584490901</v>
      </c>
      <c r="J127">
        <f t="shared" si="36"/>
        <v>2.1345371143882099</v>
      </c>
      <c r="K127">
        <f t="shared" si="37"/>
        <v>1.31970493573878</v>
      </c>
      <c r="L127">
        <f t="shared" si="38"/>
        <v>0.83827474261803903</v>
      </c>
      <c r="M127" s="3">
        <f t="shared" si="33"/>
        <v>1.479570447093935</v>
      </c>
      <c r="P127">
        <v>1235865600</v>
      </c>
      <c r="Q127">
        <v>7.2461950670370898</v>
      </c>
      <c r="R127">
        <v>8.8305187660422693</v>
      </c>
      <c r="S127">
        <v>6.22305579436411</v>
      </c>
      <c r="T127">
        <v>4.6824791763777203</v>
      </c>
      <c r="U127">
        <v>5.04068998070814</v>
      </c>
      <c r="V127">
        <v>1.18236581365597</v>
      </c>
      <c r="W127">
        <v>1.6394359584490901</v>
      </c>
      <c r="X127">
        <v>2.1345371143882099</v>
      </c>
      <c r="Y127">
        <v>1.31970493573878</v>
      </c>
      <c r="Z127">
        <v>0.83827474261803903</v>
      </c>
      <c r="AC127">
        <v>1235865600</v>
      </c>
      <c r="AD127">
        <v>8.7844434513447993</v>
      </c>
      <c r="AE127">
        <v>9.6299499881477502</v>
      </c>
      <c r="AF127">
        <v>6.9066829303380599</v>
      </c>
      <c r="AG127">
        <v>5.1475648044810898</v>
      </c>
      <c r="AH127">
        <v>5.4888857832260198</v>
      </c>
      <c r="AI127">
        <v>1.4177971471120501</v>
      </c>
      <c r="AJ127">
        <v>2.1201385785452498</v>
      </c>
      <c r="AK127">
        <v>2.3843593712961701</v>
      </c>
      <c r="AL127">
        <v>1.53333841573064</v>
      </c>
      <c r="AM127">
        <v>0.98361400140033906</v>
      </c>
    </row>
    <row r="128" spans="1:39" x14ac:dyDescent="0.35">
      <c r="A128" s="1">
        <v>39965</v>
      </c>
      <c r="B128">
        <f t="shared" si="34"/>
        <v>6.8931995740193104</v>
      </c>
      <c r="C128">
        <f t="shared" si="39"/>
        <v>7.9100023594708304</v>
      </c>
      <c r="D128">
        <f t="shared" si="40"/>
        <v>6.98399431632029</v>
      </c>
      <c r="E128">
        <f t="shared" si="41"/>
        <v>4.7722234582862901</v>
      </c>
      <c r="F128">
        <f t="shared" si="42"/>
        <v>4.8026314360350097</v>
      </c>
      <c r="G128">
        <f t="shared" si="43"/>
        <v>2.18136288028527</v>
      </c>
      <c r="H128">
        <f t="shared" si="32"/>
        <v>2</v>
      </c>
      <c r="I128">
        <f t="shared" si="35"/>
        <v>1.52912486688103</v>
      </c>
      <c r="J128">
        <f t="shared" si="36"/>
        <v>1.8468757373346301</v>
      </c>
      <c r="K128">
        <f t="shared" si="37"/>
        <v>1.5574982238500901</v>
      </c>
      <c r="L128">
        <f t="shared" si="38"/>
        <v>0.86631983071446395</v>
      </c>
      <c r="M128" s="3">
        <f t="shared" si="33"/>
        <v>1.5433115453655599</v>
      </c>
      <c r="P128">
        <v>1243814400</v>
      </c>
      <c r="Q128">
        <v>6.8931995740193104</v>
      </c>
      <c r="R128">
        <v>7.9100023594708304</v>
      </c>
      <c r="S128">
        <v>6.98399431632029</v>
      </c>
      <c r="T128">
        <v>4.7722234582862901</v>
      </c>
      <c r="U128">
        <v>4.8026314360350097</v>
      </c>
      <c r="V128">
        <v>2.18136288028527</v>
      </c>
      <c r="W128">
        <v>1.52912486688103</v>
      </c>
      <c r="X128">
        <v>1.8468757373346301</v>
      </c>
      <c r="Y128">
        <v>1.5574982238500901</v>
      </c>
      <c r="Z128">
        <v>0.86631983071446395</v>
      </c>
      <c r="AC128">
        <v>1243814400</v>
      </c>
      <c r="AD128">
        <v>9.7122909201529009</v>
      </c>
      <c r="AE128">
        <v>9.3847733700556706</v>
      </c>
      <c r="AF128">
        <v>8.5000222284383593</v>
      </c>
      <c r="AG128">
        <v>5.8684362897846798</v>
      </c>
      <c r="AH128">
        <v>5.6341602135658597</v>
      </c>
      <c r="AI128">
        <v>2.8658620148725</v>
      </c>
      <c r="AJ128">
        <v>2.4100909125477799</v>
      </c>
      <c r="AK128">
        <v>2.3077416781424001</v>
      </c>
      <c r="AL128">
        <v>2.0312569463869901</v>
      </c>
      <c r="AM128">
        <v>1.2088863405577099</v>
      </c>
    </row>
    <row r="129" spans="1:39" x14ac:dyDescent="0.35">
      <c r="A129" s="1">
        <v>40057</v>
      </c>
      <c r="B129">
        <f t="shared" si="34"/>
        <v>6.1757739235840603</v>
      </c>
      <c r="C129">
        <f t="shared" si="39"/>
        <v>7.1027792398535299</v>
      </c>
      <c r="D129">
        <f t="shared" si="40"/>
        <v>7.22369128281243</v>
      </c>
      <c r="E129">
        <f t="shared" si="41"/>
        <v>5.1013319812713096</v>
      </c>
      <c r="F129">
        <f t="shared" si="42"/>
        <v>4.7611042557821799</v>
      </c>
      <c r="G129">
        <f t="shared" si="43"/>
        <v>2.4625870270302399</v>
      </c>
      <c r="H129">
        <f t="shared" si="32"/>
        <v>2</v>
      </c>
      <c r="I129">
        <f t="shared" si="35"/>
        <v>1.30492935112002</v>
      </c>
      <c r="J129">
        <f t="shared" si="36"/>
        <v>1.59461851245423</v>
      </c>
      <c r="K129">
        <f t="shared" si="37"/>
        <v>1.63240352587888</v>
      </c>
      <c r="L129">
        <f t="shared" si="38"/>
        <v>0.96916624414728303</v>
      </c>
      <c r="M129" s="3">
        <f t="shared" si="33"/>
        <v>1.449773931787125</v>
      </c>
      <c r="P129">
        <v>1251763200</v>
      </c>
      <c r="Q129">
        <v>6.1757739235840603</v>
      </c>
      <c r="R129">
        <v>7.1027792398535299</v>
      </c>
      <c r="S129">
        <v>7.22369128281243</v>
      </c>
      <c r="T129">
        <v>5.1013319812713096</v>
      </c>
      <c r="U129">
        <v>4.7611042557821799</v>
      </c>
      <c r="V129">
        <v>2.4625870270302399</v>
      </c>
      <c r="W129">
        <v>1.30492935112002</v>
      </c>
      <c r="X129">
        <v>1.59461851245423</v>
      </c>
      <c r="Y129">
        <v>1.63240352587888</v>
      </c>
      <c r="Z129">
        <v>0.96916624414728303</v>
      </c>
      <c r="AC129">
        <v>1251763200</v>
      </c>
      <c r="AD129">
        <v>10.0889590073142</v>
      </c>
      <c r="AE129">
        <v>9.1532665239249393</v>
      </c>
      <c r="AF129">
        <v>9.4615457077764002</v>
      </c>
      <c r="AG129">
        <v>6.7498933398747596</v>
      </c>
      <c r="AH129">
        <v>5.9290229779123997</v>
      </c>
      <c r="AI129">
        <v>3.5325227298640001</v>
      </c>
      <c r="AJ129">
        <v>2.5</v>
      </c>
      <c r="AK129">
        <v>2.2353957887265401</v>
      </c>
      <c r="AL129">
        <v>2.3317330336801199</v>
      </c>
      <c r="AM129">
        <v>1.4843416687108599</v>
      </c>
    </row>
    <row r="130" spans="1:39" x14ac:dyDescent="0.35">
      <c r="A130" s="1">
        <v>40148</v>
      </c>
      <c r="B130">
        <f t="shared" ref="B130:B161" si="44">IF(Q130="","",Q130)</f>
        <v>5.9456279739542799</v>
      </c>
      <c r="C130">
        <f t="shared" si="39"/>
        <v>7.3328965029308897</v>
      </c>
      <c r="D130">
        <f t="shared" si="40"/>
        <v>7.7025596306234201</v>
      </c>
      <c r="E130">
        <f t="shared" si="41"/>
        <v>4.73168082134573</v>
      </c>
      <c r="F130">
        <f t="shared" si="42"/>
        <v>5.25372149954043</v>
      </c>
      <c r="G130">
        <f t="shared" si="43"/>
        <v>2.4488381310829999</v>
      </c>
      <c r="H130">
        <f t="shared" si="32"/>
        <v>2</v>
      </c>
      <c r="I130">
        <f t="shared" ref="I130:I161" si="45">IF(W130="","",W130)</f>
        <v>1.2330087418607101</v>
      </c>
      <c r="J130">
        <f t="shared" ref="J130:J161" si="46">IF(X130="","",X130)</f>
        <v>1.6665301571658999</v>
      </c>
      <c r="K130">
        <f t="shared" ref="K130:K161" si="47">IF(Y130="","",Y130)</f>
        <v>1.7820498845698201</v>
      </c>
      <c r="L130">
        <f t="shared" ref="L130:L161" si="48">IF(Z130="","",Z130)</f>
        <v>0.85365025667053895</v>
      </c>
      <c r="M130" s="3">
        <f t="shared" si="33"/>
        <v>1.4497694495133051</v>
      </c>
      <c r="P130">
        <v>1259625600</v>
      </c>
      <c r="Q130">
        <v>5.9456279739542799</v>
      </c>
      <c r="R130">
        <v>7.3328965029308897</v>
      </c>
      <c r="S130">
        <v>7.7025596306234201</v>
      </c>
      <c r="T130">
        <v>4.73168082134573</v>
      </c>
      <c r="U130">
        <v>5.25372149954043</v>
      </c>
      <c r="V130">
        <v>2.4488381310829999</v>
      </c>
      <c r="W130">
        <v>1.2330087418607101</v>
      </c>
      <c r="X130">
        <v>1.6665301571658999</v>
      </c>
      <c r="Y130">
        <v>1.7820498845698201</v>
      </c>
      <c r="Z130">
        <v>0.85365025667053895</v>
      </c>
      <c r="AC130">
        <v>1259625600</v>
      </c>
      <c r="AD130">
        <v>10.017763724333401</v>
      </c>
      <c r="AE130">
        <v>9.4824089802940392</v>
      </c>
      <c r="AF130">
        <v>10.050240373839101</v>
      </c>
      <c r="AG130">
        <v>6.4382946895336097</v>
      </c>
      <c r="AH130">
        <v>6.4908137652708797</v>
      </c>
      <c r="AI130">
        <v>3.5594266085682502</v>
      </c>
      <c r="AJ130">
        <v>2.5</v>
      </c>
      <c r="AK130">
        <v>2.3382528063418899</v>
      </c>
      <c r="AL130">
        <v>2.5</v>
      </c>
      <c r="AM130">
        <v>1.3869670904792499</v>
      </c>
    </row>
    <row r="131" spans="1:39" x14ac:dyDescent="0.35">
      <c r="A131" s="1">
        <v>40238</v>
      </c>
      <c r="B131">
        <f t="shared" si="44"/>
        <v>5.5153679787698202</v>
      </c>
      <c r="C131">
        <f t="shared" ref="C131:C162" si="49">IF(R131="","",R131)</f>
        <v>6.9289143361844898</v>
      </c>
      <c r="D131">
        <f t="shared" ref="D131:D162" si="50">IF(S131="","",S131)</f>
        <v>7.6067516796549004</v>
      </c>
      <c r="E131">
        <f t="shared" ref="E131:E162" si="51">IF(T131="","",T131)</f>
        <v>6.0082379880896202</v>
      </c>
      <c r="F131">
        <f t="shared" ref="F131:F162" si="52">IF(U131="","",U131)</f>
        <v>4.9232082051998596</v>
      </c>
      <c r="G131">
        <f t="shared" ref="G131:G162" si="53">IF(V131="","",V131)</f>
        <v>2.6835434744550399</v>
      </c>
      <c r="H131">
        <f t="shared" ref="H131:H194" si="54">IF(A131="","",2)</f>
        <v>2</v>
      </c>
      <c r="I131">
        <f t="shared" si="45"/>
        <v>1.0985524933655699</v>
      </c>
      <c r="J131">
        <f t="shared" si="46"/>
        <v>1.54028573005765</v>
      </c>
      <c r="K131">
        <f t="shared" si="47"/>
        <v>1.75210989989216</v>
      </c>
      <c r="L131">
        <f t="shared" si="48"/>
        <v>1.25257437127801</v>
      </c>
      <c r="M131" s="3">
        <f t="shared" ref="M131:M187" si="55">MEDIAN(I131:L131)</f>
        <v>1.39643005066783</v>
      </c>
      <c r="P131">
        <v>1267401600</v>
      </c>
      <c r="Q131">
        <v>5.5153679787698202</v>
      </c>
      <c r="R131">
        <v>6.9289143361844898</v>
      </c>
      <c r="S131">
        <v>7.6067516796549004</v>
      </c>
      <c r="T131">
        <v>6.0082379880896202</v>
      </c>
      <c r="U131">
        <v>4.9232082051998596</v>
      </c>
      <c r="V131">
        <v>2.6835434744550399</v>
      </c>
      <c r="W131">
        <v>1.0985524933655699</v>
      </c>
      <c r="X131">
        <v>1.54028573005765</v>
      </c>
      <c r="Y131">
        <v>1.75210989989216</v>
      </c>
      <c r="Z131">
        <v>1.25257437127801</v>
      </c>
      <c r="AC131">
        <v>1267401600</v>
      </c>
      <c r="AD131">
        <v>8.5426640112856909</v>
      </c>
      <c r="AE131">
        <v>8.5216862969162701</v>
      </c>
      <c r="AF131">
        <v>9.2501753145036005</v>
      </c>
      <c r="AG131">
        <v>7.2012291483501203</v>
      </c>
      <c r="AH131">
        <v>5.8418212847919397</v>
      </c>
      <c r="AI131">
        <v>3.4083540297116599</v>
      </c>
      <c r="AJ131">
        <v>2.0445825035267799</v>
      </c>
      <c r="AK131">
        <v>2.0380269677863398</v>
      </c>
      <c r="AL131">
        <v>2.2656797857823698</v>
      </c>
      <c r="AM131">
        <v>1.6253841088594101</v>
      </c>
    </row>
    <row r="132" spans="1:39" x14ac:dyDescent="0.35">
      <c r="A132" s="1">
        <v>40330</v>
      </c>
      <c r="B132">
        <f t="shared" si="44"/>
        <v>7.5631400626709899</v>
      </c>
      <c r="C132">
        <f t="shared" si="49"/>
        <v>8.2535957030247893</v>
      </c>
      <c r="D132">
        <f t="shared" si="50"/>
        <v>8.7027668752299991</v>
      </c>
      <c r="E132">
        <f t="shared" si="51"/>
        <v>7.3952455121392902</v>
      </c>
      <c r="F132">
        <f t="shared" si="52"/>
        <v>5.6873366396638101</v>
      </c>
      <c r="G132">
        <f t="shared" si="53"/>
        <v>3.0154302355661802</v>
      </c>
      <c r="H132">
        <f t="shared" si="54"/>
        <v>2</v>
      </c>
      <c r="I132">
        <f t="shared" si="45"/>
        <v>1.7384812695846901</v>
      </c>
      <c r="J132">
        <f t="shared" si="46"/>
        <v>1.95424865719525</v>
      </c>
      <c r="K132">
        <f t="shared" si="47"/>
        <v>2.0946146485093702</v>
      </c>
      <c r="L132">
        <f t="shared" si="48"/>
        <v>1.68601422254353</v>
      </c>
      <c r="M132" s="3">
        <f t="shared" si="55"/>
        <v>1.8463649633899699</v>
      </c>
      <c r="P132">
        <v>1275350400</v>
      </c>
      <c r="Q132">
        <v>7.5631400626709899</v>
      </c>
      <c r="R132">
        <v>8.2535957030247893</v>
      </c>
      <c r="S132">
        <v>8.7027668752299991</v>
      </c>
      <c r="T132">
        <v>7.3952455121392902</v>
      </c>
      <c r="U132">
        <v>5.6873366396638101</v>
      </c>
      <c r="V132">
        <v>3.0154302355661802</v>
      </c>
      <c r="W132">
        <v>1.7384812695846901</v>
      </c>
      <c r="X132">
        <v>1.95424865719525</v>
      </c>
      <c r="Y132">
        <v>2.0946146485093702</v>
      </c>
      <c r="Z132">
        <v>1.68601422254353</v>
      </c>
      <c r="AC132">
        <v>1275350400</v>
      </c>
      <c r="AD132">
        <v>6.9124364843018</v>
      </c>
      <c r="AE132">
        <v>7.8814832003420303</v>
      </c>
      <c r="AF132">
        <v>7.8697321345619002</v>
      </c>
      <c r="AG132">
        <v>6.6704279694701603</v>
      </c>
      <c r="AH132">
        <v>5.4791565543834002</v>
      </c>
      <c r="AI132">
        <v>2.3905755801785</v>
      </c>
      <c r="AJ132">
        <v>1.5351364013443101</v>
      </c>
      <c r="AK132">
        <v>1.8379635001068799</v>
      </c>
      <c r="AL132">
        <v>1.83429129205059</v>
      </c>
      <c r="AM132">
        <v>1.45950874045943</v>
      </c>
    </row>
    <row r="133" spans="1:39" x14ac:dyDescent="0.35">
      <c r="A133" s="1">
        <v>40422</v>
      </c>
      <c r="B133">
        <f t="shared" si="44"/>
        <v>6.1961754113243996</v>
      </c>
      <c r="C133">
        <f t="shared" si="49"/>
        <v>7.1659751665564997</v>
      </c>
      <c r="D133">
        <f t="shared" si="50"/>
        <v>8.0503263061598105</v>
      </c>
      <c r="E133">
        <f t="shared" si="51"/>
        <v>6.2662482068766598</v>
      </c>
      <c r="F133">
        <f t="shared" si="52"/>
        <v>5.18785822620913</v>
      </c>
      <c r="G133">
        <f t="shared" si="53"/>
        <v>2.8624680799506801</v>
      </c>
      <c r="H133">
        <f t="shared" si="54"/>
        <v>2</v>
      </c>
      <c r="I133">
        <f t="shared" si="45"/>
        <v>1.3113048160388801</v>
      </c>
      <c r="J133">
        <f t="shared" si="46"/>
        <v>1.6143672395488999</v>
      </c>
      <c r="K133">
        <f t="shared" si="47"/>
        <v>1.8907269706749401</v>
      </c>
      <c r="L133">
        <f t="shared" si="48"/>
        <v>1.33320256464896</v>
      </c>
      <c r="M133" s="3">
        <f t="shared" si="55"/>
        <v>1.47378490209893</v>
      </c>
      <c r="P133">
        <v>1283299200</v>
      </c>
      <c r="Q133">
        <v>6.1961754113243996</v>
      </c>
      <c r="R133">
        <v>7.1659751665564997</v>
      </c>
      <c r="S133">
        <v>8.0503263061598105</v>
      </c>
      <c r="T133">
        <v>6.2662482068766598</v>
      </c>
      <c r="U133">
        <v>5.18785822620913</v>
      </c>
      <c r="V133">
        <v>2.8624680799506801</v>
      </c>
      <c r="W133">
        <v>1.3113048160388801</v>
      </c>
      <c r="X133">
        <v>1.6143672395488999</v>
      </c>
      <c r="Y133">
        <v>1.8907269706749401</v>
      </c>
      <c r="Z133">
        <v>1.33320256464896</v>
      </c>
      <c r="AC133">
        <v>1283299200</v>
      </c>
      <c r="AD133">
        <v>5.5674279253757897</v>
      </c>
      <c r="AE133">
        <v>6.8050142045624202</v>
      </c>
      <c r="AF133">
        <v>7.2199421512765598</v>
      </c>
      <c r="AG133">
        <v>5.5407406697866799</v>
      </c>
      <c r="AH133">
        <v>4.9864064860961799</v>
      </c>
      <c r="AI133">
        <v>2.2335356651803902</v>
      </c>
      <c r="AJ133">
        <v>1.11482122667993</v>
      </c>
      <c r="AK133">
        <v>1.50156693892576</v>
      </c>
      <c r="AL133">
        <v>1.63123192227392</v>
      </c>
      <c r="AM133">
        <v>1.1064814593083401</v>
      </c>
    </row>
    <row r="134" spans="1:39" x14ac:dyDescent="0.35">
      <c r="A134" s="1">
        <v>40513</v>
      </c>
      <c r="B134">
        <f t="shared" si="44"/>
        <v>6.6897103669801004</v>
      </c>
      <c r="C134">
        <f t="shared" si="49"/>
        <v>7.20457251292415</v>
      </c>
      <c r="D134">
        <f t="shared" si="50"/>
        <v>8.4884655235860205</v>
      </c>
      <c r="E134">
        <f t="shared" si="51"/>
        <v>5.7180153262117202</v>
      </c>
      <c r="F134">
        <f t="shared" si="52"/>
        <v>5.4320911416883302</v>
      </c>
      <c r="G134">
        <f t="shared" si="53"/>
        <v>3.0563743818976898</v>
      </c>
      <c r="H134">
        <f t="shared" si="54"/>
        <v>2</v>
      </c>
      <c r="I134">
        <f t="shared" si="45"/>
        <v>1.4655344896812801</v>
      </c>
      <c r="J134">
        <f t="shared" si="46"/>
        <v>1.6264289102888001</v>
      </c>
      <c r="K134">
        <f t="shared" si="47"/>
        <v>2.0276454761206302</v>
      </c>
      <c r="L134">
        <f t="shared" si="48"/>
        <v>1.1618797894411601</v>
      </c>
      <c r="M134" s="3">
        <f t="shared" si="55"/>
        <v>1.54598169998504</v>
      </c>
      <c r="P134">
        <v>1291161600</v>
      </c>
      <c r="Q134">
        <v>6.6897103669801004</v>
      </c>
      <c r="R134">
        <v>7.20457251292415</v>
      </c>
      <c r="S134">
        <v>8.4884655235860205</v>
      </c>
      <c r="T134">
        <v>5.7180153262117202</v>
      </c>
      <c r="U134">
        <v>5.4320911416883302</v>
      </c>
      <c r="V134">
        <v>3.0563743818976898</v>
      </c>
      <c r="W134">
        <v>1.4655344896812801</v>
      </c>
      <c r="X134">
        <v>1.6264289102888001</v>
      </c>
      <c r="Y134">
        <v>2.0276454761206302</v>
      </c>
      <c r="Z134">
        <v>1.1618797894411601</v>
      </c>
      <c r="AC134">
        <v>1291161600</v>
      </c>
      <c r="AD134">
        <v>6.0842312261306501</v>
      </c>
      <c r="AE134">
        <v>6.8555409898141502</v>
      </c>
      <c r="AF134">
        <v>7.6628870292185596</v>
      </c>
      <c r="AG134">
        <v>4.9937875349405703</v>
      </c>
      <c r="AH134">
        <v>5.2377809702539997</v>
      </c>
      <c r="AI134">
        <v>2.4251060589645599</v>
      </c>
      <c r="AJ134">
        <v>1.27632225816583</v>
      </c>
      <c r="AK134">
        <v>1.51735655931692</v>
      </c>
      <c r="AL134">
        <v>1.7696521966308001</v>
      </c>
      <c r="AM134">
        <v>0.93555860466892904</v>
      </c>
    </row>
    <row r="135" spans="1:39" x14ac:dyDescent="0.35">
      <c r="A135" s="1">
        <v>40603</v>
      </c>
      <c r="B135">
        <f t="shared" si="44"/>
        <v>6.0844944775738803</v>
      </c>
      <c r="C135">
        <f t="shared" si="49"/>
        <v>6.42725395346128</v>
      </c>
      <c r="D135">
        <f t="shared" si="50"/>
        <v>7.2478512433761804</v>
      </c>
      <c r="E135">
        <f t="shared" si="51"/>
        <v>4.9046491502595897</v>
      </c>
      <c r="F135">
        <f t="shared" si="52"/>
        <v>4.9431161877201903</v>
      </c>
      <c r="G135">
        <f t="shared" si="53"/>
        <v>2.30473505565599</v>
      </c>
      <c r="H135">
        <f t="shared" si="54"/>
        <v>2</v>
      </c>
      <c r="I135">
        <f t="shared" si="45"/>
        <v>1.27640452424184</v>
      </c>
      <c r="J135">
        <f t="shared" si="46"/>
        <v>1.3835168604566499</v>
      </c>
      <c r="K135">
        <f t="shared" si="47"/>
        <v>1.63995351355506</v>
      </c>
      <c r="L135">
        <f t="shared" si="48"/>
        <v>0.90770285945612195</v>
      </c>
      <c r="M135" s="3">
        <f t="shared" si="55"/>
        <v>1.3299606923492449</v>
      </c>
      <c r="P135">
        <v>1298937600</v>
      </c>
      <c r="Q135">
        <v>6.0844944775738803</v>
      </c>
      <c r="R135">
        <v>6.42725395346128</v>
      </c>
      <c r="S135">
        <v>7.2478512433761804</v>
      </c>
      <c r="T135">
        <v>4.9046491502595897</v>
      </c>
      <c r="U135">
        <v>4.9431161877201903</v>
      </c>
      <c r="V135">
        <v>2.30473505565599</v>
      </c>
      <c r="W135">
        <v>1.27640452424184</v>
      </c>
      <c r="X135">
        <v>1.3835168604566499</v>
      </c>
      <c r="Y135">
        <v>1.63995351355506</v>
      </c>
      <c r="Z135">
        <v>0.90770285945612195</v>
      </c>
      <c r="AC135">
        <v>1298937600</v>
      </c>
      <c r="AD135">
        <v>5.5036810459156698</v>
      </c>
      <c r="AE135">
        <v>6.09097043560035</v>
      </c>
      <c r="AF135">
        <v>6.4292587056019697</v>
      </c>
      <c r="AG135">
        <v>4.1836504427811603</v>
      </c>
      <c r="AH135">
        <v>4.7563946906871504</v>
      </c>
      <c r="AI135">
        <v>1.67286401491482</v>
      </c>
      <c r="AJ135">
        <v>1.0949003268486499</v>
      </c>
      <c r="AK135">
        <v>1.2784282611251101</v>
      </c>
      <c r="AL135">
        <v>1.38414334550062</v>
      </c>
      <c r="AM135">
        <v>0.68239076336911098</v>
      </c>
    </row>
    <row r="136" spans="1:39" x14ac:dyDescent="0.35">
      <c r="A136" s="1">
        <v>40695</v>
      </c>
      <c r="B136">
        <f t="shared" si="44"/>
        <v>7.6368503524948297</v>
      </c>
      <c r="C136">
        <f t="shared" si="49"/>
        <v>6.7399589778808497</v>
      </c>
      <c r="D136">
        <f t="shared" si="50"/>
        <v>8.4064470114907301</v>
      </c>
      <c r="E136">
        <f t="shared" si="51"/>
        <v>6.3040681715167599</v>
      </c>
      <c r="F136">
        <f t="shared" si="52"/>
        <v>4.95708178419763</v>
      </c>
      <c r="G136">
        <f t="shared" si="53"/>
        <v>3.4493652272931099</v>
      </c>
      <c r="H136">
        <f t="shared" si="54"/>
        <v>2</v>
      </c>
      <c r="I136">
        <f t="shared" si="45"/>
        <v>1.76151573515463</v>
      </c>
      <c r="J136">
        <f t="shared" si="46"/>
        <v>1.48123718058776</v>
      </c>
      <c r="K136">
        <f t="shared" si="47"/>
        <v>2.0020146910908498</v>
      </c>
      <c r="L136">
        <f t="shared" si="48"/>
        <v>1.34502130359899</v>
      </c>
      <c r="M136" s="3">
        <f t="shared" si="55"/>
        <v>1.6213764578711949</v>
      </c>
      <c r="P136">
        <v>1306886400</v>
      </c>
      <c r="Q136">
        <v>7.6368503524948297</v>
      </c>
      <c r="R136">
        <v>6.7399589778808497</v>
      </c>
      <c r="S136">
        <v>8.4064470114907301</v>
      </c>
      <c r="T136">
        <v>6.3040681715167599</v>
      </c>
      <c r="U136">
        <v>4.95708178419763</v>
      </c>
      <c r="V136">
        <v>3.4493652272931099</v>
      </c>
      <c r="W136">
        <v>1.76151573515463</v>
      </c>
      <c r="X136">
        <v>1.48123718058776</v>
      </c>
      <c r="Y136">
        <v>2.0020146910908498</v>
      </c>
      <c r="Z136">
        <v>1.34502130359899</v>
      </c>
      <c r="AC136">
        <v>1306886400</v>
      </c>
      <c r="AD136">
        <v>7.0793225173266601</v>
      </c>
      <c r="AE136">
        <v>6.4157531020273497</v>
      </c>
      <c r="AF136">
        <v>7.5950921115015504</v>
      </c>
      <c r="AG136">
        <v>5.5867475912739302</v>
      </c>
      <c r="AH136">
        <v>4.7775363510252102</v>
      </c>
      <c r="AI136">
        <v>2.8175557604763601</v>
      </c>
      <c r="AJ136">
        <v>1.5872882866645801</v>
      </c>
      <c r="AK136">
        <v>1.3799228443835501</v>
      </c>
      <c r="AL136">
        <v>1.7484662848442301</v>
      </c>
      <c r="AM136">
        <v>1.1208586222731001</v>
      </c>
    </row>
    <row r="137" spans="1:39" x14ac:dyDescent="0.35">
      <c r="A137" s="1">
        <v>40787</v>
      </c>
      <c r="B137">
        <f t="shared" si="44"/>
        <v>8.7389589802816907</v>
      </c>
      <c r="C137">
        <f t="shared" si="49"/>
        <v>6.3755670117286396</v>
      </c>
      <c r="D137">
        <f t="shared" si="50"/>
        <v>8.7178410654999094</v>
      </c>
      <c r="E137">
        <f t="shared" si="51"/>
        <v>7.2654208489977696</v>
      </c>
      <c r="F137">
        <f t="shared" si="52"/>
        <v>4.5455215737219001</v>
      </c>
      <c r="G137">
        <f t="shared" si="53"/>
        <v>4.17231949177802</v>
      </c>
      <c r="H137">
        <f t="shared" si="54"/>
        <v>2</v>
      </c>
      <c r="I137">
        <f t="shared" si="45"/>
        <v>2.1059246813380299</v>
      </c>
      <c r="J137">
        <f t="shared" si="46"/>
        <v>1.3673646911652</v>
      </c>
      <c r="K137">
        <f t="shared" si="47"/>
        <v>2.09932533296872</v>
      </c>
      <c r="L137">
        <f t="shared" si="48"/>
        <v>1.6454440153118</v>
      </c>
      <c r="M137" s="3">
        <f t="shared" si="55"/>
        <v>1.8723846741402599</v>
      </c>
      <c r="P137">
        <v>1314835200</v>
      </c>
      <c r="Q137">
        <v>8.7389589802816907</v>
      </c>
      <c r="R137">
        <v>6.3755670117286396</v>
      </c>
      <c r="S137">
        <v>8.7178410654999094</v>
      </c>
      <c r="T137">
        <v>7.2654208489977696</v>
      </c>
      <c r="U137">
        <v>4.5455215737219001</v>
      </c>
      <c r="V137">
        <v>4.17231949177802</v>
      </c>
      <c r="W137">
        <v>2.1059246813380299</v>
      </c>
      <c r="X137">
        <v>1.3673646911652</v>
      </c>
      <c r="Y137">
        <v>2.09932533296872</v>
      </c>
      <c r="Z137">
        <v>1.6454440153118</v>
      </c>
      <c r="AC137">
        <v>1314835200</v>
      </c>
      <c r="AD137">
        <v>8.2062726219024604</v>
      </c>
      <c r="AE137">
        <v>6.0643371424966199</v>
      </c>
      <c r="AF137">
        <v>7.9159064472909302</v>
      </c>
      <c r="AG137">
        <v>6.5536940751028103</v>
      </c>
      <c r="AH137">
        <v>4.37365398298342</v>
      </c>
      <c r="AI137">
        <v>3.5422524643075102</v>
      </c>
      <c r="AJ137">
        <v>1.93946019434452</v>
      </c>
      <c r="AK137">
        <v>1.2701053570301899</v>
      </c>
      <c r="AL137">
        <v>1.8487207647784201</v>
      </c>
      <c r="AM137">
        <v>1.4230293984696301</v>
      </c>
    </row>
    <row r="138" spans="1:39" x14ac:dyDescent="0.35">
      <c r="A138" s="1">
        <v>40878</v>
      </c>
      <c r="B138">
        <f t="shared" si="44"/>
        <v>8.7276097077436106</v>
      </c>
      <c r="C138">
        <f t="shared" si="49"/>
        <v>5.7950074049342</v>
      </c>
      <c r="D138">
        <f t="shared" si="50"/>
        <v>8.1728113674766103</v>
      </c>
      <c r="E138">
        <f t="shared" si="51"/>
        <v>6.9837085363181002</v>
      </c>
      <c r="F138">
        <f t="shared" si="52"/>
        <v>4.2031961146203196</v>
      </c>
      <c r="G138">
        <f t="shared" si="53"/>
        <v>3.9696152528563</v>
      </c>
      <c r="H138">
        <f t="shared" si="54"/>
        <v>2</v>
      </c>
      <c r="I138">
        <f t="shared" si="45"/>
        <v>2.1023780336698801</v>
      </c>
      <c r="J138">
        <f t="shared" si="46"/>
        <v>1.1859398140419399</v>
      </c>
      <c r="K138">
        <f t="shared" si="47"/>
        <v>1.9290035523364399</v>
      </c>
      <c r="L138">
        <f t="shared" si="48"/>
        <v>1.5574089175994099</v>
      </c>
      <c r="M138" s="3">
        <f t="shared" si="55"/>
        <v>1.7432062349679249</v>
      </c>
      <c r="P138">
        <v>1322697600</v>
      </c>
      <c r="Q138">
        <v>8.7276097077436106</v>
      </c>
      <c r="R138">
        <v>5.7950074049342</v>
      </c>
      <c r="S138">
        <v>8.1728113674766103</v>
      </c>
      <c r="T138">
        <v>6.9837085363181002</v>
      </c>
      <c r="U138">
        <v>4.2031961146203196</v>
      </c>
      <c r="V138">
        <v>3.9696152528563</v>
      </c>
      <c r="W138">
        <v>2.1023780336698801</v>
      </c>
      <c r="X138">
        <v>1.1859398140419399</v>
      </c>
      <c r="Y138">
        <v>1.9290035523364399</v>
      </c>
      <c r="Z138">
        <v>1.5574089175994099</v>
      </c>
      <c r="AC138">
        <v>1322697600</v>
      </c>
      <c r="AD138">
        <v>8.2210661135763292</v>
      </c>
      <c r="AE138">
        <v>5.4974839506557496</v>
      </c>
      <c r="AF138">
        <v>7.38224540556413</v>
      </c>
      <c r="AG138">
        <v>6.2793241421539898</v>
      </c>
      <c r="AH138">
        <v>4.0394083115223696</v>
      </c>
      <c r="AI138">
        <v>3.34283709404178</v>
      </c>
      <c r="AJ138">
        <v>1.9440831604926001</v>
      </c>
      <c r="AK138">
        <v>1.0929637345799199</v>
      </c>
      <c r="AL138">
        <v>1.68195168923879</v>
      </c>
      <c r="AM138">
        <v>1.33728879442312</v>
      </c>
    </row>
    <row r="139" spans="1:39" x14ac:dyDescent="0.35">
      <c r="A139" s="1">
        <v>40969</v>
      </c>
      <c r="B139">
        <f t="shared" si="44"/>
        <v>9.4684613203177896</v>
      </c>
      <c r="C139">
        <f t="shared" si="49"/>
        <v>4.9128087199025998</v>
      </c>
      <c r="D139">
        <f t="shared" si="50"/>
        <v>8.4875571169786799</v>
      </c>
      <c r="E139">
        <f t="shared" si="51"/>
        <v>7.9293782159389297</v>
      </c>
      <c r="F139">
        <f t="shared" si="52"/>
        <v>3.6840522206229198</v>
      </c>
      <c r="G139">
        <f t="shared" si="53"/>
        <v>4.8035048963557596</v>
      </c>
      <c r="H139">
        <f t="shared" si="54"/>
        <v>2</v>
      </c>
      <c r="I139">
        <f t="shared" si="45"/>
        <v>2.3338941625993099</v>
      </c>
      <c r="J139">
        <f t="shared" si="46"/>
        <v>0.910252724969564</v>
      </c>
      <c r="K139">
        <f t="shared" si="47"/>
        <v>2.02736159905584</v>
      </c>
      <c r="L139">
        <f t="shared" si="48"/>
        <v>1.8529306924809099</v>
      </c>
      <c r="M139" s="3">
        <f t="shared" si="55"/>
        <v>1.9401461457683751</v>
      </c>
      <c r="P139">
        <v>1330560000</v>
      </c>
      <c r="Q139">
        <v>9.4684613203177896</v>
      </c>
      <c r="R139">
        <v>4.9128087199025998</v>
      </c>
      <c r="S139">
        <v>8.4875571169786799</v>
      </c>
      <c r="T139">
        <v>7.9293782159389297</v>
      </c>
      <c r="U139">
        <v>3.6840522206229198</v>
      </c>
      <c r="V139">
        <v>4.8035048963557596</v>
      </c>
      <c r="W139">
        <v>2.3338941625993099</v>
      </c>
      <c r="X139">
        <v>0.910252724969564</v>
      </c>
      <c r="Y139">
        <v>2.02736159905584</v>
      </c>
      <c r="Z139">
        <v>1.8529306924809099</v>
      </c>
      <c r="AC139">
        <v>1330560000</v>
      </c>
      <c r="AD139">
        <v>8.9845861183012197</v>
      </c>
      <c r="AE139">
        <v>4.6272123787011399</v>
      </c>
      <c r="AF139">
        <v>7.7070642763498096</v>
      </c>
      <c r="AG139">
        <v>7.2315569317799602</v>
      </c>
      <c r="AH139">
        <v>3.5272888211389599</v>
      </c>
      <c r="AI139">
        <v>4.1797754552108604</v>
      </c>
      <c r="AJ139">
        <v>2.18268316196913</v>
      </c>
      <c r="AK139">
        <v>0.82100386834410699</v>
      </c>
      <c r="AL139">
        <v>1.7834575863593201</v>
      </c>
      <c r="AM139">
        <v>1.6348615411812399</v>
      </c>
    </row>
    <row r="140" spans="1:39" x14ac:dyDescent="0.35">
      <c r="A140" s="1">
        <v>41061</v>
      </c>
      <c r="B140">
        <f t="shared" si="44"/>
        <v>10.189903015642001</v>
      </c>
      <c r="C140">
        <f t="shared" si="49"/>
        <v>4.2006062142894498</v>
      </c>
      <c r="D140">
        <f t="shared" si="50"/>
        <v>9.0463698966890007</v>
      </c>
      <c r="E140">
        <f t="shared" si="51"/>
        <v>8.7767425846405107</v>
      </c>
      <c r="F140">
        <f t="shared" si="52"/>
        <v>3.2847214363336601</v>
      </c>
      <c r="G140">
        <f t="shared" si="53"/>
        <v>5.7616484603553504</v>
      </c>
      <c r="H140">
        <f t="shared" si="54"/>
        <v>2</v>
      </c>
      <c r="I140">
        <f t="shared" si="45"/>
        <v>2.5</v>
      </c>
      <c r="J140">
        <f t="shared" si="46"/>
        <v>0.68768944196545201</v>
      </c>
      <c r="K140">
        <f t="shared" si="47"/>
        <v>2.2019905927153101</v>
      </c>
      <c r="L140">
        <f t="shared" si="48"/>
        <v>2.1177320577001599</v>
      </c>
      <c r="M140" s="3">
        <f t="shared" si="55"/>
        <v>2.1598613252077348</v>
      </c>
      <c r="P140">
        <v>1338508800</v>
      </c>
      <c r="Q140">
        <v>10.189903015642001</v>
      </c>
      <c r="R140">
        <v>4.2006062142894498</v>
      </c>
      <c r="S140">
        <v>9.0463698966890007</v>
      </c>
      <c r="T140">
        <v>8.7767425846405107</v>
      </c>
      <c r="U140">
        <v>3.2847214363336601</v>
      </c>
      <c r="V140">
        <v>5.7616484603553504</v>
      </c>
      <c r="W140">
        <v>2.5</v>
      </c>
      <c r="X140">
        <v>0.68768944196545201</v>
      </c>
      <c r="Y140">
        <v>2.2019905927153101</v>
      </c>
      <c r="Z140">
        <v>2.1177320577001599</v>
      </c>
      <c r="AC140">
        <v>1338508800</v>
      </c>
      <c r="AD140">
        <v>9.7351682067277494</v>
      </c>
      <c r="AE140">
        <v>3.9303111239413302</v>
      </c>
      <c r="AF140">
        <v>8.2812576860698908</v>
      </c>
      <c r="AG140">
        <v>8.0898366020910792</v>
      </c>
      <c r="AH140">
        <v>3.1369378009280799</v>
      </c>
      <c r="AI140">
        <v>5.1443198851418197</v>
      </c>
      <c r="AJ140">
        <v>2.4172400646024199</v>
      </c>
      <c r="AK140">
        <v>0.60322222623166599</v>
      </c>
      <c r="AL140">
        <v>1.9628930268968401</v>
      </c>
      <c r="AM140">
        <v>1.90307393815346</v>
      </c>
    </row>
    <row r="141" spans="1:39" x14ac:dyDescent="0.35">
      <c r="A141" s="1">
        <v>41153</v>
      </c>
      <c r="B141">
        <f t="shared" si="44"/>
        <v>8.9873480308203</v>
      </c>
      <c r="C141">
        <f t="shared" si="49"/>
        <v>3.2539059720404002</v>
      </c>
      <c r="D141">
        <f t="shared" si="50"/>
        <v>8.4339821634634795</v>
      </c>
      <c r="E141">
        <f t="shared" si="51"/>
        <v>8.3728105977114904</v>
      </c>
      <c r="F141">
        <f t="shared" si="52"/>
        <v>2.6994497272682998</v>
      </c>
      <c r="G141">
        <f t="shared" si="53"/>
        <v>5.7345324361951802</v>
      </c>
      <c r="H141">
        <f t="shared" si="54"/>
        <v>2</v>
      </c>
      <c r="I141">
        <f t="shared" si="45"/>
        <v>2.1835462596313402</v>
      </c>
      <c r="J141">
        <f t="shared" si="46"/>
        <v>0.39184561626262399</v>
      </c>
      <c r="K141">
        <f t="shared" si="47"/>
        <v>2.0106194260823398</v>
      </c>
      <c r="L141">
        <f t="shared" si="48"/>
        <v>1.99150331178484</v>
      </c>
      <c r="M141" s="3">
        <f t="shared" si="55"/>
        <v>2.0010613689335899</v>
      </c>
      <c r="P141">
        <v>1346457600</v>
      </c>
      <c r="Q141">
        <v>8.9873480308203</v>
      </c>
      <c r="R141">
        <v>3.2539059720404002</v>
      </c>
      <c r="S141">
        <v>8.4339821634634795</v>
      </c>
      <c r="T141">
        <v>8.3728105977114904</v>
      </c>
      <c r="U141">
        <v>2.6994497272682998</v>
      </c>
      <c r="V141">
        <v>5.7345324361951802</v>
      </c>
      <c r="W141">
        <v>2.1835462596313402</v>
      </c>
      <c r="X141">
        <v>0.39184561626262399</v>
      </c>
      <c r="Y141">
        <v>2.0106194260823398</v>
      </c>
      <c r="Z141">
        <v>1.99150331178484</v>
      </c>
      <c r="AC141">
        <v>1346457600</v>
      </c>
      <c r="AD141">
        <v>8.5553797642890004</v>
      </c>
      <c r="AE141">
        <v>2.9956589198249199</v>
      </c>
      <c r="AF141">
        <v>7.6809363473426799</v>
      </c>
      <c r="AG141">
        <v>7.6944321698871097</v>
      </c>
      <c r="AH141">
        <v>2.5587282864544001</v>
      </c>
      <c r="AI141">
        <v>5.1222080608882798</v>
      </c>
      <c r="AJ141">
        <v>2.04855617634031</v>
      </c>
      <c r="AK141">
        <v>0.31114341244528698</v>
      </c>
      <c r="AL141">
        <v>1.7752926085445899</v>
      </c>
      <c r="AM141">
        <v>1.7795100530897201</v>
      </c>
    </row>
    <row r="142" spans="1:39" x14ac:dyDescent="0.35">
      <c r="A142" s="1">
        <v>41244</v>
      </c>
      <c r="B142">
        <f t="shared" si="44"/>
        <v>8.1915794216993802</v>
      </c>
      <c r="C142">
        <f t="shared" si="49"/>
        <v>2.9887818368553201</v>
      </c>
      <c r="D142">
        <f t="shared" si="50"/>
        <v>7.5912410820356797</v>
      </c>
      <c r="E142">
        <f t="shared" si="51"/>
        <v>6.8734438068179999</v>
      </c>
      <c r="F142">
        <f t="shared" si="52"/>
        <v>2.6069391682168401</v>
      </c>
      <c r="G142">
        <f t="shared" si="53"/>
        <v>4.9843019138188502</v>
      </c>
      <c r="H142">
        <f t="shared" si="54"/>
        <v>2</v>
      </c>
      <c r="I142">
        <f t="shared" si="45"/>
        <v>1.9348685692810601</v>
      </c>
      <c r="J142">
        <f t="shared" si="46"/>
        <v>0.30899432401728599</v>
      </c>
      <c r="K142">
        <f t="shared" si="47"/>
        <v>1.7472628381361499</v>
      </c>
      <c r="L142">
        <f t="shared" si="48"/>
        <v>1.52295118963063</v>
      </c>
      <c r="M142" s="3">
        <f t="shared" si="55"/>
        <v>1.6351070138833901</v>
      </c>
      <c r="P142">
        <v>1354320000</v>
      </c>
      <c r="Q142">
        <v>8.1915794216993802</v>
      </c>
      <c r="R142">
        <v>2.9887818368553201</v>
      </c>
      <c r="S142">
        <v>7.5912410820356797</v>
      </c>
      <c r="T142">
        <v>6.8734438068179999</v>
      </c>
      <c r="U142">
        <v>2.6069391682168401</v>
      </c>
      <c r="V142">
        <v>4.9843019138188502</v>
      </c>
      <c r="W142">
        <v>1.9348685692810601</v>
      </c>
      <c r="X142">
        <v>0.30899432401728599</v>
      </c>
      <c r="Y142">
        <v>1.7472628381361499</v>
      </c>
      <c r="Z142">
        <v>1.52295118963063</v>
      </c>
      <c r="AC142">
        <v>1354320000</v>
      </c>
      <c r="AD142">
        <v>7.7742745109309501</v>
      </c>
      <c r="AE142">
        <v>2.7384796449978399</v>
      </c>
      <c r="AF142">
        <v>6.8457066486196299</v>
      </c>
      <c r="AG142">
        <v>6.20021528871965</v>
      </c>
      <c r="AH142">
        <v>2.4708555553535798</v>
      </c>
      <c r="AI142">
        <v>4.3748510932660496</v>
      </c>
      <c r="AJ142">
        <v>1.80446078466592</v>
      </c>
      <c r="AK142">
        <v>0.230774889061823</v>
      </c>
      <c r="AL142">
        <v>1.5142833276936301</v>
      </c>
      <c r="AM142">
        <v>1.31256727772489</v>
      </c>
    </row>
    <row r="143" spans="1:39" x14ac:dyDescent="0.35">
      <c r="A143" s="1">
        <v>41334</v>
      </c>
      <c r="B143">
        <f t="shared" si="44"/>
        <v>6.8199328591033703</v>
      </c>
      <c r="C143">
        <f t="shared" si="49"/>
        <v>2.2768890180918402</v>
      </c>
      <c r="D143">
        <f t="shared" si="50"/>
        <v>6.6352526942802497</v>
      </c>
      <c r="E143">
        <f t="shared" si="51"/>
        <v>6.54139354167022</v>
      </c>
      <c r="F143">
        <f t="shared" si="52"/>
        <v>2.1414506367246098</v>
      </c>
      <c r="G143">
        <f t="shared" si="53"/>
        <v>4.4938020575556399</v>
      </c>
      <c r="H143">
        <f t="shared" si="54"/>
        <v>2</v>
      </c>
      <c r="I143">
        <f t="shared" si="45"/>
        <v>1.5062290184698</v>
      </c>
      <c r="J143">
        <f t="shared" si="46"/>
        <v>8.6527818153699795E-2</v>
      </c>
      <c r="K143">
        <f t="shared" si="47"/>
        <v>1.4485164669625801</v>
      </c>
      <c r="L143">
        <f t="shared" si="48"/>
        <v>1.41918548177194</v>
      </c>
      <c r="M143" s="3">
        <f t="shared" si="55"/>
        <v>1.4338509743672601</v>
      </c>
      <c r="P143">
        <v>1362096000</v>
      </c>
      <c r="Q143">
        <v>6.8199328591033703</v>
      </c>
      <c r="R143">
        <v>2.2768890180918402</v>
      </c>
      <c r="S143">
        <v>6.6352526942802497</v>
      </c>
      <c r="T143">
        <v>6.54139354167022</v>
      </c>
      <c r="U143">
        <v>2.1414506367246098</v>
      </c>
      <c r="V143">
        <v>4.4938020575556399</v>
      </c>
      <c r="W143">
        <v>1.5062290184698</v>
      </c>
      <c r="X143">
        <v>8.6527818153699795E-2</v>
      </c>
      <c r="Y143">
        <v>1.4485164669625801</v>
      </c>
      <c r="Z143">
        <v>1.41918548177194</v>
      </c>
      <c r="AC143">
        <v>1362096000</v>
      </c>
      <c r="AD143">
        <v>6.4265062965459796</v>
      </c>
      <c r="AE143">
        <v>2.0392845495004601</v>
      </c>
      <c r="AF143">
        <v>5.9042510835888402</v>
      </c>
      <c r="AG143">
        <v>5.8789777850484803</v>
      </c>
      <c r="AH143">
        <v>2.01277946945652</v>
      </c>
      <c r="AI143">
        <v>3.89147161413233</v>
      </c>
      <c r="AJ143">
        <v>1.38328321767062</v>
      </c>
      <c r="AK143">
        <v>1.22764217188941E-2</v>
      </c>
      <c r="AL143">
        <v>1.2200784636215101</v>
      </c>
      <c r="AM143">
        <v>1.2121805578276501</v>
      </c>
    </row>
    <row r="144" spans="1:39" x14ac:dyDescent="0.35">
      <c r="A144" s="1">
        <v>41426</v>
      </c>
      <c r="B144">
        <f t="shared" si="44"/>
        <v>4.0976441024072097</v>
      </c>
      <c r="C144">
        <f t="shared" si="49"/>
        <v>1.5540366041891001</v>
      </c>
      <c r="D144">
        <f t="shared" si="50"/>
        <v>4.7795948363680099</v>
      </c>
      <c r="E144">
        <f t="shared" si="51"/>
        <v>5.2911559084901096</v>
      </c>
      <c r="F144">
        <f t="shared" si="52"/>
        <v>1.6967549513518101</v>
      </c>
      <c r="G144">
        <f t="shared" si="53"/>
        <v>3.08283988501621</v>
      </c>
      <c r="H144">
        <f t="shared" si="54"/>
        <v>2</v>
      </c>
      <c r="I144">
        <f t="shared" si="45"/>
        <v>0.65551378200225197</v>
      </c>
      <c r="J144">
        <f t="shared" si="46"/>
        <v>0</v>
      </c>
      <c r="K144">
        <f t="shared" si="47"/>
        <v>0.86862338636500402</v>
      </c>
      <c r="L144">
        <f t="shared" si="48"/>
        <v>1.02848622140316</v>
      </c>
      <c r="M144" s="3">
        <f t="shared" si="55"/>
        <v>0.762068584183628</v>
      </c>
      <c r="P144">
        <v>1370044800</v>
      </c>
      <c r="Q144">
        <v>4.0976441024072097</v>
      </c>
      <c r="R144">
        <v>1.5540366041891001</v>
      </c>
      <c r="S144">
        <v>4.7795948363680099</v>
      </c>
      <c r="T144">
        <v>5.2911559084901096</v>
      </c>
      <c r="U144">
        <v>1.6967549513518101</v>
      </c>
      <c r="V144">
        <v>3.08283988501621</v>
      </c>
      <c r="W144">
        <v>0.65551378200225197</v>
      </c>
      <c r="X144">
        <v>0</v>
      </c>
      <c r="Y144">
        <v>0.86862338636500402</v>
      </c>
      <c r="Z144">
        <v>1.02848622140316</v>
      </c>
      <c r="AC144">
        <v>1370044800</v>
      </c>
      <c r="AD144">
        <v>3.7213082787995</v>
      </c>
      <c r="AE144">
        <v>1.3256775109350001</v>
      </c>
      <c r="AF144">
        <v>4.0593771996953896</v>
      </c>
      <c r="AG144">
        <v>4.6368053889013998</v>
      </c>
      <c r="AH144">
        <v>1.57344895547996</v>
      </c>
      <c r="AI144">
        <v>2.4859282442154398</v>
      </c>
      <c r="AJ144">
        <v>0.53790883712484405</v>
      </c>
      <c r="AK144">
        <v>0</v>
      </c>
      <c r="AL144">
        <v>0.64355537490480996</v>
      </c>
      <c r="AM144">
        <v>0.82400168403168705</v>
      </c>
    </row>
    <row r="145" spans="1:39" x14ac:dyDescent="0.35">
      <c r="A145" s="1">
        <v>41518</v>
      </c>
      <c r="B145">
        <f t="shared" si="44"/>
        <v>3.3513786971293702</v>
      </c>
      <c r="C145">
        <f t="shared" si="49"/>
        <v>0.82996163381886701</v>
      </c>
      <c r="D145">
        <f t="shared" si="50"/>
        <v>4.4799529154473898</v>
      </c>
      <c r="E145">
        <f t="shared" si="51"/>
        <v>5.0411903292308402</v>
      </c>
      <c r="F145">
        <f t="shared" si="52"/>
        <v>1.42846092899074</v>
      </c>
      <c r="G145">
        <f t="shared" si="53"/>
        <v>3.0514919864566501</v>
      </c>
      <c r="H145">
        <f t="shared" si="54"/>
        <v>2</v>
      </c>
      <c r="I145">
        <f t="shared" si="45"/>
        <v>0.42230584285292799</v>
      </c>
      <c r="J145">
        <f t="shared" si="46"/>
        <v>0</v>
      </c>
      <c r="K145">
        <f t="shared" si="47"/>
        <v>0.77498528607730799</v>
      </c>
      <c r="L145">
        <f t="shared" si="48"/>
        <v>0.95037197788463901</v>
      </c>
      <c r="M145" s="3">
        <f t="shared" si="55"/>
        <v>0.59864556446511796</v>
      </c>
      <c r="P145">
        <v>1377993600</v>
      </c>
      <c r="Q145">
        <v>3.3513786971293702</v>
      </c>
      <c r="R145">
        <v>0.82996163381886701</v>
      </c>
      <c r="S145">
        <v>4.4799529154473898</v>
      </c>
      <c r="T145">
        <v>5.0411903292308402</v>
      </c>
      <c r="U145">
        <v>1.42846092899074</v>
      </c>
      <c r="V145">
        <v>3.0514919864566501</v>
      </c>
      <c r="W145">
        <v>0.42230584285292799</v>
      </c>
      <c r="X145">
        <v>0</v>
      </c>
      <c r="Y145">
        <v>0.77498528607730799</v>
      </c>
      <c r="Z145">
        <v>0.95037197788463901</v>
      </c>
      <c r="AC145">
        <v>1377993600</v>
      </c>
      <c r="AD145">
        <v>2.99223584018161</v>
      </c>
      <c r="AE145">
        <v>0.61092627276966505</v>
      </c>
      <c r="AF145">
        <v>3.77133677781638</v>
      </c>
      <c r="AG145">
        <v>4.3957014072937302</v>
      </c>
      <c r="AH145">
        <v>1.31054658656962</v>
      </c>
      <c r="AI145">
        <v>2.4607901912467698</v>
      </c>
      <c r="AJ145">
        <v>0.310073700056754</v>
      </c>
      <c r="AK145">
        <v>0</v>
      </c>
      <c r="AL145">
        <v>0.55354274306761997</v>
      </c>
      <c r="AM145">
        <v>0.74865668977929201</v>
      </c>
    </row>
    <row r="146" spans="1:39" x14ac:dyDescent="0.35">
      <c r="A146" s="1">
        <v>41609</v>
      </c>
      <c r="B146">
        <f t="shared" si="44"/>
        <v>1.7568164023142501</v>
      </c>
      <c r="C146">
        <f t="shared" si="49"/>
        <v>0.192511956722207</v>
      </c>
      <c r="D146">
        <f t="shared" si="50"/>
        <v>3.1389257080411102</v>
      </c>
      <c r="E146">
        <f t="shared" si="51"/>
        <v>2.75636037563351</v>
      </c>
      <c r="F146">
        <f t="shared" si="52"/>
        <v>0.97472610792288505</v>
      </c>
      <c r="G146">
        <f t="shared" si="53"/>
        <v>2.16419960011822</v>
      </c>
      <c r="H146">
        <f t="shared" si="54"/>
        <v>2</v>
      </c>
      <c r="I146">
        <f t="shared" si="45"/>
        <v>0</v>
      </c>
      <c r="J146">
        <f t="shared" si="46"/>
        <v>0</v>
      </c>
      <c r="K146">
        <f t="shared" si="47"/>
        <v>0.35591428376284601</v>
      </c>
      <c r="L146">
        <f t="shared" si="48"/>
        <v>0.23636261738547101</v>
      </c>
      <c r="M146" s="3">
        <f t="shared" si="55"/>
        <v>0.11818130869273551</v>
      </c>
      <c r="P146">
        <v>1385856000</v>
      </c>
      <c r="Q146">
        <v>1.7568164023142501</v>
      </c>
      <c r="R146">
        <v>0.192511956722207</v>
      </c>
      <c r="S146">
        <v>3.1389257080411102</v>
      </c>
      <c r="T146">
        <v>2.75636037563351</v>
      </c>
      <c r="U146">
        <v>0.97472610792288505</v>
      </c>
      <c r="V146">
        <v>2.16419960011822</v>
      </c>
      <c r="W146">
        <v>0</v>
      </c>
      <c r="X146">
        <v>0</v>
      </c>
      <c r="Y146">
        <v>0.35591428376284601</v>
      </c>
      <c r="Z146">
        <v>0.23636261738547101</v>
      </c>
      <c r="AC146">
        <v>1385856000</v>
      </c>
      <c r="AD146">
        <v>1.4206375155900099</v>
      </c>
      <c r="AE146">
        <v>-1.42037073211621E-2</v>
      </c>
      <c r="AF146">
        <v>2.4465112404144</v>
      </c>
      <c r="AG146">
        <v>2.12347594875065</v>
      </c>
      <c r="AH146">
        <v>0.86397034947794304</v>
      </c>
      <c r="AI146">
        <v>1.58254089093647</v>
      </c>
      <c r="AJ146">
        <v>0</v>
      </c>
      <c r="AK146">
        <v>0</v>
      </c>
      <c r="AL146">
        <v>0.13953476262950101</v>
      </c>
      <c r="AM146">
        <v>3.8586233984578597E-2</v>
      </c>
    </row>
    <row r="147" spans="1:39" x14ac:dyDescent="0.35">
      <c r="A147" s="1">
        <v>41699</v>
      </c>
      <c r="B147">
        <f t="shared" si="44"/>
        <v>2.59804759170731</v>
      </c>
      <c r="C147">
        <f t="shared" si="49"/>
        <v>-0.10645040729124899</v>
      </c>
      <c r="D147">
        <f t="shared" si="50"/>
        <v>2.7381317482966701</v>
      </c>
      <c r="E147">
        <f t="shared" si="51"/>
        <v>3.5984630672567199</v>
      </c>
      <c r="F147">
        <f t="shared" si="52"/>
        <v>0.73841655071883305</v>
      </c>
      <c r="G147">
        <f t="shared" si="53"/>
        <v>1.99971519757783</v>
      </c>
      <c r="H147">
        <f t="shared" si="54"/>
        <v>2</v>
      </c>
      <c r="I147">
        <f t="shared" si="45"/>
        <v>0.186889872408535</v>
      </c>
      <c r="J147">
        <f t="shared" si="46"/>
        <v>0</v>
      </c>
      <c r="K147">
        <f t="shared" si="47"/>
        <v>0.230666171342708</v>
      </c>
      <c r="L147">
        <f t="shared" si="48"/>
        <v>0.49951970851772598</v>
      </c>
      <c r="M147" s="3">
        <f t="shared" si="55"/>
        <v>0.2087780218756215</v>
      </c>
      <c r="P147">
        <v>1393632000</v>
      </c>
      <c r="Q147">
        <v>2.59804759170731</v>
      </c>
      <c r="R147">
        <v>-0.10645040729124899</v>
      </c>
      <c r="S147">
        <v>2.7381317482966701</v>
      </c>
      <c r="T147">
        <v>3.5984630672567199</v>
      </c>
      <c r="U147">
        <v>0.73841655071883305</v>
      </c>
      <c r="V147">
        <v>1.99971519757783</v>
      </c>
      <c r="W147">
        <v>0.186889872408535</v>
      </c>
      <c r="X147">
        <v>0</v>
      </c>
      <c r="Y147">
        <v>0.230666171342708</v>
      </c>
      <c r="Z147">
        <v>0.49951970851772598</v>
      </c>
      <c r="AC147">
        <v>1393632000</v>
      </c>
      <c r="AD147">
        <v>2.2821969051292701</v>
      </c>
      <c r="AE147">
        <v>-0.30218155733943702</v>
      </c>
      <c r="AF147">
        <v>2.0608159290258001</v>
      </c>
      <c r="AG147">
        <v>2.9774631154887801</v>
      </c>
      <c r="AH147">
        <v>0.63401823100617805</v>
      </c>
      <c r="AI147">
        <v>1.42679769801962</v>
      </c>
      <c r="AJ147">
        <v>8.8186532852895294E-2</v>
      </c>
      <c r="AK147">
        <v>0</v>
      </c>
      <c r="AL147">
        <v>1.90049778205632E-2</v>
      </c>
      <c r="AM147">
        <v>0.30545722359024402</v>
      </c>
    </row>
    <row r="148" spans="1:39" x14ac:dyDescent="0.35">
      <c r="A148" s="1">
        <v>41791</v>
      </c>
      <c r="B148">
        <f t="shared" si="44"/>
        <v>3.8146281172422598</v>
      </c>
      <c r="C148">
        <f t="shared" si="49"/>
        <v>-0.27198378621306002</v>
      </c>
      <c r="D148">
        <f t="shared" si="50"/>
        <v>3.2489513155503</v>
      </c>
      <c r="E148">
        <f t="shared" si="51"/>
        <v>3.9459068533680299</v>
      </c>
      <c r="F148">
        <f t="shared" si="52"/>
        <v>0.48941398169907702</v>
      </c>
      <c r="G148">
        <f t="shared" si="53"/>
        <v>2.7595373338512199</v>
      </c>
      <c r="H148">
        <f t="shared" si="54"/>
        <v>2</v>
      </c>
      <c r="I148">
        <f t="shared" si="45"/>
        <v>0.56707128663820605</v>
      </c>
      <c r="J148">
        <f t="shared" si="46"/>
        <v>0</v>
      </c>
      <c r="K148">
        <f t="shared" si="47"/>
        <v>0.39029728610946801</v>
      </c>
      <c r="L148">
        <f t="shared" si="48"/>
        <v>0.60809589167750799</v>
      </c>
      <c r="M148" s="3">
        <f t="shared" si="55"/>
        <v>0.47868428637383703</v>
      </c>
      <c r="P148">
        <v>1401580800</v>
      </c>
      <c r="Q148">
        <v>3.8146281172422598</v>
      </c>
      <c r="R148">
        <v>-0.27198378621306002</v>
      </c>
      <c r="S148">
        <v>3.2489513155503</v>
      </c>
      <c r="T148">
        <v>3.9459068533680299</v>
      </c>
      <c r="U148">
        <v>0.48941398169907702</v>
      </c>
      <c r="V148">
        <v>2.7595373338512199</v>
      </c>
      <c r="W148">
        <v>0.56707128663820605</v>
      </c>
      <c r="X148">
        <v>0</v>
      </c>
      <c r="Y148">
        <v>0.39029728610946801</v>
      </c>
      <c r="Z148">
        <v>0.60809589167750799</v>
      </c>
      <c r="AC148">
        <v>1401580800</v>
      </c>
      <c r="AD148">
        <v>3.51429094644566</v>
      </c>
      <c r="AE148">
        <v>-0.45916715727073099</v>
      </c>
      <c r="AF148">
        <v>2.5841569145074401</v>
      </c>
      <c r="AG148">
        <v>3.3349230120493001</v>
      </c>
      <c r="AH148">
        <v>0.38991627632856302</v>
      </c>
      <c r="AI148">
        <v>2.1942406381788802</v>
      </c>
      <c r="AJ148">
        <v>0.47321592076426799</v>
      </c>
      <c r="AK148">
        <v>0</v>
      </c>
      <c r="AL148">
        <v>0.18254903578357601</v>
      </c>
      <c r="AM148">
        <v>0.417163441265405</v>
      </c>
    </row>
    <row r="149" spans="1:39" x14ac:dyDescent="0.35">
      <c r="A149" s="1">
        <v>41883</v>
      </c>
      <c r="B149">
        <f t="shared" si="44"/>
        <v>4.0882907967936504</v>
      </c>
      <c r="C149">
        <f t="shared" si="49"/>
        <v>-0.78335262328802902</v>
      </c>
      <c r="D149">
        <f t="shared" si="50"/>
        <v>3.1683634732907699</v>
      </c>
      <c r="E149">
        <f t="shared" si="51"/>
        <v>4.5491732554923701</v>
      </c>
      <c r="F149">
        <f t="shared" si="52"/>
        <v>8.4430758947149104E-2</v>
      </c>
      <c r="G149">
        <f t="shared" si="53"/>
        <v>3.0839327143436299</v>
      </c>
      <c r="H149">
        <f t="shared" si="54"/>
        <v>2</v>
      </c>
      <c r="I149">
        <f t="shared" si="45"/>
        <v>0.65259087399801696</v>
      </c>
      <c r="J149">
        <f t="shared" si="46"/>
        <v>0</v>
      </c>
      <c r="K149">
        <f t="shared" si="47"/>
        <v>0.36511358540336603</v>
      </c>
      <c r="L149">
        <f t="shared" si="48"/>
        <v>0.79661664234136498</v>
      </c>
      <c r="M149" s="3">
        <f t="shared" si="55"/>
        <v>0.50885222970069144</v>
      </c>
      <c r="P149">
        <v>1409529600</v>
      </c>
      <c r="Q149">
        <v>4.0882907967936504</v>
      </c>
      <c r="R149">
        <v>-0.78335262328802902</v>
      </c>
      <c r="S149">
        <v>3.1683634732907699</v>
      </c>
      <c r="T149">
        <v>4.5491732554923701</v>
      </c>
      <c r="U149">
        <v>8.4430758947149104E-2</v>
      </c>
      <c r="V149">
        <v>3.0839327143436299</v>
      </c>
      <c r="W149">
        <v>0.65259087399801696</v>
      </c>
      <c r="X149">
        <v>0</v>
      </c>
      <c r="Y149">
        <v>0.36511358540336603</v>
      </c>
      <c r="Z149">
        <v>0.79661664234136498</v>
      </c>
      <c r="AC149">
        <v>1409529600</v>
      </c>
      <c r="AD149">
        <v>3.8072827962101199</v>
      </c>
      <c r="AE149">
        <v>-0.96003030172797199</v>
      </c>
      <c r="AF149">
        <v>2.51922879393164</v>
      </c>
      <c r="AG149">
        <v>3.95077724806375</v>
      </c>
      <c r="AH149">
        <v>-9.0115341144362295E-3</v>
      </c>
      <c r="AI149">
        <v>2.5282403280460799</v>
      </c>
      <c r="AJ149">
        <v>0.56477587381566097</v>
      </c>
      <c r="AK149">
        <v>0</v>
      </c>
      <c r="AL149">
        <v>0.162258998103639</v>
      </c>
      <c r="AM149">
        <v>0.60961789001992095</v>
      </c>
    </row>
    <row r="150" spans="1:39" x14ac:dyDescent="0.35">
      <c r="A150" s="1">
        <v>41974</v>
      </c>
      <c r="B150">
        <f t="shared" si="44"/>
        <v>4.1474444545628204</v>
      </c>
      <c r="C150">
        <f t="shared" si="49"/>
        <v>-0.86681172155527197</v>
      </c>
      <c r="D150">
        <f t="shared" si="50"/>
        <v>2.6828178753191199</v>
      </c>
      <c r="E150">
        <f t="shared" si="51"/>
        <v>3.15395437872498</v>
      </c>
      <c r="F150">
        <f t="shared" si="52"/>
        <v>-0.100568540127548</v>
      </c>
      <c r="G150">
        <f t="shared" si="53"/>
        <v>2.7833864154466701</v>
      </c>
      <c r="H150">
        <f t="shared" si="54"/>
        <v>2</v>
      </c>
      <c r="I150">
        <f t="shared" si="45"/>
        <v>0.67107639205087999</v>
      </c>
      <c r="J150">
        <f t="shared" si="46"/>
        <v>0</v>
      </c>
      <c r="K150">
        <f t="shared" si="47"/>
        <v>0.21338058603722601</v>
      </c>
      <c r="L150">
        <f t="shared" si="48"/>
        <v>0.36061074335155502</v>
      </c>
      <c r="M150" s="3">
        <f t="shared" si="55"/>
        <v>0.28699566469439053</v>
      </c>
      <c r="P150">
        <v>1417392000</v>
      </c>
      <c r="Q150">
        <v>4.1474444545628204</v>
      </c>
      <c r="R150">
        <v>-0.86681172155527197</v>
      </c>
      <c r="S150">
        <v>2.6828178753191199</v>
      </c>
      <c r="T150">
        <v>3.15395437872498</v>
      </c>
      <c r="U150">
        <v>-0.100568540127548</v>
      </c>
      <c r="V150">
        <v>2.7833864154466701</v>
      </c>
      <c r="W150">
        <v>0.67107639205087999</v>
      </c>
      <c r="X150">
        <v>0</v>
      </c>
      <c r="Y150">
        <v>0.21338058603722601</v>
      </c>
      <c r="Z150">
        <v>0.36061074335155502</v>
      </c>
      <c r="AC150">
        <v>1417392000</v>
      </c>
      <c r="AD150">
        <v>3.8842336062779901</v>
      </c>
      <c r="AE150">
        <v>-1.03374987022617</v>
      </c>
      <c r="AF150">
        <v>2.0488797474664602</v>
      </c>
      <c r="AG150">
        <v>2.5679085836207101</v>
      </c>
      <c r="AH150">
        <v>-0.18841808515716299</v>
      </c>
      <c r="AI150">
        <v>2.2372978326236201</v>
      </c>
      <c r="AJ150">
        <v>0.58882300196187198</v>
      </c>
      <c r="AK150">
        <v>0</v>
      </c>
      <c r="AL150">
        <v>1.5274921083268099E-2</v>
      </c>
      <c r="AM150">
        <v>0.17747143238147201</v>
      </c>
    </row>
    <row r="151" spans="1:39" x14ac:dyDescent="0.35">
      <c r="A151" s="1">
        <v>42064</v>
      </c>
      <c r="B151">
        <f t="shared" si="44"/>
        <v>5.5048281159363297</v>
      </c>
      <c r="C151">
        <f t="shared" si="49"/>
        <v>-1.11361207166547</v>
      </c>
      <c r="D151">
        <f t="shared" si="50"/>
        <v>1.48667142528992</v>
      </c>
      <c r="E151">
        <f t="shared" si="51"/>
        <v>2.1359760603534301</v>
      </c>
      <c r="F151">
        <f t="shared" si="52"/>
        <v>-0.59901879461521501</v>
      </c>
      <c r="G151">
        <f t="shared" si="53"/>
        <v>2.0856902199051399</v>
      </c>
      <c r="H151">
        <f t="shared" si="54"/>
        <v>2</v>
      </c>
      <c r="I151">
        <f t="shared" si="45"/>
        <v>1.0952587862301</v>
      </c>
      <c r="J151">
        <f t="shared" si="46"/>
        <v>0</v>
      </c>
      <c r="K151">
        <f t="shared" si="47"/>
        <v>0</v>
      </c>
      <c r="L151">
        <f t="shared" si="48"/>
        <v>4.2492518860446998E-2</v>
      </c>
      <c r="M151" s="3">
        <f t="shared" si="55"/>
        <v>2.1246259430223499E-2</v>
      </c>
      <c r="P151">
        <v>1425168000</v>
      </c>
      <c r="Q151">
        <v>5.5048281159363297</v>
      </c>
      <c r="R151">
        <v>-1.11361207166547</v>
      </c>
      <c r="S151">
        <v>1.48667142528992</v>
      </c>
      <c r="T151">
        <v>2.1359760603534301</v>
      </c>
      <c r="U151">
        <v>-0.59901879461521501</v>
      </c>
      <c r="V151">
        <v>2.0856902199051399</v>
      </c>
      <c r="W151">
        <v>1.0952587862301</v>
      </c>
      <c r="X151">
        <v>0</v>
      </c>
      <c r="Y151">
        <v>0</v>
      </c>
      <c r="Z151">
        <v>4.2492518860446998E-2</v>
      </c>
      <c r="AC151">
        <v>1425168000</v>
      </c>
      <c r="AD151">
        <v>5.2584338221733598</v>
      </c>
      <c r="AE151">
        <v>-1.2712956516887</v>
      </c>
      <c r="AF151">
        <v>0.86779671544465697</v>
      </c>
      <c r="AG151">
        <v>1.56228994458281</v>
      </c>
      <c r="AH151">
        <v>-0.681570985022387</v>
      </c>
      <c r="AI151">
        <v>1.5493677004670501</v>
      </c>
      <c r="AJ151">
        <v>1.01826056942917</v>
      </c>
      <c r="AK151">
        <v>0</v>
      </c>
      <c r="AL151">
        <v>0</v>
      </c>
      <c r="AM151">
        <v>0</v>
      </c>
    </row>
    <row r="152" spans="1:39" x14ac:dyDescent="0.35">
      <c r="A152" s="1">
        <v>42156</v>
      </c>
      <c r="B152">
        <f t="shared" si="44"/>
        <v>4.7315744931383099</v>
      </c>
      <c r="C152">
        <f t="shared" si="49"/>
        <v>-1.04211875286114</v>
      </c>
      <c r="D152">
        <f t="shared" si="50"/>
        <v>0.21666559579007599</v>
      </c>
      <c r="E152">
        <f t="shared" si="51"/>
        <v>1.13622556304334</v>
      </c>
      <c r="F152">
        <f t="shared" si="52"/>
        <v>-0.72829528453306702</v>
      </c>
      <c r="G152">
        <f t="shared" si="53"/>
        <v>0.94496088032313896</v>
      </c>
      <c r="H152">
        <f t="shared" si="54"/>
        <v>2</v>
      </c>
      <c r="I152">
        <f t="shared" si="45"/>
        <v>0.85361702910572301</v>
      </c>
      <c r="J152">
        <f t="shared" si="46"/>
        <v>0</v>
      </c>
      <c r="K152">
        <f t="shared" si="47"/>
        <v>0</v>
      </c>
      <c r="L152">
        <f t="shared" si="48"/>
        <v>0</v>
      </c>
      <c r="M152" s="3">
        <f t="shared" si="55"/>
        <v>0</v>
      </c>
      <c r="P152">
        <v>1433116800</v>
      </c>
      <c r="Q152">
        <v>4.7315744931383099</v>
      </c>
      <c r="R152">
        <v>-1.04211875286114</v>
      </c>
      <c r="S152">
        <v>0.21666559579007599</v>
      </c>
      <c r="T152">
        <v>1.13622556304334</v>
      </c>
      <c r="U152">
        <v>-0.72829528453306702</v>
      </c>
      <c r="V152">
        <v>0.94496088032313896</v>
      </c>
      <c r="W152">
        <v>0.85361702910572301</v>
      </c>
      <c r="X152">
        <v>0</v>
      </c>
      <c r="Y152">
        <v>0</v>
      </c>
      <c r="Z152">
        <v>0</v>
      </c>
      <c r="AC152">
        <v>1433116800</v>
      </c>
      <c r="AD152">
        <v>4.50070216525517</v>
      </c>
      <c r="AE152">
        <v>-1.1911845712906599</v>
      </c>
      <c r="AF152">
        <v>-0.387503779453299</v>
      </c>
      <c r="AG152">
        <v>0.57472888306708203</v>
      </c>
      <c r="AH152">
        <v>-0.80593289887974995</v>
      </c>
      <c r="AI152">
        <v>0.41842911942644501</v>
      </c>
      <c r="AJ152">
        <v>0.78146942664224095</v>
      </c>
      <c r="AK152">
        <v>0</v>
      </c>
      <c r="AL152">
        <v>0</v>
      </c>
      <c r="AM152">
        <v>0</v>
      </c>
    </row>
    <row r="153" spans="1:39" x14ac:dyDescent="0.35">
      <c r="A153" s="1">
        <v>42248</v>
      </c>
      <c r="B153">
        <f t="shared" si="44"/>
        <v>4.3030779316902903</v>
      </c>
      <c r="C153">
        <f t="shared" si="49"/>
        <v>-1.0943469530702199</v>
      </c>
      <c r="D153">
        <f t="shared" si="50"/>
        <v>9.8466055142261505E-2</v>
      </c>
      <c r="E153">
        <f t="shared" si="51"/>
        <v>0.74923509901926499</v>
      </c>
      <c r="F153">
        <f t="shared" si="52"/>
        <v>-0.742590794261621</v>
      </c>
      <c r="G153">
        <f t="shared" si="53"/>
        <v>0.84105684940388503</v>
      </c>
      <c r="H153">
        <f t="shared" si="54"/>
        <v>2</v>
      </c>
      <c r="I153">
        <f t="shared" si="45"/>
        <v>0.71971185365321499</v>
      </c>
      <c r="J153">
        <f t="shared" si="46"/>
        <v>0</v>
      </c>
      <c r="K153">
        <f t="shared" si="47"/>
        <v>0</v>
      </c>
      <c r="L153">
        <f t="shared" si="48"/>
        <v>0</v>
      </c>
      <c r="M153" s="3">
        <f t="shared" si="55"/>
        <v>0</v>
      </c>
      <c r="P153">
        <v>1441065600</v>
      </c>
      <c r="Q153">
        <v>4.3030779316902903</v>
      </c>
      <c r="R153">
        <v>-1.0943469530702199</v>
      </c>
      <c r="S153">
        <v>9.8466055142261505E-2</v>
      </c>
      <c r="T153">
        <v>0.74923509901926499</v>
      </c>
      <c r="U153">
        <v>-0.742590794261621</v>
      </c>
      <c r="V153">
        <v>0.84105684940388503</v>
      </c>
      <c r="W153">
        <v>0.71971185365321499</v>
      </c>
      <c r="X153">
        <v>0</v>
      </c>
      <c r="Y153">
        <v>0</v>
      </c>
      <c r="Z153">
        <v>0</v>
      </c>
      <c r="AC153">
        <v>1441065600</v>
      </c>
      <c r="AD153">
        <v>4.0856549840848899</v>
      </c>
      <c r="AE153">
        <v>-1.2358238389054801</v>
      </c>
      <c r="AF153">
        <v>-0.49189240100000597</v>
      </c>
      <c r="AG153">
        <v>0.199339026182238</v>
      </c>
      <c r="AH153">
        <v>-0.81592848839820298</v>
      </c>
      <c r="AI153">
        <v>0.32403608739819001</v>
      </c>
      <c r="AJ153">
        <v>0.65176718252652699</v>
      </c>
      <c r="AK153">
        <v>0</v>
      </c>
      <c r="AL153">
        <v>0</v>
      </c>
      <c r="AM153">
        <v>0</v>
      </c>
    </row>
    <row r="154" spans="1:39" x14ac:dyDescent="0.35">
      <c r="A154" s="1">
        <v>42339</v>
      </c>
      <c r="B154">
        <f t="shared" si="44"/>
        <v>5.0366184537437597</v>
      </c>
      <c r="C154">
        <f t="shared" si="49"/>
        <v>-1.1129085555065299</v>
      </c>
      <c r="D154">
        <f t="shared" si="50"/>
        <v>0.23927886642120499</v>
      </c>
      <c r="E154">
        <f t="shared" si="51"/>
        <v>-0.134298722861276</v>
      </c>
      <c r="F154">
        <f t="shared" si="52"/>
        <v>-0.90511810958956496</v>
      </c>
      <c r="G154">
        <f t="shared" si="53"/>
        <v>1.14439697601076</v>
      </c>
      <c r="H154">
        <f t="shared" si="54"/>
        <v>2</v>
      </c>
      <c r="I154">
        <f t="shared" si="45"/>
        <v>0.94894326679492402</v>
      </c>
      <c r="J154">
        <f t="shared" si="46"/>
        <v>0</v>
      </c>
      <c r="K154">
        <f t="shared" si="47"/>
        <v>0</v>
      </c>
      <c r="L154">
        <f t="shared" si="48"/>
        <v>0</v>
      </c>
      <c r="M154" s="3">
        <f t="shared" si="55"/>
        <v>0</v>
      </c>
      <c r="P154">
        <v>1448928000</v>
      </c>
      <c r="Q154">
        <v>5.0366184537437597</v>
      </c>
      <c r="R154">
        <v>-1.1129085555065299</v>
      </c>
      <c r="S154">
        <v>0.23927886642120499</v>
      </c>
      <c r="T154">
        <v>-0.134298722861276</v>
      </c>
      <c r="U154">
        <v>-0.90511810958956496</v>
      </c>
      <c r="V154">
        <v>1.14439697601076</v>
      </c>
      <c r="W154">
        <v>0.94894326679492402</v>
      </c>
      <c r="X154">
        <v>0</v>
      </c>
      <c r="Y154">
        <v>0</v>
      </c>
      <c r="Z154">
        <v>0</v>
      </c>
      <c r="AC154">
        <v>1448928000</v>
      </c>
      <c r="AD154">
        <v>4.83472986813209</v>
      </c>
      <c r="AE154">
        <v>-1.24574932231199</v>
      </c>
      <c r="AF154">
        <v>-0.33550260209389898</v>
      </c>
      <c r="AG154">
        <v>-0.671124129816982</v>
      </c>
      <c r="AH154">
        <v>-0.97354157130574104</v>
      </c>
      <c r="AI154">
        <v>0.638038969211847</v>
      </c>
      <c r="AJ154">
        <v>0.88585308379127803</v>
      </c>
      <c r="AK154">
        <v>0</v>
      </c>
      <c r="AL154">
        <v>0</v>
      </c>
      <c r="AM154">
        <v>0</v>
      </c>
    </row>
    <row r="155" spans="1:39" x14ac:dyDescent="0.35">
      <c r="A155" s="1">
        <v>42430</v>
      </c>
      <c r="B155">
        <f t="shared" si="44"/>
        <v>2.9581651200174002</v>
      </c>
      <c r="C155">
        <f t="shared" si="49"/>
        <v>-1.46750441052654</v>
      </c>
      <c r="D155">
        <f t="shared" si="50"/>
        <v>-2.0292897536929502</v>
      </c>
      <c r="E155">
        <f t="shared" si="51"/>
        <v>-1.2738430242171199</v>
      </c>
      <c r="F155">
        <f t="shared" si="52"/>
        <v>-1.5451717232212601</v>
      </c>
      <c r="G155">
        <f t="shared" si="53"/>
        <v>-0.484118030471684</v>
      </c>
      <c r="H155">
        <f t="shared" si="54"/>
        <v>2</v>
      </c>
      <c r="I155">
        <f t="shared" si="45"/>
        <v>0.29942660000543603</v>
      </c>
      <c r="J155">
        <f t="shared" si="46"/>
        <v>0</v>
      </c>
      <c r="K155">
        <f t="shared" si="47"/>
        <v>0</v>
      </c>
      <c r="L155">
        <f t="shared" si="48"/>
        <v>0</v>
      </c>
      <c r="M155" s="3">
        <f t="shared" si="55"/>
        <v>0</v>
      </c>
      <c r="P155">
        <v>1456790400</v>
      </c>
      <c r="Q155">
        <v>2.9581651200174002</v>
      </c>
      <c r="R155">
        <v>-1.46750441052654</v>
      </c>
      <c r="S155">
        <v>-2.0292897536929502</v>
      </c>
      <c r="T155">
        <v>-1.2738430242171199</v>
      </c>
      <c r="U155">
        <v>-1.5451717232212601</v>
      </c>
      <c r="V155">
        <v>-0.484118030471684</v>
      </c>
      <c r="W155">
        <v>0.29942660000543603</v>
      </c>
      <c r="X155">
        <v>0</v>
      </c>
      <c r="Y155">
        <v>0</v>
      </c>
      <c r="Z155">
        <v>0</v>
      </c>
      <c r="AC155">
        <v>1456790400</v>
      </c>
      <c r="AD155">
        <v>2.7692357541300701</v>
      </c>
      <c r="AE155">
        <v>-1.5930040288823599</v>
      </c>
      <c r="AF155">
        <v>-2.5897560655565899</v>
      </c>
      <c r="AG155">
        <v>-1.79850159575267</v>
      </c>
      <c r="AH155">
        <v>-1.60944332566473</v>
      </c>
      <c r="AI155">
        <v>-0.98031273989186196</v>
      </c>
      <c r="AJ155">
        <v>0.24038617316564601</v>
      </c>
      <c r="AK155">
        <v>0</v>
      </c>
      <c r="AL155">
        <v>0</v>
      </c>
      <c r="AM155">
        <v>0</v>
      </c>
    </row>
    <row r="156" spans="1:39" x14ac:dyDescent="0.35">
      <c r="A156" s="1">
        <v>42522</v>
      </c>
      <c r="B156">
        <f t="shared" si="44"/>
        <v>4.2462926872685296</v>
      </c>
      <c r="C156">
        <f t="shared" si="49"/>
        <v>-0.99450989172838999</v>
      </c>
      <c r="D156">
        <f t="shared" si="50"/>
        <v>-1.3543484425758501</v>
      </c>
      <c r="E156">
        <f t="shared" si="51"/>
        <v>-0.70815470447025397</v>
      </c>
      <c r="F156">
        <f t="shared" si="52"/>
        <v>-1.4465971782045399</v>
      </c>
      <c r="G156">
        <f t="shared" si="53"/>
        <v>9.2248735628687004E-2</v>
      </c>
      <c r="H156">
        <f t="shared" si="54"/>
        <v>2</v>
      </c>
      <c r="I156">
        <f t="shared" si="45"/>
        <v>0.701966464771417</v>
      </c>
      <c r="J156">
        <f t="shared" si="46"/>
        <v>0</v>
      </c>
      <c r="K156">
        <f t="shared" si="47"/>
        <v>0</v>
      </c>
      <c r="L156">
        <f t="shared" si="48"/>
        <v>0</v>
      </c>
      <c r="M156" s="3">
        <f t="shared" si="55"/>
        <v>0</v>
      </c>
      <c r="P156">
        <v>1464739200</v>
      </c>
      <c r="Q156">
        <v>4.2462926872685296</v>
      </c>
      <c r="R156">
        <v>-0.99450989172838999</v>
      </c>
      <c r="S156">
        <v>-1.3543484425758501</v>
      </c>
      <c r="T156">
        <v>-0.70815470447025397</v>
      </c>
      <c r="U156">
        <v>-1.4465971782045399</v>
      </c>
      <c r="V156">
        <v>9.2248735628687004E-2</v>
      </c>
      <c r="W156">
        <v>0.701966464771417</v>
      </c>
      <c r="X156">
        <v>0</v>
      </c>
      <c r="Y156">
        <v>0</v>
      </c>
      <c r="Z156">
        <v>0</v>
      </c>
      <c r="AC156">
        <v>1464739200</v>
      </c>
      <c r="AD156">
        <v>4.0749998673061798</v>
      </c>
      <c r="AE156">
        <v>-1.11033190819811</v>
      </c>
      <c r="AF156">
        <v>-1.8971792580190501</v>
      </c>
      <c r="AG156">
        <v>-1.21800733546115</v>
      </c>
      <c r="AH156">
        <v>-1.50535763821061</v>
      </c>
      <c r="AI156">
        <v>-0.39182161980843799</v>
      </c>
      <c r="AJ156">
        <v>0.64843745853318002</v>
      </c>
      <c r="AK156">
        <v>0</v>
      </c>
      <c r="AL156">
        <v>0</v>
      </c>
      <c r="AM156">
        <v>0</v>
      </c>
    </row>
    <row r="157" spans="1:39" x14ac:dyDescent="0.35">
      <c r="A157" s="1">
        <v>42614</v>
      </c>
      <c r="B157">
        <f t="shared" si="44"/>
        <v>4.3464895155198802</v>
      </c>
      <c r="C157">
        <f t="shared" si="49"/>
        <v>-0.940054967725928</v>
      </c>
      <c r="D157">
        <f t="shared" si="50"/>
        <v>-0.90647334791310796</v>
      </c>
      <c r="E157">
        <f t="shared" si="51"/>
        <v>-0.66240609894513203</v>
      </c>
      <c r="F157">
        <f t="shared" si="52"/>
        <v>-1.24343906487002</v>
      </c>
      <c r="G157">
        <f t="shared" si="53"/>
        <v>0.33696571695691502</v>
      </c>
      <c r="H157">
        <f t="shared" si="54"/>
        <v>2</v>
      </c>
      <c r="I157">
        <f t="shared" si="45"/>
        <v>0.73327797359996205</v>
      </c>
      <c r="J157">
        <f t="shared" si="46"/>
        <v>0</v>
      </c>
      <c r="K157">
        <f t="shared" si="47"/>
        <v>0</v>
      </c>
      <c r="L157">
        <f t="shared" si="48"/>
        <v>0</v>
      </c>
      <c r="M157" s="3">
        <f t="shared" si="55"/>
        <v>0</v>
      </c>
      <c r="P157">
        <v>1472688000</v>
      </c>
      <c r="Q157">
        <v>4.3464895155198802</v>
      </c>
      <c r="R157">
        <v>-0.940054967725928</v>
      </c>
      <c r="S157">
        <v>-0.90647334791310796</v>
      </c>
      <c r="T157">
        <v>-0.66240609894513203</v>
      </c>
      <c r="U157">
        <v>-1.24343906487002</v>
      </c>
      <c r="V157">
        <v>0.33696571695691502</v>
      </c>
      <c r="W157">
        <v>0.73327797359996205</v>
      </c>
      <c r="X157">
        <v>0</v>
      </c>
      <c r="Y157">
        <v>0</v>
      </c>
      <c r="Z157">
        <v>0</v>
      </c>
      <c r="AC157">
        <v>1472688000</v>
      </c>
      <c r="AD157">
        <v>4.1893308436984897</v>
      </c>
      <c r="AE157">
        <v>-1.0479472172459401</v>
      </c>
      <c r="AF157">
        <v>-1.4335895468409501</v>
      </c>
      <c r="AG157">
        <v>-1.15885428661029</v>
      </c>
      <c r="AH157">
        <v>-1.29771934207104</v>
      </c>
      <c r="AI157">
        <v>-0.13587020476991399</v>
      </c>
      <c r="AJ157">
        <v>0.68416588865577899</v>
      </c>
      <c r="AK157">
        <v>0</v>
      </c>
      <c r="AL157">
        <v>0</v>
      </c>
      <c r="AM157">
        <v>0</v>
      </c>
    </row>
    <row r="158" spans="1:39" x14ac:dyDescent="0.35">
      <c r="A158" s="1">
        <v>42705</v>
      </c>
      <c r="B158">
        <f t="shared" si="44"/>
        <v>4.9104531097543598</v>
      </c>
      <c r="C158">
        <f t="shared" si="49"/>
        <v>-0.26254052629666802</v>
      </c>
      <c r="D158">
        <f t="shared" si="50"/>
        <v>-0.53636409289948395</v>
      </c>
      <c r="E158">
        <f t="shared" si="51"/>
        <v>-1.1462285341988001</v>
      </c>
      <c r="F158">
        <f t="shared" si="52"/>
        <v>-0.75126775154227299</v>
      </c>
      <c r="G158">
        <f t="shared" si="53"/>
        <v>0.21490365864279101</v>
      </c>
      <c r="H158">
        <f t="shared" si="54"/>
        <v>2</v>
      </c>
      <c r="I158">
        <f t="shared" si="45"/>
        <v>0.90951659679823904</v>
      </c>
      <c r="J158">
        <f t="shared" si="46"/>
        <v>0</v>
      </c>
      <c r="K158">
        <f t="shared" si="47"/>
        <v>0</v>
      </c>
      <c r="L158">
        <f t="shared" si="48"/>
        <v>0</v>
      </c>
      <c r="M158" s="3">
        <f t="shared" si="55"/>
        <v>0</v>
      </c>
      <c r="P158">
        <v>1480550400</v>
      </c>
      <c r="Q158">
        <v>4.9104531097543598</v>
      </c>
      <c r="R158">
        <v>-0.26254052629666802</v>
      </c>
      <c r="S158">
        <v>-0.53636409289948395</v>
      </c>
      <c r="T158">
        <v>-1.1462285341988001</v>
      </c>
      <c r="U158">
        <v>-0.75126775154227299</v>
      </c>
      <c r="V158">
        <v>0.21490365864279101</v>
      </c>
      <c r="W158">
        <v>0.90951659679823904</v>
      </c>
      <c r="X158">
        <v>0</v>
      </c>
      <c r="Y158">
        <v>0</v>
      </c>
      <c r="Z158">
        <v>0</v>
      </c>
      <c r="AC158">
        <v>1480550400</v>
      </c>
      <c r="AD158">
        <v>4.7701064141535401</v>
      </c>
      <c r="AE158">
        <v>-0.36117676165323997</v>
      </c>
      <c r="AF158">
        <v>-1.04577004915573</v>
      </c>
      <c r="AG158">
        <v>-1.6276925177228501</v>
      </c>
      <c r="AH158">
        <v>-0.80029075750113998</v>
      </c>
      <c r="AI158">
        <v>-0.245479291654598</v>
      </c>
      <c r="AJ158">
        <v>0.86565825442298205</v>
      </c>
      <c r="AK158">
        <v>0</v>
      </c>
      <c r="AL158">
        <v>0</v>
      </c>
      <c r="AM158">
        <v>0</v>
      </c>
    </row>
    <row r="159" spans="1:39" x14ac:dyDescent="0.35">
      <c r="A159" s="1">
        <v>42795</v>
      </c>
      <c r="B159">
        <f t="shared" si="44"/>
        <v>5.84990704473437</v>
      </c>
      <c r="C159">
        <f t="shared" si="49"/>
        <v>-8.4384078569092802E-2</v>
      </c>
      <c r="D159">
        <f t="shared" si="50"/>
        <v>0.36792453131685399</v>
      </c>
      <c r="E159">
        <f t="shared" si="51"/>
        <v>-0.90736694269516704</v>
      </c>
      <c r="F159">
        <f t="shared" si="52"/>
        <v>-0.88549302735037805</v>
      </c>
      <c r="G159">
        <f t="shared" si="53"/>
        <v>1.25341755866723</v>
      </c>
      <c r="H159">
        <f t="shared" si="54"/>
        <v>2</v>
      </c>
      <c r="I159">
        <f t="shared" si="45"/>
        <v>1.2030959514794899</v>
      </c>
      <c r="J159">
        <f t="shared" si="46"/>
        <v>0</v>
      </c>
      <c r="K159">
        <f t="shared" si="47"/>
        <v>0</v>
      </c>
      <c r="L159">
        <f t="shared" si="48"/>
        <v>0</v>
      </c>
      <c r="M159" s="3">
        <f t="shared" si="55"/>
        <v>0</v>
      </c>
      <c r="P159">
        <v>1488326400</v>
      </c>
      <c r="Q159">
        <v>5.84990704473437</v>
      </c>
      <c r="R159">
        <v>-8.4384078569092802E-2</v>
      </c>
      <c r="S159">
        <v>0.36792453131685399</v>
      </c>
      <c r="T159">
        <v>-0.90736694269516704</v>
      </c>
      <c r="U159">
        <v>-0.88549302735037805</v>
      </c>
      <c r="V159">
        <v>1.25341755866723</v>
      </c>
      <c r="W159">
        <v>1.2030959514794899</v>
      </c>
      <c r="X159">
        <v>0</v>
      </c>
      <c r="Y159">
        <v>0</v>
      </c>
      <c r="Z159">
        <v>0</v>
      </c>
      <c r="AC159">
        <v>1488326400</v>
      </c>
      <c r="AD159">
        <v>5.7224941006874399</v>
      </c>
      <c r="AE159">
        <v>-0.17570434043070399</v>
      </c>
      <c r="AF159">
        <v>-0.12597594714257099</v>
      </c>
      <c r="AG159">
        <v>-1.3754710386058999</v>
      </c>
      <c r="AH159">
        <v>-0.93040731125571097</v>
      </c>
      <c r="AI159">
        <v>0.80443136411312099</v>
      </c>
      <c r="AJ159">
        <v>1.16327940646482</v>
      </c>
      <c r="AK159">
        <v>0</v>
      </c>
      <c r="AL159">
        <v>0</v>
      </c>
      <c r="AM159">
        <v>0</v>
      </c>
    </row>
    <row r="160" spans="1:39" x14ac:dyDescent="0.35">
      <c r="A160" s="1">
        <v>42887</v>
      </c>
      <c r="B160">
        <f t="shared" si="44"/>
        <v>4.9834662996727097</v>
      </c>
      <c r="C160">
        <f t="shared" si="49"/>
        <v>0.168534964121865</v>
      </c>
      <c r="D160">
        <f t="shared" si="50"/>
        <v>7.9859214421735505E-2</v>
      </c>
      <c r="E160">
        <f t="shared" si="51"/>
        <v>0.13190461262369599</v>
      </c>
      <c r="F160">
        <f t="shared" si="52"/>
        <v>-0.64932233622269397</v>
      </c>
      <c r="G160">
        <f t="shared" si="53"/>
        <v>0.72918155064441703</v>
      </c>
      <c r="H160">
        <f t="shared" si="54"/>
        <v>2</v>
      </c>
      <c r="I160">
        <f t="shared" si="45"/>
        <v>0.93233321864772101</v>
      </c>
      <c r="J160">
        <f t="shared" si="46"/>
        <v>0</v>
      </c>
      <c r="K160">
        <f t="shared" si="47"/>
        <v>0</v>
      </c>
      <c r="L160">
        <f t="shared" si="48"/>
        <v>0</v>
      </c>
      <c r="M160" s="3">
        <f t="shared" si="55"/>
        <v>0</v>
      </c>
      <c r="P160">
        <v>1496275200</v>
      </c>
      <c r="Q160">
        <v>4.9834662996727097</v>
      </c>
      <c r="R160">
        <v>0.168534964121865</v>
      </c>
      <c r="S160">
        <v>7.9859214421735505E-2</v>
      </c>
      <c r="T160">
        <v>0.13190461262369599</v>
      </c>
      <c r="U160">
        <v>-0.64932233622269397</v>
      </c>
      <c r="V160">
        <v>0.72918155064441703</v>
      </c>
      <c r="W160">
        <v>0.93233321864772101</v>
      </c>
      <c r="X160">
        <v>0</v>
      </c>
      <c r="Y160">
        <v>0</v>
      </c>
      <c r="Z160">
        <v>0</v>
      </c>
      <c r="AC160">
        <v>1496275200</v>
      </c>
      <c r="AD160">
        <v>4.8674954591558697</v>
      </c>
      <c r="AE160">
        <v>8.3803256880015803E-2</v>
      </c>
      <c r="AF160">
        <v>-0.39924980120732201</v>
      </c>
      <c r="AG160">
        <v>-0.32329209232761302</v>
      </c>
      <c r="AH160">
        <v>-0.69055205380936802</v>
      </c>
      <c r="AI160">
        <v>0.29130225260204101</v>
      </c>
      <c r="AJ160">
        <v>0.896092330986209</v>
      </c>
      <c r="AK160">
        <v>0</v>
      </c>
      <c r="AL160">
        <v>0</v>
      </c>
      <c r="AM160">
        <v>0</v>
      </c>
    </row>
    <row r="161" spans="1:39" x14ac:dyDescent="0.35">
      <c r="A161" s="1">
        <v>42979</v>
      </c>
      <c r="B161">
        <f t="shared" si="44"/>
        <v>3.60494750818666</v>
      </c>
      <c r="C161">
        <f t="shared" si="49"/>
        <v>-3.2789803239711E-2</v>
      </c>
      <c r="D161">
        <f t="shared" si="50"/>
        <v>-0.30650189745814999</v>
      </c>
      <c r="E161">
        <f t="shared" si="51"/>
        <v>-0.71148874457051003</v>
      </c>
      <c r="F161">
        <f t="shared" si="52"/>
        <v>-0.80291986030415796</v>
      </c>
      <c r="G161">
        <f t="shared" si="53"/>
        <v>0.49641796284599599</v>
      </c>
      <c r="H161">
        <f t="shared" si="54"/>
        <v>2</v>
      </c>
      <c r="I161">
        <f t="shared" si="45"/>
        <v>0.50154609630833202</v>
      </c>
      <c r="J161">
        <f t="shared" si="46"/>
        <v>0</v>
      </c>
      <c r="K161">
        <f t="shared" si="47"/>
        <v>0</v>
      </c>
      <c r="L161">
        <f t="shared" si="48"/>
        <v>0</v>
      </c>
      <c r="M161" s="3">
        <f t="shared" si="55"/>
        <v>0</v>
      </c>
      <c r="P161">
        <v>1504224000</v>
      </c>
      <c r="Q161">
        <v>3.60494750818666</v>
      </c>
      <c r="R161">
        <v>-3.2789803239711E-2</v>
      </c>
      <c r="S161">
        <v>-0.30650189745814999</v>
      </c>
      <c r="T161">
        <v>-0.71148874457051003</v>
      </c>
      <c r="U161">
        <v>-0.80291986030415796</v>
      </c>
      <c r="V161">
        <v>0.49641796284599599</v>
      </c>
      <c r="W161">
        <v>0.50154609630833202</v>
      </c>
      <c r="X161">
        <v>0</v>
      </c>
      <c r="Y161">
        <v>0</v>
      </c>
      <c r="Z161">
        <v>0</v>
      </c>
      <c r="AC161">
        <v>1504224000</v>
      </c>
      <c r="AD161">
        <v>3.4958648548021101</v>
      </c>
      <c r="AE161">
        <v>-0.11321859557724701</v>
      </c>
      <c r="AF161">
        <v>-0.77351560142097497</v>
      </c>
      <c r="AG161">
        <v>-1.15580852200174</v>
      </c>
      <c r="AH161">
        <v>-0.84181284006866497</v>
      </c>
      <c r="AI161">
        <v>6.8297238647649694E-2</v>
      </c>
      <c r="AJ161">
        <v>0.46745776712565801</v>
      </c>
      <c r="AK161">
        <v>0</v>
      </c>
      <c r="AL161">
        <v>0</v>
      </c>
      <c r="AM161">
        <v>0</v>
      </c>
    </row>
    <row r="162" spans="1:39" x14ac:dyDescent="0.35">
      <c r="A162" s="1">
        <v>43070</v>
      </c>
      <c r="B162">
        <f t="shared" ref="B162:B190" si="56">IF(Q162="","",Q162)</f>
        <v>2.7866362151552</v>
      </c>
      <c r="C162">
        <f t="shared" si="49"/>
        <v>0.135795208579406</v>
      </c>
      <c r="D162">
        <f t="shared" si="50"/>
        <v>-0.63336651289494195</v>
      </c>
      <c r="E162">
        <f t="shared" si="51"/>
        <v>-0.87839060490763299</v>
      </c>
      <c r="F162">
        <f t="shared" si="52"/>
        <v>-0.751112135392909</v>
      </c>
      <c r="G162">
        <f t="shared" si="53"/>
        <v>0.117745622497976</v>
      </c>
      <c r="H162">
        <f t="shared" si="54"/>
        <v>2</v>
      </c>
      <c r="I162">
        <f t="shared" ref="I162:I190" si="57">IF(W162="","",W162)</f>
        <v>0.245823817236002</v>
      </c>
      <c r="J162">
        <f t="shared" ref="J162:J190" si="58">IF(X162="","",X162)</f>
        <v>0</v>
      </c>
      <c r="K162">
        <f t="shared" ref="K162:K190" si="59">IF(Y162="","",Y162)</f>
        <v>0</v>
      </c>
      <c r="L162">
        <f t="shared" ref="L162:L190" si="60">IF(Z162="","",Z162)</f>
        <v>0</v>
      </c>
      <c r="M162" s="3">
        <f t="shared" si="55"/>
        <v>0</v>
      </c>
      <c r="P162">
        <v>1512086400</v>
      </c>
      <c r="Q162">
        <v>2.7866362151552</v>
      </c>
      <c r="R162">
        <v>0.135795208579406</v>
      </c>
      <c r="S162">
        <v>-0.63336651289494195</v>
      </c>
      <c r="T162">
        <v>-0.87839060490763299</v>
      </c>
      <c r="U162">
        <v>-0.751112135392909</v>
      </c>
      <c r="V162">
        <v>0.117745622497976</v>
      </c>
      <c r="W162">
        <v>0.245823817236002</v>
      </c>
      <c r="X162">
        <v>0</v>
      </c>
      <c r="Y162">
        <v>0</v>
      </c>
      <c r="Z162">
        <v>0</v>
      </c>
      <c r="AC162">
        <v>1512086400</v>
      </c>
      <c r="AD162">
        <v>2.69344063693431</v>
      </c>
      <c r="AE162">
        <v>6.4157732548764695E-2</v>
      </c>
      <c r="AF162">
        <v>-1.0823426138101899</v>
      </c>
      <c r="AG162">
        <v>-1.3072669681814599</v>
      </c>
      <c r="AH162">
        <v>-0.785034970451155</v>
      </c>
      <c r="AI162">
        <v>-0.297307643359077</v>
      </c>
      <c r="AJ162">
        <v>0.21670019904196999</v>
      </c>
      <c r="AK162">
        <v>0</v>
      </c>
      <c r="AL162">
        <v>0</v>
      </c>
      <c r="AM162">
        <v>0</v>
      </c>
    </row>
    <row r="163" spans="1:39" x14ac:dyDescent="0.35">
      <c r="A163" s="1">
        <v>43160</v>
      </c>
      <c r="B163">
        <f t="shared" si="56"/>
        <v>2.8270647129236099</v>
      </c>
      <c r="C163">
        <f t="shared" ref="C163:C190" si="61">IF(R163="","",R163)</f>
        <v>-0.14358344500081599</v>
      </c>
      <c r="D163">
        <f t="shared" ref="D163:D190" si="62">IF(S163="","",S163)</f>
        <v>-1.4329385686351199</v>
      </c>
      <c r="E163">
        <f t="shared" ref="E163:E190" si="63">IF(T163="","",T163)</f>
        <v>-1.4327617749005599</v>
      </c>
      <c r="F163">
        <f t="shared" ref="F163:F190" si="64">IF(U163="","",U163)</f>
        <v>-0.98776088996536704</v>
      </c>
      <c r="G163">
        <f t="shared" ref="G163:G190" si="65">IF(V163="","",V163)</f>
        <v>-0.44517767866976699</v>
      </c>
      <c r="H163">
        <f t="shared" si="54"/>
        <v>2</v>
      </c>
      <c r="I163">
        <f t="shared" si="57"/>
        <v>0.258457722788629</v>
      </c>
      <c r="J163">
        <f t="shared" si="58"/>
        <v>0</v>
      </c>
      <c r="K163">
        <f t="shared" si="59"/>
        <v>0</v>
      </c>
      <c r="L163">
        <f t="shared" si="60"/>
        <v>0</v>
      </c>
      <c r="M163" s="3">
        <f t="shared" si="55"/>
        <v>0</v>
      </c>
      <c r="P163">
        <v>1519862400</v>
      </c>
      <c r="Q163">
        <v>2.8270647129236099</v>
      </c>
      <c r="R163">
        <v>-0.14358344500081599</v>
      </c>
      <c r="S163">
        <v>-1.4329385686351199</v>
      </c>
      <c r="T163">
        <v>-1.4327617749005599</v>
      </c>
      <c r="U163">
        <v>-0.98776088996536704</v>
      </c>
      <c r="V163">
        <v>-0.44517767866976699</v>
      </c>
      <c r="W163">
        <v>0.258457722788629</v>
      </c>
      <c r="X163">
        <v>0</v>
      </c>
      <c r="Y163">
        <v>0</v>
      </c>
      <c r="Z163">
        <v>0</v>
      </c>
      <c r="AC163">
        <v>1519862400</v>
      </c>
      <c r="AD163">
        <v>2.7448622332769999</v>
      </c>
      <c r="AE163">
        <v>-0.208897274559532</v>
      </c>
      <c r="AF163">
        <v>-1.8668613521828701</v>
      </c>
      <c r="AG163">
        <v>-1.8484207445841201</v>
      </c>
      <c r="AH163">
        <v>-1.01816555403346</v>
      </c>
      <c r="AI163">
        <v>-0.84869579814944895</v>
      </c>
      <c r="AJ163">
        <v>0.23276944789906101</v>
      </c>
      <c r="AK163">
        <v>0</v>
      </c>
      <c r="AL163">
        <v>0</v>
      </c>
      <c r="AM163">
        <v>0</v>
      </c>
    </row>
    <row r="164" spans="1:39" x14ac:dyDescent="0.35">
      <c r="A164" s="1">
        <v>43252</v>
      </c>
      <c r="B164">
        <f t="shared" si="56"/>
        <v>3.7236611522617</v>
      </c>
      <c r="C164">
        <f t="shared" si="61"/>
        <v>0.234184490228936</v>
      </c>
      <c r="D164">
        <f t="shared" si="62"/>
        <v>-0.10155390694055499</v>
      </c>
      <c r="E164">
        <f t="shared" si="63"/>
        <v>0.238521398830565</v>
      </c>
      <c r="F164">
        <f t="shared" si="64"/>
        <v>-0.79727807342273305</v>
      </c>
      <c r="G164">
        <f t="shared" si="65"/>
        <v>0.69572416648218705</v>
      </c>
      <c r="H164">
        <f t="shared" si="54"/>
        <v>2</v>
      </c>
      <c r="I164">
        <f t="shared" si="57"/>
        <v>0.53864411008178303</v>
      </c>
      <c r="J164">
        <f t="shared" si="58"/>
        <v>0</v>
      </c>
      <c r="K164">
        <f t="shared" si="59"/>
        <v>0</v>
      </c>
      <c r="L164">
        <f t="shared" si="60"/>
        <v>0</v>
      </c>
      <c r="M164" s="3">
        <f t="shared" si="55"/>
        <v>0</v>
      </c>
      <c r="P164">
        <v>1527811200</v>
      </c>
      <c r="Q164">
        <v>3.7236611522617</v>
      </c>
      <c r="R164">
        <v>0.234184490228936</v>
      </c>
      <c r="S164">
        <v>-0.10155390694055499</v>
      </c>
      <c r="T164">
        <v>0.238521398830565</v>
      </c>
      <c r="U164">
        <v>-0.79727807342273305</v>
      </c>
      <c r="V164">
        <v>0.69572416648218705</v>
      </c>
      <c r="W164">
        <v>0.53864411008178303</v>
      </c>
      <c r="X164">
        <v>0</v>
      </c>
      <c r="Y164">
        <v>0</v>
      </c>
      <c r="Z164">
        <v>0</v>
      </c>
      <c r="AC164">
        <v>1527811200</v>
      </c>
      <c r="AD164">
        <v>3.6537517158634198</v>
      </c>
      <c r="AE164">
        <v>0.17583781418436401</v>
      </c>
      <c r="AF164">
        <v>-0.51941560804894804</v>
      </c>
      <c r="AG164">
        <v>-0.16310111629416599</v>
      </c>
      <c r="AH164">
        <v>-0.82378823469511497</v>
      </c>
      <c r="AI164">
        <v>0.304372626646084</v>
      </c>
      <c r="AJ164">
        <v>0.51679741120732003</v>
      </c>
      <c r="AK164">
        <v>0</v>
      </c>
      <c r="AL164">
        <v>0</v>
      </c>
      <c r="AM164">
        <v>0</v>
      </c>
    </row>
    <row r="165" spans="1:39" x14ac:dyDescent="0.35">
      <c r="A165" s="1">
        <v>43344</v>
      </c>
      <c r="B165">
        <f t="shared" si="56"/>
        <v>3.5472217445580898</v>
      </c>
      <c r="C165">
        <f t="shared" si="61"/>
        <v>0.33586817993718299</v>
      </c>
      <c r="D165">
        <f t="shared" si="62"/>
        <v>0.271556531178407</v>
      </c>
      <c r="E165">
        <f t="shared" si="63"/>
        <v>0.934970361858809</v>
      </c>
      <c r="F165">
        <f t="shared" si="64"/>
        <v>-0.73495840589765704</v>
      </c>
      <c r="G165">
        <f t="shared" si="65"/>
        <v>1.00651493707605</v>
      </c>
      <c r="H165">
        <f t="shared" si="54"/>
        <v>2</v>
      </c>
      <c r="I165">
        <f t="shared" si="57"/>
        <v>0.48350679517440298</v>
      </c>
      <c r="J165">
        <f t="shared" si="58"/>
        <v>0</v>
      </c>
      <c r="K165">
        <f t="shared" si="59"/>
        <v>0</v>
      </c>
      <c r="L165">
        <f t="shared" si="60"/>
        <v>0</v>
      </c>
      <c r="M165" s="3">
        <f t="shared" si="55"/>
        <v>0</v>
      </c>
      <c r="P165">
        <v>1535760000</v>
      </c>
      <c r="Q165">
        <v>3.5472217445580898</v>
      </c>
      <c r="R165">
        <v>0.33586817993718299</v>
      </c>
      <c r="S165">
        <v>0.271556531178407</v>
      </c>
      <c r="T165">
        <v>0.934970361858809</v>
      </c>
      <c r="U165">
        <v>-0.73495840589765704</v>
      </c>
      <c r="V165">
        <v>1.00651493707605</v>
      </c>
      <c r="W165">
        <v>0.48350679517440298</v>
      </c>
      <c r="X165">
        <v>0</v>
      </c>
      <c r="Y165">
        <v>0</v>
      </c>
      <c r="Z165">
        <v>0</v>
      </c>
      <c r="AC165">
        <v>1535760000</v>
      </c>
      <c r="AD165">
        <v>3.4838585929439501</v>
      </c>
      <c r="AE165">
        <v>0.28161610411928101</v>
      </c>
      <c r="AF165">
        <v>-0.13379289003938599</v>
      </c>
      <c r="AG165">
        <v>0.54469853322092299</v>
      </c>
      <c r="AH165">
        <v>-0.75925962552832904</v>
      </c>
      <c r="AI165">
        <v>0.625466735488864</v>
      </c>
      <c r="AJ165">
        <v>0.46370581029498398</v>
      </c>
      <c r="AK165">
        <v>0</v>
      </c>
      <c r="AL165">
        <v>0</v>
      </c>
      <c r="AM165">
        <v>0</v>
      </c>
    </row>
    <row r="166" spans="1:39" x14ac:dyDescent="0.35">
      <c r="A166" s="1">
        <v>43435</v>
      </c>
      <c r="B166">
        <f t="shared" si="56"/>
        <v>3.0748510306944898</v>
      </c>
      <c r="C166">
        <f t="shared" si="61"/>
        <v>0.85339473615813499</v>
      </c>
      <c r="D166">
        <f t="shared" si="62"/>
        <v>0.16485641830390699</v>
      </c>
      <c r="E166">
        <f t="shared" si="63"/>
        <v>0.36294789105691699</v>
      </c>
      <c r="F166">
        <f t="shared" si="64"/>
        <v>-0.48265666382741002</v>
      </c>
      <c r="G166">
        <f t="shared" si="65"/>
        <v>0.64751308213132697</v>
      </c>
      <c r="H166">
        <f t="shared" si="54"/>
        <v>2</v>
      </c>
      <c r="I166">
        <f t="shared" si="57"/>
        <v>0.33589094709202799</v>
      </c>
      <c r="J166">
        <f t="shared" si="58"/>
        <v>0</v>
      </c>
      <c r="K166">
        <f t="shared" si="59"/>
        <v>0</v>
      </c>
      <c r="L166">
        <f t="shared" si="60"/>
        <v>0</v>
      </c>
      <c r="M166" s="3">
        <f t="shared" si="55"/>
        <v>0</v>
      </c>
      <c r="P166">
        <v>1543622400</v>
      </c>
      <c r="Q166">
        <v>3.0748510306944898</v>
      </c>
      <c r="R166">
        <v>0.85339473615813499</v>
      </c>
      <c r="S166">
        <v>0.16485641830390699</v>
      </c>
      <c r="T166">
        <v>0.36294789105691699</v>
      </c>
      <c r="U166">
        <v>-0.48265666382741002</v>
      </c>
      <c r="V166">
        <v>0.64751308213132697</v>
      </c>
      <c r="W166">
        <v>0.33589094709202799</v>
      </c>
      <c r="X166">
        <v>0</v>
      </c>
      <c r="Y166">
        <v>0</v>
      </c>
      <c r="Z166">
        <v>0</v>
      </c>
      <c r="AC166">
        <v>1543622400</v>
      </c>
      <c r="AD166">
        <v>3.01861005008214</v>
      </c>
      <c r="AE166">
        <v>0.80351601212493795</v>
      </c>
      <c r="AF166">
        <v>-0.227517422220127</v>
      </c>
      <c r="AG166">
        <v>-1.56075830287364E-2</v>
      </c>
      <c r="AH166">
        <v>-0.50458726685958699</v>
      </c>
      <c r="AI166">
        <v>0.27706984463936501</v>
      </c>
      <c r="AJ166">
        <v>0.31831564065066997</v>
      </c>
      <c r="AK166">
        <v>0</v>
      </c>
      <c r="AL166">
        <v>0</v>
      </c>
      <c r="AM166">
        <v>0</v>
      </c>
    </row>
    <row r="167" spans="1:39" x14ac:dyDescent="0.35">
      <c r="A167" s="1">
        <v>43525</v>
      </c>
      <c r="B167">
        <f t="shared" si="56"/>
        <v>3.6216371738264401</v>
      </c>
      <c r="C167">
        <f t="shared" si="61"/>
        <v>-5.4118983081676902E-3</v>
      </c>
      <c r="D167">
        <f t="shared" si="62"/>
        <v>0.19132163342282801</v>
      </c>
      <c r="E167">
        <f t="shared" si="63"/>
        <v>0.48967059438465499</v>
      </c>
      <c r="F167">
        <f t="shared" si="64"/>
        <v>-1.2886158033905299</v>
      </c>
      <c r="G167">
        <f t="shared" si="65"/>
        <v>1.47993743681336</v>
      </c>
      <c r="H167">
        <f t="shared" si="54"/>
        <v>2</v>
      </c>
      <c r="I167">
        <f t="shared" si="57"/>
        <v>0.50676161682076404</v>
      </c>
      <c r="J167">
        <f t="shared" si="58"/>
        <v>0</v>
      </c>
      <c r="K167">
        <f t="shared" si="59"/>
        <v>0</v>
      </c>
      <c r="L167">
        <f t="shared" si="60"/>
        <v>0</v>
      </c>
      <c r="M167" s="3">
        <f t="shared" si="55"/>
        <v>0</v>
      </c>
      <c r="P167">
        <v>1551398400</v>
      </c>
      <c r="Q167">
        <v>3.6216371738264401</v>
      </c>
      <c r="R167">
        <v>-5.4118983081676902E-3</v>
      </c>
      <c r="S167">
        <v>0.19132163342282801</v>
      </c>
      <c r="T167">
        <v>0.48967059438465499</v>
      </c>
      <c r="U167">
        <v>-1.2886158033905299</v>
      </c>
      <c r="V167">
        <v>1.47993743681336</v>
      </c>
      <c r="W167">
        <v>0.50676161682076404</v>
      </c>
      <c r="X167">
        <v>0</v>
      </c>
      <c r="Y167">
        <v>0</v>
      </c>
      <c r="Z167">
        <v>0</v>
      </c>
      <c r="AC167">
        <v>1551398400</v>
      </c>
      <c r="AD167">
        <v>3.5701620308553701</v>
      </c>
      <c r="AE167">
        <v>-5.2107327971459803E-2</v>
      </c>
      <c r="AF167">
        <v>-0.18949278251267901</v>
      </c>
      <c r="AG167">
        <v>0.12178172969962001</v>
      </c>
      <c r="AH167">
        <v>-1.3088694363992801</v>
      </c>
      <c r="AI167">
        <v>1.11937665388651</v>
      </c>
      <c r="AJ167">
        <v>0.49067563464230302</v>
      </c>
      <c r="AK167">
        <v>0</v>
      </c>
      <c r="AL167">
        <v>0</v>
      </c>
      <c r="AM167">
        <v>0</v>
      </c>
    </row>
    <row r="168" spans="1:39" x14ac:dyDescent="0.35">
      <c r="A168" s="1">
        <v>43617</v>
      </c>
      <c r="B168">
        <f t="shared" si="56"/>
        <v>4.2358971134384698</v>
      </c>
      <c r="C168">
        <f t="shared" si="61"/>
        <v>0.53077953695579705</v>
      </c>
      <c r="D168">
        <f t="shared" si="62"/>
        <v>1.24660145553503</v>
      </c>
      <c r="E168">
        <f t="shared" si="63"/>
        <v>2.03012526177766</v>
      </c>
      <c r="F168">
        <f t="shared" si="64"/>
        <v>-0.95895465901622401</v>
      </c>
      <c r="G168">
        <f t="shared" si="65"/>
        <v>2.2055561145512801</v>
      </c>
      <c r="H168">
        <f t="shared" si="54"/>
        <v>2</v>
      </c>
      <c r="I168">
        <f t="shared" si="57"/>
        <v>0.69871784794952196</v>
      </c>
      <c r="J168">
        <f t="shared" si="58"/>
        <v>0</v>
      </c>
      <c r="K168">
        <f t="shared" si="59"/>
        <v>0</v>
      </c>
      <c r="L168">
        <f t="shared" si="60"/>
        <v>9.4141443055202299E-3</v>
      </c>
      <c r="M168" s="3">
        <f t="shared" si="55"/>
        <v>4.707072152760115E-3</v>
      </c>
      <c r="P168">
        <v>1559347200</v>
      </c>
      <c r="Q168">
        <v>4.2358971134384698</v>
      </c>
      <c r="R168">
        <v>0.53077953695579705</v>
      </c>
      <c r="S168">
        <v>1.24660145553503</v>
      </c>
      <c r="T168">
        <v>2.03012526177766</v>
      </c>
      <c r="U168">
        <v>-0.95895465901622401</v>
      </c>
      <c r="V168">
        <v>2.2055561145512801</v>
      </c>
      <c r="W168">
        <v>0.69871784794952196</v>
      </c>
      <c r="X168">
        <v>0</v>
      </c>
      <c r="Y168">
        <v>0</v>
      </c>
      <c r="Z168">
        <v>9.4141443055202299E-3</v>
      </c>
      <c r="AC168">
        <v>1559347200</v>
      </c>
      <c r="AD168">
        <v>4.1890177747110799</v>
      </c>
      <c r="AE168">
        <v>0.487174437233867</v>
      </c>
      <c r="AF168">
        <v>0.87729124886122101</v>
      </c>
      <c r="AG168">
        <v>1.67285373427703</v>
      </c>
      <c r="AH168">
        <v>-0.97758484236263299</v>
      </c>
      <c r="AI168">
        <v>1.8548760912237501</v>
      </c>
      <c r="AJ168">
        <v>0.68406805459721198</v>
      </c>
      <c r="AK168">
        <v>0</v>
      </c>
      <c r="AL168">
        <v>0</v>
      </c>
      <c r="AM168">
        <v>0</v>
      </c>
    </row>
    <row r="169" spans="1:39" x14ac:dyDescent="0.35">
      <c r="A169" s="1">
        <v>43709</v>
      </c>
      <c r="B169">
        <f t="shared" si="56"/>
        <v>5.0666351578648303</v>
      </c>
      <c r="C169">
        <f t="shared" si="61"/>
        <v>0.91698858287337703</v>
      </c>
      <c r="D169">
        <f t="shared" si="62"/>
        <v>1.9013562293489801</v>
      </c>
      <c r="E169">
        <f t="shared" si="63"/>
        <v>2.2699038411134902</v>
      </c>
      <c r="F169">
        <f t="shared" si="64"/>
        <v>-0.51807070134738298</v>
      </c>
      <c r="G169">
        <f t="shared" si="65"/>
        <v>2.41942693069638</v>
      </c>
      <c r="H169">
        <f t="shared" si="54"/>
        <v>2</v>
      </c>
      <c r="I169">
        <f t="shared" si="57"/>
        <v>0.95832348683276103</v>
      </c>
      <c r="J169">
        <f t="shared" si="58"/>
        <v>0</v>
      </c>
      <c r="K169">
        <f t="shared" si="59"/>
        <v>0</v>
      </c>
      <c r="L169">
        <f t="shared" si="60"/>
        <v>8.43449503479652E-2</v>
      </c>
      <c r="M169" s="3">
        <f t="shared" si="55"/>
        <v>4.21724751739826E-2</v>
      </c>
      <c r="P169">
        <v>1567296000</v>
      </c>
      <c r="Q169">
        <v>5.0666351578648303</v>
      </c>
      <c r="R169">
        <v>0.91698858287337703</v>
      </c>
      <c r="S169">
        <v>1.9013562293489801</v>
      </c>
      <c r="T169">
        <v>2.2699038411134902</v>
      </c>
      <c r="U169">
        <v>-0.51807070134738298</v>
      </c>
      <c r="V169">
        <v>2.41942693069638</v>
      </c>
      <c r="W169">
        <v>0.95832348683276103</v>
      </c>
      <c r="X169">
        <v>0</v>
      </c>
      <c r="Y169">
        <v>0</v>
      </c>
      <c r="Z169">
        <v>8.43449503479652E-2</v>
      </c>
      <c r="AC169">
        <v>1567296000</v>
      </c>
      <c r="AD169">
        <v>5.0307644902005704</v>
      </c>
      <c r="AE169">
        <v>0.87965663708300601</v>
      </c>
      <c r="AF169">
        <v>1.54771903258731</v>
      </c>
      <c r="AG169">
        <v>1.92648537765718</v>
      </c>
      <c r="AH169">
        <v>-0.53322547839814205</v>
      </c>
      <c r="AI169">
        <v>2.0809445109853399</v>
      </c>
      <c r="AJ169">
        <v>0.94711390318767696</v>
      </c>
      <c r="AK169">
        <v>0</v>
      </c>
      <c r="AL169">
        <v>0</v>
      </c>
      <c r="AM169">
        <v>0</v>
      </c>
    </row>
    <row r="170" spans="1:39" x14ac:dyDescent="0.35">
      <c r="A170" s="1">
        <v>43800</v>
      </c>
      <c r="B170">
        <f t="shared" si="56"/>
        <v>4.1122716349976098</v>
      </c>
      <c r="C170">
        <f t="shared" si="61"/>
        <v>1.05768842487473</v>
      </c>
      <c r="D170">
        <f t="shared" si="62"/>
        <v>0.98439246804637903</v>
      </c>
      <c r="E170">
        <f t="shared" si="63"/>
        <v>1.1308537224233901</v>
      </c>
      <c r="F170">
        <f t="shared" si="64"/>
        <v>-0.20410257107134799</v>
      </c>
      <c r="G170">
        <f t="shared" si="65"/>
        <v>1.18849503911772</v>
      </c>
      <c r="H170">
        <f t="shared" si="54"/>
        <v>2</v>
      </c>
      <c r="I170">
        <f t="shared" si="57"/>
        <v>0.66008488593675396</v>
      </c>
      <c r="J170">
        <f t="shared" si="58"/>
        <v>0</v>
      </c>
      <c r="K170">
        <f t="shared" si="59"/>
        <v>0</v>
      </c>
      <c r="L170">
        <f t="shared" si="60"/>
        <v>0</v>
      </c>
      <c r="M170" s="3">
        <f t="shared" si="55"/>
        <v>0</v>
      </c>
      <c r="P170">
        <v>1575158400</v>
      </c>
      <c r="Q170">
        <v>4.1122716349976098</v>
      </c>
      <c r="R170">
        <v>1.05768842487473</v>
      </c>
      <c r="S170">
        <v>0.98439246804637903</v>
      </c>
      <c r="T170">
        <v>1.1308537224233901</v>
      </c>
      <c r="U170">
        <v>-0.20410257107134799</v>
      </c>
      <c r="V170">
        <v>1.18849503911772</v>
      </c>
      <c r="W170">
        <v>0.66008488593675396</v>
      </c>
      <c r="X170">
        <v>0</v>
      </c>
      <c r="Y170">
        <v>0</v>
      </c>
      <c r="Z170">
        <v>0</v>
      </c>
      <c r="AC170">
        <v>1575158400</v>
      </c>
      <c r="AD170">
        <v>4.0878686690438997</v>
      </c>
      <c r="AE170">
        <v>1.0268369908417601</v>
      </c>
      <c r="AF170">
        <v>0.64676186784374501</v>
      </c>
      <c r="AG170">
        <v>0.80154790104177598</v>
      </c>
      <c r="AH170">
        <v>-0.215653919826722</v>
      </c>
      <c r="AI170">
        <v>0.862415787670339</v>
      </c>
      <c r="AJ170">
        <v>0.65245895907621898</v>
      </c>
      <c r="AK170">
        <v>0</v>
      </c>
      <c r="AL170">
        <v>0</v>
      </c>
      <c r="AM170">
        <v>0</v>
      </c>
    </row>
    <row r="171" spans="1:39" x14ac:dyDescent="0.35">
      <c r="A171" s="1">
        <v>43891</v>
      </c>
      <c r="B171">
        <f t="shared" si="56"/>
        <v>5.4333037755806703</v>
      </c>
      <c r="C171">
        <f t="shared" si="61"/>
        <v>1.3609068434256999</v>
      </c>
      <c r="D171">
        <f t="shared" si="62"/>
        <v>1.17479464732243</v>
      </c>
      <c r="E171">
        <f t="shared" si="63"/>
        <v>0.64685659090120595</v>
      </c>
      <c r="F171">
        <f t="shared" si="64"/>
        <v>-0.28456554385115801</v>
      </c>
      <c r="G171">
        <f t="shared" si="65"/>
        <v>1.4593601911736001</v>
      </c>
      <c r="H171">
        <f t="shared" si="54"/>
        <v>2</v>
      </c>
      <c r="I171">
        <f t="shared" si="57"/>
        <v>1.07290742986896</v>
      </c>
      <c r="J171">
        <f t="shared" si="58"/>
        <v>0</v>
      </c>
      <c r="K171">
        <f t="shared" si="59"/>
        <v>0</v>
      </c>
      <c r="L171">
        <f t="shared" si="60"/>
        <v>0</v>
      </c>
      <c r="M171" s="3">
        <f t="shared" si="55"/>
        <v>0</v>
      </c>
      <c r="P171">
        <v>1583020800</v>
      </c>
      <c r="Q171">
        <v>5.4333037755806703</v>
      </c>
      <c r="R171">
        <v>1.3609068434256999</v>
      </c>
      <c r="S171">
        <v>1.17479464732243</v>
      </c>
      <c r="T171">
        <v>0.64685659090120595</v>
      </c>
      <c r="U171">
        <v>-0.28456554385115801</v>
      </c>
      <c r="V171">
        <v>1.4593601911736001</v>
      </c>
      <c r="W171">
        <v>1.07290742986896</v>
      </c>
      <c r="X171">
        <v>0</v>
      </c>
      <c r="Y171">
        <v>0</v>
      </c>
      <c r="Z171">
        <v>0</v>
      </c>
      <c r="AC171">
        <v>1583020800</v>
      </c>
      <c r="AD171">
        <v>6.8683549789254297</v>
      </c>
      <c r="AE171">
        <v>2.0567951750720499</v>
      </c>
      <c r="AF171">
        <v>1.77260905541947</v>
      </c>
      <c r="AG171">
        <v>1.0286385899050901</v>
      </c>
      <c r="AH171">
        <v>0.129173471845102</v>
      </c>
      <c r="AI171">
        <v>1.64343558357425</v>
      </c>
      <c r="AJ171">
        <v>1.5213609309142</v>
      </c>
      <c r="AK171">
        <v>1.7748492210016599E-2</v>
      </c>
      <c r="AL171">
        <v>0</v>
      </c>
      <c r="AM171">
        <v>0</v>
      </c>
    </row>
    <row r="172" spans="1:39" x14ac:dyDescent="0.35">
      <c r="A172" s="1">
        <v>43983</v>
      </c>
      <c r="B172">
        <f t="shared" si="56"/>
        <v>11.407826344685301</v>
      </c>
      <c r="C172">
        <f t="shared" si="61"/>
        <v>4.2050121735232997</v>
      </c>
      <c r="D172">
        <f t="shared" si="62"/>
        <v>6.7808325970494803</v>
      </c>
      <c r="E172">
        <f t="shared" si="63"/>
        <v>0.79900957920419202</v>
      </c>
      <c r="F172">
        <f t="shared" si="64"/>
        <v>-8.9485243718200796E-2</v>
      </c>
      <c r="G172">
        <f t="shared" si="65"/>
        <v>6.8703178407676901</v>
      </c>
      <c r="H172">
        <f t="shared" si="54"/>
        <v>2</v>
      </c>
      <c r="I172">
        <f t="shared" si="57"/>
        <v>2.5</v>
      </c>
      <c r="J172">
        <f t="shared" si="58"/>
        <v>0.68906630422603199</v>
      </c>
      <c r="K172">
        <f t="shared" si="59"/>
        <v>1.49401018657796</v>
      </c>
      <c r="L172">
        <f t="shared" si="60"/>
        <v>0</v>
      </c>
      <c r="M172" s="3">
        <f t="shared" si="55"/>
        <v>1.091538245401996</v>
      </c>
      <c r="P172">
        <v>1590969600</v>
      </c>
      <c r="Q172">
        <v>11.407826344685301</v>
      </c>
      <c r="R172">
        <v>4.2050121735232997</v>
      </c>
      <c r="S172">
        <v>6.7808325970494803</v>
      </c>
      <c r="T172">
        <v>0.79900957920419202</v>
      </c>
      <c r="U172">
        <v>-8.9485243718200796E-2</v>
      </c>
      <c r="V172">
        <v>6.8703178407676901</v>
      </c>
      <c r="W172">
        <v>2.5</v>
      </c>
      <c r="X172">
        <v>0.68906630422603199</v>
      </c>
      <c r="Y172">
        <v>1.49401018657796</v>
      </c>
      <c r="Z172">
        <v>0</v>
      </c>
      <c r="AC172">
        <v>1590969600</v>
      </c>
      <c r="AD172">
        <v>19.788227230722999</v>
      </c>
      <c r="AE172">
        <v>8.3476248002850504</v>
      </c>
      <c r="AF172">
        <v>11.864586047342099</v>
      </c>
      <c r="AG172">
        <v>4.4157455459031398</v>
      </c>
      <c r="AH172">
        <v>2.2826339663603998</v>
      </c>
      <c r="AI172">
        <v>9.5819520809815195</v>
      </c>
      <c r="AJ172">
        <v>2.5</v>
      </c>
      <c r="AK172">
        <v>1.98363275008908</v>
      </c>
      <c r="AL172">
        <v>2.5</v>
      </c>
      <c r="AM172">
        <v>0.75492048309473003</v>
      </c>
    </row>
    <row r="173" spans="1:39" x14ac:dyDescent="0.35">
      <c r="A173" s="1">
        <v>44075</v>
      </c>
      <c r="B173">
        <f t="shared" si="56"/>
        <v>12.6044779321302</v>
      </c>
      <c r="C173">
        <f t="shared" si="61"/>
        <v>5.6699585214108303</v>
      </c>
      <c r="D173">
        <f t="shared" si="62"/>
        <v>7.8480045989028904</v>
      </c>
      <c r="E173">
        <f t="shared" si="63"/>
        <v>1.2821937121111899</v>
      </c>
      <c r="F173">
        <f t="shared" si="64"/>
        <v>0.48847987339578502</v>
      </c>
      <c r="G173">
        <f t="shared" si="65"/>
        <v>7.3595247255071001</v>
      </c>
      <c r="H173">
        <f t="shared" si="54"/>
        <v>2</v>
      </c>
      <c r="I173">
        <f t="shared" si="57"/>
        <v>2.5</v>
      </c>
      <c r="J173">
        <f t="shared" si="58"/>
        <v>1.14686203794088</v>
      </c>
      <c r="K173">
        <f t="shared" si="59"/>
        <v>1.8275014371571501</v>
      </c>
      <c r="L173">
        <f t="shared" si="60"/>
        <v>0</v>
      </c>
      <c r="M173" s="3">
        <f t="shared" si="55"/>
        <v>1.4871817375490151</v>
      </c>
      <c r="P173">
        <v>1598918400</v>
      </c>
      <c r="Q173">
        <v>12.6044779321302</v>
      </c>
      <c r="R173">
        <v>5.6699585214108303</v>
      </c>
      <c r="S173">
        <v>7.8480045989028904</v>
      </c>
      <c r="T173">
        <v>1.2821937121111899</v>
      </c>
      <c r="U173">
        <v>0.48847987339578502</v>
      </c>
      <c r="V173">
        <v>7.3595247255071001</v>
      </c>
      <c r="W173">
        <v>2.5</v>
      </c>
      <c r="X173">
        <v>1.14686203794088</v>
      </c>
      <c r="Y173">
        <v>1.8275014371571501</v>
      </c>
      <c r="Z173">
        <v>0</v>
      </c>
      <c r="AC173">
        <v>1598918400</v>
      </c>
      <c r="AD173">
        <v>22.025668659432199</v>
      </c>
      <c r="AE173">
        <v>10.366147590208</v>
      </c>
      <c r="AF173">
        <v>13.6205470134026</v>
      </c>
      <c r="AG173">
        <v>5.3762771521285799</v>
      </c>
      <c r="AH173">
        <v>3.1610160348833198</v>
      </c>
      <c r="AI173">
        <v>10.4595309785191</v>
      </c>
      <c r="AJ173">
        <v>2.5</v>
      </c>
      <c r="AK173">
        <v>2.5</v>
      </c>
      <c r="AL173">
        <v>2.5</v>
      </c>
      <c r="AM173">
        <v>1.0550866100401799</v>
      </c>
    </row>
    <row r="174" spans="1:39" x14ac:dyDescent="0.35">
      <c r="A174" s="1">
        <v>44166</v>
      </c>
      <c r="B174">
        <f t="shared" si="56"/>
        <v>13.7659823904112</v>
      </c>
      <c r="C174">
        <f t="shared" si="61"/>
        <v>6.2175124680009901</v>
      </c>
      <c r="D174">
        <f t="shared" si="62"/>
        <v>8.6085790837448606</v>
      </c>
      <c r="E174">
        <f t="shared" si="63"/>
        <v>1.4967443008494801</v>
      </c>
      <c r="F174">
        <f t="shared" si="64"/>
        <v>1.05426287526701</v>
      </c>
      <c r="G174">
        <f t="shared" si="65"/>
        <v>7.5543162084778501</v>
      </c>
      <c r="H174">
        <f t="shared" si="54"/>
        <v>2</v>
      </c>
      <c r="I174">
        <f t="shared" si="57"/>
        <v>2.5</v>
      </c>
      <c r="J174">
        <f t="shared" si="58"/>
        <v>1.3179726462503101</v>
      </c>
      <c r="K174">
        <f t="shared" si="59"/>
        <v>2.06518096367027</v>
      </c>
      <c r="L174">
        <f t="shared" si="60"/>
        <v>0</v>
      </c>
      <c r="M174" s="3">
        <f t="shared" si="55"/>
        <v>1.6915768049602899</v>
      </c>
      <c r="P174">
        <v>1606780800</v>
      </c>
      <c r="Q174">
        <v>13.7659823904112</v>
      </c>
      <c r="R174">
        <v>6.2175124680009901</v>
      </c>
      <c r="S174">
        <v>8.6085790837448606</v>
      </c>
      <c r="T174">
        <v>1.4967443008494801</v>
      </c>
      <c r="U174">
        <v>1.05426287526701</v>
      </c>
      <c r="V174">
        <v>7.5543162084778501</v>
      </c>
      <c r="W174">
        <v>2.5</v>
      </c>
      <c r="X174">
        <v>1.3179726462503101</v>
      </c>
      <c r="Y174">
        <v>2.06518096367027</v>
      </c>
      <c r="Z174">
        <v>0</v>
      </c>
      <c r="AC174">
        <v>1606780800</v>
      </c>
      <c r="AD174">
        <v>23.6386489180802</v>
      </c>
      <c r="AE174">
        <v>11.135453313286099</v>
      </c>
      <c r="AF174">
        <v>14.6786405965432</v>
      </c>
      <c r="AG174">
        <v>5.7771634751842003</v>
      </c>
      <c r="AH174">
        <v>3.86094189863574</v>
      </c>
      <c r="AI174">
        <v>10.8176986979073</v>
      </c>
      <c r="AJ174">
        <v>2.5</v>
      </c>
      <c r="AK174">
        <v>2.5</v>
      </c>
      <c r="AL174">
        <v>2.5</v>
      </c>
      <c r="AM174">
        <v>1.1803635859950601</v>
      </c>
    </row>
    <row r="175" spans="1:39" x14ac:dyDescent="0.35">
      <c r="A175" s="1">
        <v>44256</v>
      </c>
      <c r="B175">
        <f t="shared" si="56"/>
        <v>12.6760239324084</v>
      </c>
      <c r="C175">
        <f t="shared" si="61"/>
        <v>6.1943821727760602</v>
      </c>
      <c r="D175">
        <f t="shared" si="62"/>
        <v>6.5710856452015003</v>
      </c>
      <c r="E175">
        <f t="shared" si="63"/>
        <v>0.39800690807764999</v>
      </c>
      <c r="F175">
        <f t="shared" si="64"/>
        <v>1.0893120349852901</v>
      </c>
      <c r="G175">
        <f t="shared" si="65"/>
        <v>5.4817736102162096</v>
      </c>
      <c r="H175">
        <f t="shared" si="54"/>
        <v>2</v>
      </c>
      <c r="I175">
        <f t="shared" si="57"/>
        <v>2.5</v>
      </c>
      <c r="J175">
        <f t="shared" si="58"/>
        <v>1.3107444289925201</v>
      </c>
      <c r="K175">
        <f t="shared" si="59"/>
        <v>1.4284642641254699</v>
      </c>
      <c r="L175">
        <f t="shared" si="60"/>
        <v>0</v>
      </c>
      <c r="M175" s="3">
        <f t="shared" si="55"/>
        <v>1.3696043465589951</v>
      </c>
      <c r="P175">
        <v>1614556800</v>
      </c>
      <c r="Q175">
        <v>12.6760239324084</v>
      </c>
      <c r="R175">
        <v>6.1943821727760602</v>
      </c>
      <c r="S175">
        <v>6.5710856452015003</v>
      </c>
      <c r="T175">
        <v>0.39800690807764999</v>
      </c>
      <c r="U175">
        <v>1.0893120349852901</v>
      </c>
      <c r="V175">
        <v>5.4817736102162096</v>
      </c>
      <c r="W175">
        <v>2.5</v>
      </c>
      <c r="X175">
        <v>1.3107444289925201</v>
      </c>
      <c r="Y175">
        <v>1.4284642641254699</v>
      </c>
      <c r="Z175">
        <v>0</v>
      </c>
      <c r="AC175">
        <v>1614556800</v>
      </c>
      <c r="AD175">
        <v>20.045094276776702</v>
      </c>
      <c r="AE175">
        <v>9.8814934410819895</v>
      </c>
      <c r="AF175">
        <v>11.4330329858944</v>
      </c>
      <c r="AG175">
        <v>3.9427528868773498</v>
      </c>
      <c r="AH175">
        <v>3.19319191091226</v>
      </c>
      <c r="AI175">
        <v>8.2398410749819995</v>
      </c>
      <c r="AJ175">
        <v>2.5</v>
      </c>
      <c r="AK175">
        <v>2.4629667003381202</v>
      </c>
      <c r="AL175">
        <v>2.5</v>
      </c>
      <c r="AM175">
        <v>0.60711027714917298</v>
      </c>
    </row>
    <row r="176" spans="1:39" x14ac:dyDescent="0.35">
      <c r="A176" s="1">
        <v>44348</v>
      </c>
      <c r="B176">
        <f t="shared" si="56"/>
        <v>13.560976752742301</v>
      </c>
      <c r="C176">
        <f t="shared" si="61"/>
        <v>7.1491637796387897</v>
      </c>
      <c r="D176">
        <f t="shared" si="62"/>
        <v>6.7546917135150304</v>
      </c>
      <c r="E176">
        <f t="shared" si="63"/>
        <v>1.5846752271432201</v>
      </c>
      <c r="F176">
        <f t="shared" si="64"/>
        <v>2.1473543400564101</v>
      </c>
      <c r="G176">
        <f t="shared" si="65"/>
        <v>4.6073373734585896</v>
      </c>
      <c r="H176">
        <f t="shared" si="54"/>
        <v>2</v>
      </c>
      <c r="I176">
        <f t="shared" si="57"/>
        <v>2.5</v>
      </c>
      <c r="J176">
        <f t="shared" si="58"/>
        <v>1.6091136811371201</v>
      </c>
      <c r="K176">
        <f t="shared" si="59"/>
        <v>1.4858411604734501</v>
      </c>
      <c r="L176">
        <f t="shared" si="60"/>
        <v>0</v>
      </c>
      <c r="M176" s="3">
        <f t="shared" si="55"/>
        <v>1.5474774208052851</v>
      </c>
      <c r="P176">
        <v>1622505600</v>
      </c>
      <c r="Q176">
        <v>13.560976752742301</v>
      </c>
      <c r="R176">
        <v>7.1491637796387897</v>
      </c>
      <c r="S176">
        <v>6.7546917135150304</v>
      </c>
      <c r="T176">
        <v>1.5846752271432201</v>
      </c>
      <c r="U176">
        <v>2.1473543400564101</v>
      </c>
      <c r="V176">
        <v>4.6073373734585896</v>
      </c>
      <c r="W176">
        <v>2.5</v>
      </c>
      <c r="X176">
        <v>1.6091136811371201</v>
      </c>
      <c r="Y176">
        <v>1.4858411604734501</v>
      </c>
      <c r="Z176">
        <v>0</v>
      </c>
      <c r="AC176">
        <v>1622505600</v>
      </c>
      <c r="AD176">
        <v>11.4488723590023</v>
      </c>
      <c r="AE176">
        <v>6.07992956750922</v>
      </c>
      <c r="AF176">
        <v>5.4789000003601496</v>
      </c>
      <c r="AG176">
        <v>0.68848636598653201</v>
      </c>
      <c r="AH176">
        <v>1.5430939095254601</v>
      </c>
      <c r="AI176">
        <v>3.9358060908345101</v>
      </c>
      <c r="AJ176">
        <v>2.5</v>
      </c>
      <c r="AK176">
        <v>1.27497798984663</v>
      </c>
      <c r="AL176">
        <v>1.08715625011255</v>
      </c>
      <c r="AM176">
        <v>0</v>
      </c>
    </row>
    <row r="177" spans="1:39" x14ac:dyDescent="0.35">
      <c r="A177" s="1">
        <v>44440</v>
      </c>
      <c r="B177">
        <f t="shared" si="56"/>
        <v>9.7557650054893603</v>
      </c>
      <c r="C177">
        <f t="shared" si="61"/>
        <v>5.6162229247644504</v>
      </c>
      <c r="D177">
        <f t="shared" si="62"/>
        <v>4.2256029722975201</v>
      </c>
      <c r="E177">
        <f t="shared" si="63"/>
        <v>-0.13129440122220501</v>
      </c>
      <c r="F177">
        <f t="shared" si="64"/>
        <v>1.6112273510274799</v>
      </c>
      <c r="G177">
        <f t="shared" si="65"/>
        <v>2.61437562127003</v>
      </c>
      <c r="H177">
        <f t="shared" si="54"/>
        <v>2</v>
      </c>
      <c r="I177">
        <f t="shared" si="57"/>
        <v>2.4236765642154299</v>
      </c>
      <c r="J177">
        <f t="shared" si="58"/>
        <v>1.1300696639888901</v>
      </c>
      <c r="K177">
        <f t="shared" si="59"/>
        <v>0.69550092884297399</v>
      </c>
      <c r="L177">
        <f t="shared" si="60"/>
        <v>0</v>
      </c>
      <c r="M177" s="3">
        <f t="shared" si="55"/>
        <v>0.91278529641593198</v>
      </c>
      <c r="P177">
        <v>1630454400</v>
      </c>
      <c r="Q177">
        <v>9.7557650054893603</v>
      </c>
      <c r="R177">
        <v>5.6162229247644504</v>
      </c>
      <c r="S177">
        <v>4.2256029722975201</v>
      </c>
      <c r="T177">
        <v>-0.13129440122220501</v>
      </c>
      <c r="U177">
        <v>1.6112273510274799</v>
      </c>
      <c r="V177">
        <v>2.61437562127003</v>
      </c>
      <c r="W177">
        <v>2.4236765642154299</v>
      </c>
      <c r="X177">
        <v>1.1300696639888901</v>
      </c>
      <c r="Y177">
        <v>0.69550092884297399</v>
      </c>
      <c r="Z177">
        <v>0</v>
      </c>
      <c r="AC177">
        <v>1630454400</v>
      </c>
      <c r="AD177">
        <v>7.7143542285050399</v>
      </c>
      <c r="AE177">
        <v>4.5829972326212003</v>
      </c>
      <c r="AF177">
        <v>2.9200408484326101</v>
      </c>
      <c r="AG177">
        <v>-1.06982896832131</v>
      </c>
      <c r="AH177">
        <v>1.0273913966894499</v>
      </c>
      <c r="AI177">
        <v>1.8926494517429699</v>
      </c>
      <c r="AJ177">
        <v>1.7857356964078299</v>
      </c>
      <c r="AK177">
        <v>0.80718663519412504</v>
      </c>
      <c r="AL177">
        <v>0.28751276513519203</v>
      </c>
      <c r="AM177">
        <v>0</v>
      </c>
    </row>
    <row r="178" spans="1:39" x14ac:dyDescent="0.35">
      <c r="A178" s="1">
        <v>44531</v>
      </c>
      <c r="B178">
        <f t="shared" si="56"/>
        <v>6.8739844547438196</v>
      </c>
      <c r="C178">
        <f t="shared" si="61"/>
        <v>4.4165511865548401</v>
      </c>
      <c r="D178">
        <f t="shared" si="62"/>
        <v>2.4404362627090301</v>
      </c>
      <c r="E178">
        <f t="shared" si="63"/>
        <v>-1.6726319189734</v>
      </c>
      <c r="F178">
        <f t="shared" si="64"/>
        <v>0.90245377881781697</v>
      </c>
      <c r="G178">
        <f t="shared" si="65"/>
        <v>1.53798248389119</v>
      </c>
      <c r="H178">
        <f t="shared" si="54"/>
        <v>2</v>
      </c>
      <c r="I178">
        <f t="shared" si="57"/>
        <v>1.5231201421074401</v>
      </c>
      <c r="J178">
        <f t="shared" si="58"/>
        <v>0.75517224579838604</v>
      </c>
      <c r="K178">
        <f t="shared" si="59"/>
        <v>0.137636332096571</v>
      </c>
      <c r="L178">
        <f t="shared" si="60"/>
        <v>0</v>
      </c>
      <c r="M178" s="3">
        <f t="shared" si="55"/>
        <v>0.44640428894747852</v>
      </c>
      <c r="P178">
        <v>1638316800</v>
      </c>
      <c r="Q178">
        <v>6.8739844547438196</v>
      </c>
      <c r="R178">
        <v>4.4165511865548401</v>
      </c>
      <c r="S178">
        <v>2.4404362627090301</v>
      </c>
      <c r="T178">
        <v>-1.6726319189734</v>
      </c>
      <c r="U178">
        <v>0.90245377881781697</v>
      </c>
      <c r="V178">
        <v>1.53798248389119</v>
      </c>
      <c r="W178">
        <v>1.5231201421074401</v>
      </c>
      <c r="X178">
        <v>0.75517224579838604</v>
      </c>
      <c r="Y178">
        <v>0.137636332096571</v>
      </c>
      <c r="Z178">
        <v>0</v>
      </c>
      <c r="AC178">
        <v>1638316800</v>
      </c>
      <c r="AD178">
        <v>4.8816635898819003</v>
      </c>
      <c r="AE178">
        <v>3.4083687229856401</v>
      </c>
      <c r="AF178">
        <v>1.09815032572426</v>
      </c>
      <c r="AG178">
        <v>-2.66087053845864</v>
      </c>
      <c r="AH178">
        <v>0.33270649455137102</v>
      </c>
      <c r="AI178">
        <v>0.765443831172681</v>
      </c>
      <c r="AJ178">
        <v>0.90051987183809201</v>
      </c>
      <c r="AK178">
        <v>0.440115225933012</v>
      </c>
      <c r="AL178">
        <v>0</v>
      </c>
      <c r="AM178">
        <v>0</v>
      </c>
    </row>
    <row r="179" spans="1:39" x14ac:dyDescent="0.35">
      <c r="A179" s="1">
        <v>44621</v>
      </c>
      <c r="B179">
        <f t="shared" si="56"/>
        <v>3.93684372562111</v>
      </c>
      <c r="C179">
        <f t="shared" si="61"/>
        <v>3.2237556266442402</v>
      </c>
      <c r="D179">
        <f t="shared" si="62"/>
        <v>-0.814624348464562</v>
      </c>
      <c r="E179">
        <f t="shared" si="63"/>
        <v>-3.6824461802940198</v>
      </c>
      <c r="F179">
        <f t="shared" si="64"/>
        <v>6.37107127970611E-2</v>
      </c>
      <c r="G179">
        <f t="shared" si="65"/>
        <v>-0.87833506126165595</v>
      </c>
      <c r="H179">
        <f t="shared" si="54"/>
        <v>2</v>
      </c>
      <c r="I179">
        <f t="shared" si="57"/>
        <v>0.60526366425659595</v>
      </c>
      <c r="J179">
        <f t="shared" si="58"/>
        <v>0.38242363332632501</v>
      </c>
      <c r="K179">
        <f t="shared" si="59"/>
        <v>0</v>
      </c>
      <c r="L179">
        <f t="shared" si="60"/>
        <v>0</v>
      </c>
      <c r="M179" s="3">
        <f t="shared" si="55"/>
        <v>0.1912118166631625</v>
      </c>
      <c r="P179">
        <v>1646092800</v>
      </c>
      <c r="Q179">
        <v>3.93684372562111</v>
      </c>
      <c r="R179">
        <v>3.2237556266442402</v>
      </c>
      <c r="S179">
        <v>-0.814624348464562</v>
      </c>
      <c r="T179">
        <v>-3.6824461802940198</v>
      </c>
      <c r="U179">
        <v>6.37107127970611E-2</v>
      </c>
      <c r="V179">
        <v>-0.87833506126165595</v>
      </c>
      <c r="W179">
        <v>0.60526366425659595</v>
      </c>
      <c r="X179">
        <v>0.38242363332632501</v>
      </c>
      <c r="Y179">
        <v>0</v>
      </c>
      <c r="Z179">
        <v>0</v>
      </c>
      <c r="AC179">
        <v>1646092800</v>
      </c>
      <c r="AD179">
        <v>2.0266952227467301</v>
      </c>
      <c r="AE179">
        <v>2.2573699721750602</v>
      </c>
      <c r="AF179">
        <v>-2.0146435452334099</v>
      </c>
      <c r="AG179">
        <v>-4.5425119372519802</v>
      </c>
      <c r="AH179">
        <v>-0.48231701921964099</v>
      </c>
      <c r="AI179">
        <v>-1.53232652601399</v>
      </c>
      <c r="AJ179">
        <v>8.3422571083523502E-3</v>
      </c>
      <c r="AK179">
        <v>8.0428116304706102E-2</v>
      </c>
      <c r="AL179">
        <v>0</v>
      </c>
      <c r="AM179">
        <v>0</v>
      </c>
    </row>
    <row r="180" spans="1:39" x14ac:dyDescent="0.35">
      <c r="A180" s="1">
        <v>44713</v>
      </c>
      <c r="B180">
        <f t="shared" si="56"/>
        <v>2.0038014193209399</v>
      </c>
      <c r="C180">
        <f t="shared" si="61"/>
        <v>2.8956327072936299</v>
      </c>
      <c r="D180">
        <f t="shared" si="62"/>
        <v>-3.0605963627018</v>
      </c>
      <c r="E180">
        <f t="shared" si="63"/>
        <v>-5.0392956361283003</v>
      </c>
      <c r="F180">
        <f t="shared" si="64"/>
        <v>-9.3066173940705002E-2</v>
      </c>
      <c r="G180">
        <f t="shared" si="65"/>
        <v>-2.9675301887611298</v>
      </c>
      <c r="H180">
        <f t="shared" si="54"/>
        <v>2</v>
      </c>
      <c r="I180">
        <f t="shared" si="57"/>
        <v>1.18794353779461E-3</v>
      </c>
      <c r="J180">
        <f t="shared" si="58"/>
        <v>0.279885221029259</v>
      </c>
      <c r="K180">
        <f t="shared" si="59"/>
        <v>0</v>
      </c>
      <c r="L180">
        <f t="shared" si="60"/>
        <v>0</v>
      </c>
      <c r="M180" s="3">
        <f t="shared" si="55"/>
        <v>5.9397176889730498E-4</v>
      </c>
      <c r="P180">
        <v>1654041600</v>
      </c>
      <c r="Q180">
        <v>2.0038014193209399</v>
      </c>
      <c r="R180">
        <v>2.8956327072936299</v>
      </c>
      <c r="S180">
        <v>-3.0605963627018</v>
      </c>
      <c r="T180">
        <v>-5.0392956361283003</v>
      </c>
      <c r="U180">
        <v>-9.3066173940705002E-2</v>
      </c>
      <c r="V180">
        <v>-2.9675301887611298</v>
      </c>
      <c r="W180">
        <v>1.18794353779461E-3</v>
      </c>
      <c r="X180">
        <v>0.279885221029259</v>
      </c>
      <c r="Y180">
        <v>0</v>
      </c>
      <c r="Z180">
        <v>0</v>
      </c>
      <c r="AC180">
        <v>1654041600</v>
      </c>
      <c r="AD180">
        <v>0.17286639733753301</v>
      </c>
      <c r="AE180">
        <v>1.96961621160533</v>
      </c>
      <c r="AF180">
        <v>-4.2990862692572698</v>
      </c>
      <c r="AG180">
        <v>-5.9514021183786996</v>
      </c>
      <c r="AH180">
        <v>-0.61619558977887501</v>
      </c>
      <c r="AI180">
        <v>-3.6828906794786098</v>
      </c>
      <c r="AJ180">
        <v>0</v>
      </c>
      <c r="AK180">
        <v>0</v>
      </c>
      <c r="AL180">
        <v>0</v>
      </c>
      <c r="AM180">
        <v>0</v>
      </c>
    </row>
    <row r="181" spans="1:39" x14ac:dyDescent="0.35">
      <c r="A181" s="1">
        <v>44805</v>
      </c>
      <c r="B181">
        <f t="shared" si="56"/>
        <v>1.5809129394075201</v>
      </c>
      <c r="C181">
        <f t="shared" si="61"/>
        <v>2.6269515263436301</v>
      </c>
      <c r="D181">
        <f t="shared" si="62"/>
        <v>-3.1488936487663399</v>
      </c>
      <c r="E181">
        <f t="shared" si="63"/>
        <v>-4.5285624917396303</v>
      </c>
      <c r="F181">
        <f t="shared" si="64"/>
        <v>-0.34583470450820297</v>
      </c>
      <c r="G181">
        <f t="shared" si="65"/>
        <v>-2.8030589442581801</v>
      </c>
      <c r="H181">
        <f t="shared" si="54"/>
        <v>2</v>
      </c>
      <c r="I181">
        <f t="shared" si="57"/>
        <v>0</v>
      </c>
      <c r="J181">
        <f t="shared" si="58"/>
        <v>0.195922351982384</v>
      </c>
      <c r="K181">
        <f t="shared" si="59"/>
        <v>0</v>
      </c>
      <c r="L181">
        <f t="shared" si="60"/>
        <v>0</v>
      </c>
      <c r="M181" s="3">
        <f t="shared" si="55"/>
        <v>0</v>
      </c>
      <c r="P181">
        <v>1661990400</v>
      </c>
      <c r="Q181">
        <v>1.5809129394075201</v>
      </c>
      <c r="R181">
        <v>2.6269515263436301</v>
      </c>
      <c r="S181">
        <v>-3.1488936487663399</v>
      </c>
      <c r="T181">
        <v>-4.5285624917396303</v>
      </c>
      <c r="U181">
        <v>-0.34583470450820297</v>
      </c>
      <c r="V181">
        <v>-2.8030589442581801</v>
      </c>
      <c r="W181">
        <v>0</v>
      </c>
      <c r="X181">
        <v>0.195922351982384</v>
      </c>
      <c r="Y181">
        <v>0</v>
      </c>
      <c r="Z181">
        <v>0</v>
      </c>
      <c r="AC181">
        <v>1661990400</v>
      </c>
      <c r="AD181">
        <v>-0.228842012134786</v>
      </c>
      <c r="AE181">
        <v>1.7115607652309499</v>
      </c>
      <c r="AF181">
        <v>-4.4979132602626697</v>
      </c>
      <c r="AG181">
        <v>-5.5548145571921701</v>
      </c>
      <c r="AH181">
        <v>-0.863092927450679</v>
      </c>
      <c r="AI181">
        <v>-3.6348203328122</v>
      </c>
      <c r="AJ181">
        <v>0</v>
      </c>
      <c r="AK181">
        <v>0</v>
      </c>
      <c r="AL181">
        <v>0</v>
      </c>
      <c r="AM181">
        <v>0</v>
      </c>
    </row>
    <row r="182" spans="1:39" x14ac:dyDescent="0.35">
      <c r="A182" s="1">
        <v>44896</v>
      </c>
      <c r="B182">
        <f t="shared" si="56"/>
        <v>-0.25166500376540302</v>
      </c>
      <c r="C182">
        <f t="shared" si="61"/>
        <v>1.8950718567595599</v>
      </c>
      <c r="D182">
        <f t="shared" si="62"/>
        <v>-3.9191507481344101</v>
      </c>
      <c r="E182">
        <f t="shared" si="63"/>
        <v>-5.1313173812161397</v>
      </c>
      <c r="F182">
        <f t="shared" si="64"/>
        <v>-1.01572869317472</v>
      </c>
      <c r="G182">
        <f t="shared" si="65"/>
        <v>-2.9034220549597198</v>
      </c>
      <c r="H182">
        <f t="shared" si="54"/>
        <v>2</v>
      </c>
      <c r="I182">
        <f t="shared" si="57"/>
        <v>0</v>
      </c>
      <c r="J182">
        <f t="shared" si="58"/>
        <v>0</v>
      </c>
      <c r="K182">
        <f t="shared" si="59"/>
        <v>0</v>
      </c>
      <c r="L182">
        <f t="shared" si="60"/>
        <v>0</v>
      </c>
      <c r="M182" s="3">
        <f t="shared" si="55"/>
        <v>0</v>
      </c>
      <c r="P182">
        <v>1669852800</v>
      </c>
      <c r="Q182">
        <v>-0.25166500376540302</v>
      </c>
      <c r="R182">
        <v>1.8950718567595599</v>
      </c>
      <c r="S182">
        <v>-3.9191507481344101</v>
      </c>
      <c r="T182">
        <v>-5.1313173812161397</v>
      </c>
      <c r="U182">
        <v>-1.01572869317472</v>
      </c>
      <c r="V182">
        <v>-2.9034220549597198</v>
      </c>
      <c r="W182">
        <v>0</v>
      </c>
      <c r="X182">
        <v>0</v>
      </c>
      <c r="Y182">
        <v>0</v>
      </c>
      <c r="Z182">
        <v>0</v>
      </c>
      <c r="AC182">
        <v>1669852800</v>
      </c>
      <c r="AD182">
        <v>-1.9756051015681499</v>
      </c>
      <c r="AE182">
        <v>1.0233731994544899</v>
      </c>
      <c r="AF182">
        <v>-5.2347739179491297</v>
      </c>
      <c r="AG182">
        <v>-6.1383644527833496</v>
      </c>
      <c r="AH182">
        <v>-1.5081960608762699</v>
      </c>
      <c r="AI182">
        <v>-3.7265778570730901</v>
      </c>
      <c r="AJ182">
        <v>0</v>
      </c>
      <c r="AK182">
        <v>0</v>
      </c>
      <c r="AL182">
        <v>0</v>
      </c>
      <c r="AM182">
        <v>0</v>
      </c>
    </row>
    <row r="183" spans="1:39" x14ac:dyDescent="0.35">
      <c r="A183" s="1">
        <v>44986</v>
      </c>
      <c r="B183">
        <f t="shared" si="56"/>
        <v>-3.7506576042192399</v>
      </c>
      <c r="C183">
        <f t="shared" si="61"/>
        <v>9.0976950146786903E-2</v>
      </c>
      <c r="D183">
        <f t="shared" si="62"/>
        <v>-6.0826476416476103</v>
      </c>
      <c r="E183">
        <f t="shared" si="63"/>
        <v>-6.3058584068185199</v>
      </c>
      <c r="F183">
        <f t="shared" si="64"/>
        <v>-1.98692329312477</v>
      </c>
      <c r="G183">
        <f t="shared" si="65"/>
        <v>-4.0957243485229098</v>
      </c>
      <c r="H183">
        <f t="shared" si="54"/>
        <v>2</v>
      </c>
      <c r="I183">
        <f t="shared" si="57"/>
        <v>0</v>
      </c>
      <c r="J183">
        <f t="shared" si="58"/>
        <v>0</v>
      </c>
      <c r="K183">
        <f t="shared" si="59"/>
        <v>0</v>
      </c>
      <c r="L183">
        <f t="shared" si="60"/>
        <v>0</v>
      </c>
      <c r="M183" s="3">
        <f t="shared" si="55"/>
        <v>0</v>
      </c>
      <c r="P183">
        <v>1677628800</v>
      </c>
      <c r="Q183">
        <v>-3.7506576042192399</v>
      </c>
      <c r="R183">
        <v>9.0976950146786903E-2</v>
      </c>
      <c r="S183">
        <v>-6.0826476416476103</v>
      </c>
      <c r="T183">
        <v>-6.3058584068185199</v>
      </c>
      <c r="U183">
        <v>-1.98692329312477</v>
      </c>
      <c r="V183">
        <v>-4.0957243485229098</v>
      </c>
      <c r="W183">
        <v>0</v>
      </c>
      <c r="X183">
        <v>0</v>
      </c>
      <c r="Y183">
        <v>0</v>
      </c>
      <c r="Z183">
        <v>0</v>
      </c>
      <c r="AC183">
        <v>1677628800</v>
      </c>
      <c r="AD183">
        <v>-5.4146546783225098</v>
      </c>
      <c r="AE183">
        <v>-0.75028099801311299</v>
      </c>
      <c r="AF183">
        <v>-7.28947455475019</v>
      </c>
      <c r="AG183">
        <v>-7.2244151695800198</v>
      </c>
      <c r="AH183">
        <v>-2.4621632817883001</v>
      </c>
      <c r="AI183">
        <v>-4.8273112729621301</v>
      </c>
      <c r="AJ183">
        <v>0</v>
      </c>
      <c r="AK183">
        <v>0</v>
      </c>
      <c r="AL183">
        <v>0</v>
      </c>
      <c r="AM183">
        <v>0</v>
      </c>
    </row>
    <row r="184" spans="1:39" x14ac:dyDescent="0.35">
      <c r="A184" s="1">
        <v>45078</v>
      </c>
      <c r="B184">
        <f t="shared" si="56"/>
        <v>-6.9480950471730001</v>
      </c>
      <c r="C184">
        <f t="shared" si="61"/>
        <v>-1.9533469294775001</v>
      </c>
      <c r="D184">
        <f t="shared" si="62"/>
        <v>-8.4295329717660401</v>
      </c>
      <c r="E184">
        <f t="shared" si="63"/>
        <v>-6.7631036225512302</v>
      </c>
      <c r="F184">
        <f t="shared" si="64"/>
        <v>-2.9905085154338802</v>
      </c>
      <c r="G184">
        <f t="shared" si="65"/>
        <v>-5.4390244563322199</v>
      </c>
      <c r="H184">
        <f t="shared" si="54"/>
        <v>2</v>
      </c>
      <c r="I184">
        <f t="shared" si="57"/>
        <v>0</v>
      </c>
      <c r="J184">
        <f t="shared" si="58"/>
        <v>0</v>
      </c>
      <c r="K184">
        <f t="shared" si="59"/>
        <v>0</v>
      </c>
      <c r="L184">
        <f t="shared" si="60"/>
        <v>0</v>
      </c>
      <c r="M184" s="3">
        <f t="shared" si="55"/>
        <v>0</v>
      </c>
      <c r="P184">
        <v>1685577600</v>
      </c>
      <c r="Q184">
        <v>-6.9480950471730001</v>
      </c>
      <c r="R184">
        <v>-1.9533469294775001</v>
      </c>
      <c r="S184">
        <v>-8.4295329717660401</v>
      </c>
      <c r="T184">
        <v>-6.7631036225512302</v>
      </c>
      <c r="U184">
        <v>-2.9905085154338802</v>
      </c>
      <c r="V184">
        <v>-5.4390244563322199</v>
      </c>
      <c r="W184">
        <v>0</v>
      </c>
      <c r="X184">
        <v>0</v>
      </c>
      <c r="Y184">
        <v>0</v>
      </c>
      <c r="Z184">
        <v>0</v>
      </c>
      <c r="AC184">
        <v>1685577600</v>
      </c>
      <c r="AD184">
        <v>-8.5712867543828892</v>
      </c>
      <c r="AE184">
        <v>-2.7739493938896902</v>
      </c>
      <c r="AF184">
        <v>-9.6089014910486608</v>
      </c>
      <c r="AG184">
        <v>-7.6639437702608602</v>
      </c>
      <c r="AH184">
        <v>-3.4540924167684701</v>
      </c>
      <c r="AI184">
        <v>-6.1548090742804398</v>
      </c>
      <c r="AJ184">
        <v>0</v>
      </c>
      <c r="AK184">
        <v>0</v>
      </c>
      <c r="AL184">
        <v>0</v>
      </c>
      <c r="AM184">
        <v>0</v>
      </c>
    </row>
    <row r="185" spans="1:39" x14ac:dyDescent="0.35">
      <c r="A185" s="1">
        <v>45170</v>
      </c>
      <c r="B185">
        <f t="shared" si="56"/>
        <v>-9.5123924833574094</v>
      </c>
      <c r="C185">
        <f t="shared" si="61"/>
        <v>-3.74778531995078</v>
      </c>
      <c r="D185">
        <f t="shared" si="62"/>
        <v>-10.2396294943853</v>
      </c>
      <c r="E185">
        <f t="shared" si="63"/>
        <v>-8.0514657207215095</v>
      </c>
      <c r="F185">
        <f t="shared" si="64"/>
        <v>-3.94759305273588</v>
      </c>
      <c r="G185">
        <f t="shared" si="65"/>
        <v>-6.2920364416494801</v>
      </c>
      <c r="H185">
        <f t="shared" si="54"/>
        <v>2</v>
      </c>
      <c r="I185">
        <f t="shared" si="57"/>
        <v>0</v>
      </c>
      <c r="J185">
        <f t="shared" si="58"/>
        <v>0</v>
      </c>
      <c r="K185">
        <f t="shared" si="59"/>
        <v>0</v>
      </c>
      <c r="L185">
        <f t="shared" si="60"/>
        <v>0</v>
      </c>
      <c r="M185" s="3">
        <f t="shared" si="55"/>
        <v>0</v>
      </c>
      <c r="P185">
        <v>1693526400</v>
      </c>
      <c r="Q185">
        <v>-9.5123924833574094</v>
      </c>
      <c r="R185">
        <v>-3.74778531995078</v>
      </c>
      <c r="S185">
        <v>-10.2396294943853</v>
      </c>
      <c r="T185">
        <v>-8.0514657207215095</v>
      </c>
      <c r="U185">
        <v>-3.94759305273588</v>
      </c>
      <c r="V185">
        <v>-6.2920364416494801</v>
      </c>
      <c r="W185">
        <v>0</v>
      </c>
      <c r="X185">
        <v>0</v>
      </c>
      <c r="Y185">
        <v>0</v>
      </c>
      <c r="Z185">
        <v>0</v>
      </c>
      <c r="AC185">
        <v>1693526400</v>
      </c>
      <c r="AD185">
        <v>-11.027899311237499</v>
      </c>
      <c r="AE185">
        <v>-4.5135407311689804</v>
      </c>
      <c r="AF185">
        <v>-11.3515820638828</v>
      </c>
      <c r="AG185">
        <v>-8.9057266921616094</v>
      </c>
      <c r="AH185">
        <v>-4.3800644583965198</v>
      </c>
      <c r="AI185">
        <v>-6.9715176054864996</v>
      </c>
      <c r="AJ185">
        <v>0</v>
      </c>
      <c r="AK185">
        <v>0</v>
      </c>
      <c r="AL185">
        <v>0</v>
      </c>
      <c r="AM185">
        <v>0</v>
      </c>
    </row>
    <row r="186" spans="1:39" x14ac:dyDescent="0.35">
      <c r="A186" s="1">
        <v>45261</v>
      </c>
      <c r="B186">
        <f t="shared" si="56"/>
        <v>-11.1190991587045</v>
      </c>
      <c r="C186">
        <f t="shared" si="61"/>
        <v>-5.2538351575706503</v>
      </c>
      <c r="D186">
        <f t="shared" si="62"/>
        <v>-10.508662742165001</v>
      </c>
      <c r="E186">
        <f t="shared" si="63"/>
        <v>-8.3839087183322096</v>
      </c>
      <c r="F186">
        <f t="shared" si="64"/>
        <v>-4.9079083975759801</v>
      </c>
      <c r="G186">
        <f t="shared" si="65"/>
        <v>-5.6007543445890802</v>
      </c>
      <c r="H186">
        <f t="shared" si="54"/>
        <v>2</v>
      </c>
      <c r="I186">
        <f t="shared" si="57"/>
        <v>0</v>
      </c>
      <c r="J186">
        <f t="shared" si="58"/>
        <v>0</v>
      </c>
      <c r="K186">
        <f t="shared" si="59"/>
        <v>0</v>
      </c>
      <c r="L186">
        <f t="shared" si="60"/>
        <v>0</v>
      </c>
      <c r="M186" s="3">
        <f t="shared" si="55"/>
        <v>0</v>
      </c>
      <c r="P186">
        <v>1701388800</v>
      </c>
      <c r="Q186">
        <v>-11.1190991587045</v>
      </c>
      <c r="R186">
        <v>-5.2538351575706503</v>
      </c>
      <c r="S186">
        <v>-10.508662742165001</v>
      </c>
      <c r="T186">
        <v>-8.3839087183322096</v>
      </c>
      <c r="U186">
        <v>-4.9079083975759801</v>
      </c>
      <c r="V186">
        <v>-5.6007543445890802</v>
      </c>
      <c r="W186">
        <v>0</v>
      </c>
      <c r="X186">
        <v>0</v>
      </c>
      <c r="Y186">
        <v>0</v>
      </c>
      <c r="Z186">
        <v>0</v>
      </c>
      <c r="AC186">
        <v>1701388800</v>
      </c>
      <c r="AD186">
        <v>-12.5896063957102</v>
      </c>
      <c r="AE186">
        <v>-5.9967660891629802</v>
      </c>
      <c r="AF186">
        <v>-11.4653035255928</v>
      </c>
      <c r="AG186">
        <v>-9.0656849839199403</v>
      </c>
      <c r="AH186">
        <v>-5.3274863501718004</v>
      </c>
      <c r="AI186">
        <v>-6.1378171754212296</v>
      </c>
      <c r="AJ186">
        <v>0</v>
      </c>
      <c r="AK186">
        <v>0</v>
      </c>
      <c r="AL186">
        <v>0</v>
      </c>
      <c r="AM186">
        <v>0</v>
      </c>
    </row>
    <row r="187" spans="1:39" x14ac:dyDescent="0.35">
      <c r="A187" s="1">
        <v>45352</v>
      </c>
      <c r="B187">
        <f t="shared" si="56"/>
        <v>-14.416017073078001</v>
      </c>
      <c r="C187">
        <f t="shared" si="61"/>
        <v>-6.93364524687955</v>
      </c>
      <c r="D187">
        <f t="shared" si="62"/>
        <v>-13.7152238821146</v>
      </c>
      <c r="E187">
        <f t="shared" si="63"/>
        <v>-11.0736033891163</v>
      </c>
      <c r="F187">
        <f t="shared" si="64"/>
        <v>-5.8132777148391801</v>
      </c>
      <c r="G187">
        <f t="shared" si="65"/>
        <v>-7.90194616727549</v>
      </c>
      <c r="H187">
        <f t="shared" si="54"/>
        <v>2</v>
      </c>
      <c r="I187">
        <f t="shared" si="57"/>
        <v>0</v>
      </c>
      <c r="J187">
        <f t="shared" si="58"/>
        <v>0</v>
      </c>
      <c r="K187">
        <f t="shared" si="59"/>
        <v>0</v>
      </c>
      <c r="L187">
        <f t="shared" si="60"/>
        <v>0</v>
      </c>
      <c r="M187" s="3">
        <f t="shared" si="55"/>
        <v>0</v>
      </c>
      <c r="P187">
        <v>1709251200</v>
      </c>
      <c r="Q187">
        <v>-14.416017073078001</v>
      </c>
      <c r="R187">
        <v>-6.93364524687955</v>
      </c>
      <c r="S187">
        <v>-13.7152238821146</v>
      </c>
      <c r="T187">
        <v>-11.0736033891163</v>
      </c>
      <c r="U187">
        <v>-5.8132777148391801</v>
      </c>
      <c r="V187">
        <v>-7.90194616727549</v>
      </c>
      <c r="W187">
        <v>0</v>
      </c>
      <c r="X187">
        <v>0</v>
      </c>
      <c r="Y187">
        <v>0</v>
      </c>
      <c r="Z187">
        <v>0</v>
      </c>
      <c r="AC187">
        <v>1709251200</v>
      </c>
      <c r="AD187">
        <v>-15.7526439116177</v>
      </c>
      <c r="AE187">
        <v>-7.6086668077935098</v>
      </c>
      <c r="AF187">
        <v>-14.5957384907794</v>
      </c>
      <c r="AG187">
        <v>-11.7019389339125</v>
      </c>
      <c r="AH187">
        <v>-6.1943932559011499</v>
      </c>
      <c r="AI187">
        <v>-8.40134523487853</v>
      </c>
      <c r="AJ187">
        <v>0</v>
      </c>
      <c r="AK187">
        <v>0</v>
      </c>
      <c r="AL187">
        <v>0</v>
      </c>
      <c r="AM187">
        <v>0</v>
      </c>
    </row>
    <row r="188" spans="1:39" x14ac:dyDescent="0.35">
      <c r="A188" s="1">
        <v>45444</v>
      </c>
      <c r="B188">
        <f t="shared" si="56"/>
        <v>-14.4091948099147</v>
      </c>
      <c r="C188">
        <f t="shared" si="61"/>
        <v>-7.5120363072480902</v>
      </c>
      <c r="D188">
        <f t="shared" si="62"/>
        <v>-13.672255584419799</v>
      </c>
      <c r="E188">
        <f t="shared" si="63"/>
        <v>-10.344849604505599</v>
      </c>
      <c r="F188">
        <f t="shared" si="64"/>
        <v>-6.2583664514517903</v>
      </c>
      <c r="G188">
        <f t="shared" si="65"/>
        <v>-7.4138891329680998</v>
      </c>
      <c r="H188">
        <f t="shared" si="54"/>
        <v>2</v>
      </c>
      <c r="I188">
        <f t="shared" si="57"/>
        <v>0</v>
      </c>
      <c r="J188">
        <f t="shared" si="58"/>
        <v>0</v>
      </c>
      <c r="K188">
        <f t="shared" si="59"/>
        <v>0</v>
      </c>
      <c r="L188">
        <f t="shared" si="60"/>
        <v>0</v>
      </c>
      <c r="M188" s="3"/>
      <c r="P188">
        <v>1717200000</v>
      </c>
      <c r="Q188">
        <v>-14.4091948099147</v>
      </c>
      <c r="R188">
        <v>-7.5120363072480902</v>
      </c>
      <c r="S188">
        <v>-13.672255584419799</v>
      </c>
      <c r="T188">
        <v>-10.344849604505599</v>
      </c>
      <c r="U188">
        <v>-6.2583664514517903</v>
      </c>
      <c r="V188">
        <v>-7.4138891329680998</v>
      </c>
      <c r="W188">
        <v>0</v>
      </c>
      <c r="X188">
        <v>0</v>
      </c>
      <c r="Y188">
        <v>0</v>
      </c>
      <c r="Z188">
        <v>0</v>
      </c>
      <c r="AC188">
        <v>1717200000</v>
      </c>
      <c r="AD188">
        <v>-15.736230536000001</v>
      </c>
      <c r="AE188">
        <v>-8.09989392134597</v>
      </c>
      <c r="AF188">
        <v>-14.602308371646499</v>
      </c>
      <c r="AG188">
        <v>-11.0516147173149</v>
      </c>
      <c r="AH188">
        <v>-6.5903288067316197</v>
      </c>
      <c r="AI188">
        <v>-8.0119795649151193</v>
      </c>
      <c r="AJ188">
        <v>0</v>
      </c>
      <c r="AK188">
        <v>0</v>
      </c>
      <c r="AL188">
        <v>0</v>
      </c>
      <c r="AM188">
        <v>0</v>
      </c>
    </row>
    <row r="189" spans="1:39" x14ac:dyDescent="0.35">
      <c r="A189" s="1">
        <v>45536</v>
      </c>
      <c r="B189">
        <f t="shared" si="56"/>
        <v>-15.142244292605101</v>
      </c>
      <c r="C189">
        <f t="shared" si="61"/>
        <v>-8.2201919503884895</v>
      </c>
      <c r="D189">
        <f t="shared" si="62"/>
        <v>-13.537979628669101</v>
      </c>
      <c r="E189">
        <f t="shared" si="63"/>
        <v>-9.1801799930082897</v>
      </c>
      <c r="F189">
        <f t="shared" si="64"/>
        <v>-6.6241467660894902</v>
      </c>
      <c r="G189">
        <f t="shared" si="65"/>
        <v>-6.9138328625796301</v>
      </c>
      <c r="H189">
        <f t="shared" si="54"/>
        <v>2</v>
      </c>
      <c r="I189">
        <f t="shared" si="57"/>
        <v>0</v>
      </c>
      <c r="J189">
        <f t="shared" si="58"/>
        <v>0</v>
      </c>
      <c r="K189">
        <f t="shared" si="59"/>
        <v>0</v>
      </c>
      <c r="L189">
        <f t="shared" si="60"/>
        <v>0</v>
      </c>
      <c r="M189" s="3"/>
      <c r="P189">
        <v>1725148800</v>
      </c>
      <c r="Q189">
        <v>-15.142244292605101</v>
      </c>
      <c r="R189">
        <v>-8.2201919503884895</v>
      </c>
      <c r="S189">
        <v>-13.537979628669101</v>
      </c>
      <c r="T189">
        <v>-9.1801799930082897</v>
      </c>
      <c r="U189">
        <v>-6.6241467660894902</v>
      </c>
      <c r="V189">
        <v>-6.9138328625796301</v>
      </c>
      <c r="W189">
        <v>0</v>
      </c>
      <c r="X189">
        <v>0</v>
      </c>
      <c r="Y189">
        <v>0</v>
      </c>
      <c r="Z189">
        <v>0</v>
      </c>
      <c r="AC189">
        <v>1725148800</v>
      </c>
      <c r="AD189">
        <v>-16.273129588762401</v>
      </c>
      <c r="AE189">
        <v>-8.7183101876115892</v>
      </c>
      <c r="AF189">
        <v>-14.9092035475585</v>
      </c>
      <c r="AG189">
        <v>-10.3661487236947</v>
      </c>
      <c r="AH189">
        <v>-6.9090776646802396</v>
      </c>
      <c r="AI189">
        <v>-8.0001258828785602</v>
      </c>
      <c r="AJ189">
        <v>0</v>
      </c>
      <c r="AK189">
        <v>0</v>
      </c>
      <c r="AL189">
        <v>0</v>
      </c>
      <c r="AM189">
        <v>0</v>
      </c>
    </row>
    <row r="190" spans="1:39" x14ac:dyDescent="0.35">
      <c r="A190" s="1">
        <v>45627</v>
      </c>
      <c r="B190">
        <f t="shared" si="56"/>
        <v>-15.116611388777001</v>
      </c>
      <c r="C190">
        <f t="shared" si="61"/>
        <v>-8.5302970943771701</v>
      </c>
      <c r="D190">
        <f t="shared" si="62"/>
        <v>-13.729572899831499</v>
      </c>
      <c r="E190">
        <f t="shared" si="63"/>
        <v>-9.9953232835562993</v>
      </c>
      <c r="F190">
        <f t="shared" si="64"/>
        <v>-6.8758638483798702</v>
      </c>
      <c r="G190">
        <f t="shared" si="65"/>
        <v>-6.8537090514517001</v>
      </c>
      <c r="H190">
        <f t="shared" si="54"/>
        <v>2</v>
      </c>
      <c r="I190">
        <f t="shared" si="57"/>
        <v>0</v>
      </c>
      <c r="J190">
        <f t="shared" si="58"/>
        <v>0</v>
      </c>
      <c r="K190">
        <f t="shared" si="59"/>
        <v>0</v>
      </c>
      <c r="L190">
        <f t="shared" si="60"/>
        <v>0</v>
      </c>
      <c r="M190" s="3"/>
      <c r="P190">
        <v>1733011200</v>
      </c>
      <c r="Q190">
        <v>-15.116611388777001</v>
      </c>
      <c r="R190">
        <v>-8.5302970943771701</v>
      </c>
      <c r="S190">
        <v>-13.729572899831499</v>
      </c>
      <c r="T190">
        <v>-9.9953232835562993</v>
      </c>
      <c r="U190">
        <v>-6.8758638483798702</v>
      </c>
      <c r="V190">
        <v>-6.8537090514517001</v>
      </c>
      <c r="W190">
        <v>0</v>
      </c>
      <c r="X190">
        <v>0</v>
      </c>
      <c r="Y190">
        <v>0</v>
      </c>
      <c r="Z190">
        <v>0</v>
      </c>
      <c r="AC190">
        <v>1733011200</v>
      </c>
      <c r="AD190">
        <v>-17.4383475217669</v>
      </c>
      <c r="AE190">
        <v>-9.2537435625495696</v>
      </c>
      <c r="AF190">
        <v>-15.258110172564701</v>
      </c>
      <c r="AG190">
        <v>-10.5500907611904</v>
      </c>
      <c r="AH190">
        <v>-7.1008659834649803</v>
      </c>
      <c r="AI190">
        <v>-8.1572441890999592</v>
      </c>
      <c r="AJ190">
        <v>0</v>
      </c>
      <c r="AK190">
        <v>0</v>
      </c>
      <c r="AL190">
        <v>0</v>
      </c>
      <c r="AM190">
        <v>0</v>
      </c>
    </row>
    <row r="191" spans="1:39" x14ac:dyDescent="0.35">
      <c r="A191" s="1">
        <v>45717</v>
      </c>
      <c r="B191">
        <f t="shared" ref="B191:B194" si="66">IF(Q191="","",Q191)</f>
        <v>-16.4954143009336</v>
      </c>
      <c r="C191">
        <f t="shared" ref="C191:C194" si="67">IF(R191="","",R191)</f>
        <v>-9.1589367367793901</v>
      </c>
      <c r="D191">
        <f t="shared" ref="D191:D194" si="68">IF(S191="","",S191)</f>
        <v>-14.229772819472</v>
      </c>
      <c r="E191">
        <f t="shared" ref="E191:E194" si="69">IF(T191="","",T191)</f>
        <v>-10.2648711148118</v>
      </c>
      <c r="F191">
        <f t="shared" ref="F191:F194" si="70">IF(U191="","",U191)</f>
        <v>-7.1223095315278</v>
      </c>
      <c r="G191">
        <f t="shared" ref="G191:G194" si="71">IF(V191="","",V191)</f>
        <v>-7.1074632879442401</v>
      </c>
      <c r="H191">
        <f t="shared" si="54"/>
        <v>2</v>
      </c>
      <c r="I191">
        <f t="shared" ref="I191:I194" si="72">IF(W191="","",W191)</f>
        <v>0</v>
      </c>
      <c r="J191">
        <f t="shared" ref="J191:J193" si="73">IF(X191="","",X191)</f>
        <v>0</v>
      </c>
      <c r="K191">
        <f t="shared" ref="K191:K193" si="74">IF(Y191="","",Y191)</f>
        <v>0</v>
      </c>
      <c r="L191">
        <f t="shared" ref="L191:L193" si="75">IF(Z191="","",Z191)</f>
        <v>0</v>
      </c>
      <c r="M191" s="3"/>
      <c r="P191" s="1">
        <v>1740787200</v>
      </c>
      <c r="Q191">
        <v>-16.4954143009336</v>
      </c>
      <c r="R191">
        <v>-9.1589367367793901</v>
      </c>
      <c r="S191">
        <v>-14.229772819472</v>
      </c>
      <c r="T191">
        <v>-10.2648711148118</v>
      </c>
      <c r="U191">
        <v>-7.1223095315278</v>
      </c>
      <c r="V191">
        <v>-7.1074632879442401</v>
      </c>
      <c r="W191">
        <v>0</v>
      </c>
      <c r="X191">
        <v>0</v>
      </c>
      <c r="Y191">
        <v>0</v>
      </c>
      <c r="Z191">
        <v>0</v>
      </c>
    </row>
    <row r="192" spans="1:39" x14ac:dyDescent="0.35">
      <c r="A192" s="1"/>
      <c r="B192" t="str">
        <f t="shared" si="66"/>
        <v/>
      </c>
      <c r="C192" t="str">
        <f t="shared" si="67"/>
        <v/>
      </c>
      <c r="D192" t="str">
        <f t="shared" si="68"/>
        <v/>
      </c>
      <c r="E192" t="str">
        <f t="shared" si="69"/>
        <v/>
      </c>
      <c r="F192" t="str">
        <f t="shared" si="70"/>
        <v/>
      </c>
      <c r="G192" t="str">
        <f t="shared" si="71"/>
        <v/>
      </c>
      <c r="H192" t="str">
        <f t="shared" si="54"/>
        <v/>
      </c>
      <c r="I192" t="str">
        <f t="shared" si="72"/>
        <v/>
      </c>
      <c r="J192" t="str">
        <f t="shared" si="73"/>
        <v/>
      </c>
      <c r="K192" t="str">
        <f t="shared" si="74"/>
        <v/>
      </c>
      <c r="L192" t="str">
        <f t="shared" si="75"/>
        <v/>
      </c>
      <c r="M192" s="3"/>
      <c r="P192" s="1"/>
    </row>
    <row r="193" spans="1:16" x14ac:dyDescent="0.35">
      <c r="A193" s="1"/>
      <c r="B193" t="str">
        <f t="shared" si="66"/>
        <v/>
      </c>
      <c r="C193" t="str">
        <f t="shared" si="67"/>
        <v/>
      </c>
      <c r="D193" t="str">
        <f t="shared" si="68"/>
        <v/>
      </c>
      <c r="E193" t="str">
        <f t="shared" si="69"/>
        <v/>
      </c>
      <c r="F193" t="str">
        <f t="shared" si="70"/>
        <v/>
      </c>
      <c r="G193" t="str">
        <f t="shared" si="71"/>
        <v/>
      </c>
      <c r="H193" t="str">
        <f t="shared" si="54"/>
        <v/>
      </c>
      <c r="I193" t="str">
        <f t="shared" si="72"/>
        <v/>
      </c>
      <c r="J193" t="str">
        <f t="shared" si="73"/>
        <v/>
      </c>
      <c r="K193" t="str">
        <f t="shared" si="74"/>
        <v/>
      </c>
      <c r="L193" t="str">
        <f t="shared" si="75"/>
        <v/>
      </c>
      <c r="M193" s="3"/>
      <c r="P193" s="1"/>
    </row>
    <row r="194" spans="1:16" x14ac:dyDescent="0.35">
      <c r="A194" s="1"/>
      <c r="B194" t="str">
        <f t="shared" si="66"/>
        <v/>
      </c>
      <c r="C194" t="str">
        <f t="shared" si="67"/>
        <v/>
      </c>
      <c r="D194" t="str">
        <f t="shared" si="68"/>
        <v/>
      </c>
      <c r="E194" t="str">
        <f t="shared" si="69"/>
        <v/>
      </c>
      <c r="F194" t="str">
        <f t="shared" si="70"/>
        <v/>
      </c>
      <c r="G194" t="str">
        <f t="shared" si="71"/>
        <v/>
      </c>
      <c r="H194" t="str">
        <f t="shared" si="54"/>
        <v/>
      </c>
      <c r="I194" t="str">
        <f t="shared" si="72"/>
        <v/>
      </c>
      <c r="J194" t="str">
        <f t="shared" ref="J194:J202" si="76">IF(X194="","",X194)</f>
        <v/>
      </c>
      <c r="K194" t="str">
        <f t="shared" ref="K194:K202" si="77">IF(Y194="","",Y194)</f>
        <v/>
      </c>
      <c r="L194" t="str">
        <f t="shared" ref="L194:L202" si="78">IF(Z194="","",Z194)</f>
        <v/>
      </c>
    </row>
    <row r="195" spans="1:16" x14ac:dyDescent="0.35">
      <c r="B195" t="str">
        <f t="shared" ref="B195:B201" si="79">IF(Q195="","",Q195)</f>
        <v/>
      </c>
      <c r="C195" t="str">
        <f t="shared" ref="C195:C201" si="80">IF(R195="","",R195)</f>
        <v/>
      </c>
      <c r="D195" t="str">
        <f t="shared" ref="D195:D201" si="81">IF(S195="","",S195)</f>
        <v/>
      </c>
      <c r="E195" t="str">
        <f t="shared" ref="E195:E201" si="82">IF(T195="","",T195)</f>
        <v/>
      </c>
      <c r="F195" t="str">
        <f t="shared" ref="F195:F201" si="83">IF(U195="","",U195)</f>
        <v/>
      </c>
      <c r="G195" t="str">
        <f t="shared" ref="G195:G201" si="84">IF(V195="","",V195)</f>
        <v/>
      </c>
      <c r="H195" t="str">
        <f t="shared" ref="H195:H202" si="85">IF(A195="","",2)</f>
        <v/>
      </c>
      <c r="I195" t="str">
        <f t="shared" ref="I195:I202" si="86">IF(W195="","",W195)</f>
        <v/>
      </c>
      <c r="J195" t="str">
        <f t="shared" si="76"/>
        <v/>
      </c>
      <c r="K195" t="str">
        <f t="shared" si="77"/>
        <v/>
      </c>
      <c r="L195" t="str">
        <f t="shared" si="78"/>
        <v/>
      </c>
    </row>
    <row r="196" spans="1:16" x14ac:dyDescent="0.35">
      <c r="B196" t="str">
        <f t="shared" si="79"/>
        <v/>
      </c>
      <c r="C196" t="str">
        <f t="shared" si="80"/>
        <v/>
      </c>
      <c r="D196" t="str">
        <f t="shared" si="81"/>
        <v/>
      </c>
      <c r="E196" t="str">
        <f t="shared" si="82"/>
        <v/>
      </c>
      <c r="F196" t="str">
        <f t="shared" si="83"/>
        <v/>
      </c>
      <c r="G196" t="str">
        <f t="shared" si="84"/>
        <v/>
      </c>
      <c r="H196" t="str">
        <f t="shared" si="85"/>
        <v/>
      </c>
      <c r="I196" t="str">
        <f t="shared" si="86"/>
        <v/>
      </c>
      <c r="J196" t="str">
        <f t="shared" si="76"/>
        <v/>
      </c>
      <c r="K196" t="str">
        <f t="shared" si="77"/>
        <v/>
      </c>
      <c r="L196" t="str">
        <f t="shared" si="78"/>
        <v/>
      </c>
    </row>
    <row r="197" spans="1:16" x14ac:dyDescent="0.35">
      <c r="B197" t="str">
        <f t="shared" si="79"/>
        <v/>
      </c>
      <c r="C197" t="str">
        <f t="shared" si="80"/>
        <v/>
      </c>
      <c r="D197" t="str">
        <f t="shared" si="81"/>
        <v/>
      </c>
      <c r="E197" t="str">
        <f t="shared" si="82"/>
        <v/>
      </c>
      <c r="F197" t="str">
        <f t="shared" si="83"/>
        <v/>
      </c>
      <c r="G197" t="str">
        <f t="shared" si="84"/>
        <v/>
      </c>
      <c r="H197" t="str">
        <f t="shared" si="85"/>
        <v/>
      </c>
      <c r="I197" t="str">
        <f t="shared" si="86"/>
        <v/>
      </c>
      <c r="J197" t="str">
        <f t="shared" si="76"/>
        <v/>
      </c>
      <c r="K197" t="str">
        <f t="shared" si="77"/>
        <v/>
      </c>
      <c r="L197" t="str">
        <f t="shared" si="78"/>
        <v/>
      </c>
    </row>
    <row r="198" spans="1:16" x14ac:dyDescent="0.35">
      <c r="B198" t="str">
        <f t="shared" si="79"/>
        <v/>
      </c>
      <c r="C198" t="str">
        <f t="shared" si="80"/>
        <v/>
      </c>
      <c r="D198" t="str">
        <f t="shared" si="81"/>
        <v/>
      </c>
      <c r="E198" t="str">
        <f t="shared" si="82"/>
        <v/>
      </c>
      <c r="F198" t="str">
        <f t="shared" si="83"/>
        <v/>
      </c>
      <c r="G198" t="str">
        <f t="shared" si="84"/>
        <v/>
      </c>
      <c r="H198" t="str">
        <f t="shared" si="85"/>
        <v/>
      </c>
      <c r="I198" t="str">
        <f t="shared" si="86"/>
        <v/>
      </c>
      <c r="J198" t="str">
        <f t="shared" si="76"/>
        <v/>
      </c>
      <c r="K198" t="str">
        <f t="shared" si="77"/>
        <v/>
      </c>
      <c r="L198" t="str">
        <f t="shared" si="78"/>
        <v/>
      </c>
    </row>
    <row r="199" spans="1:16" x14ac:dyDescent="0.35">
      <c r="B199" t="str">
        <f t="shared" si="79"/>
        <v/>
      </c>
      <c r="C199" t="str">
        <f t="shared" si="80"/>
        <v/>
      </c>
      <c r="D199" t="str">
        <f t="shared" si="81"/>
        <v/>
      </c>
      <c r="E199" t="str">
        <f t="shared" si="82"/>
        <v/>
      </c>
      <c r="F199" t="str">
        <f t="shared" si="83"/>
        <v/>
      </c>
      <c r="G199" t="str">
        <f t="shared" si="84"/>
        <v/>
      </c>
      <c r="H199" t="str">
        <f t="shared" si="85"/>
        <v/>
      </c>
      <c r="I199" t="str">
        <f t="shared" si="86"/>
        <v/>
      </c>
      <c r="J199" t="str">
        <f t="shared" si="76"/>
        <v/>
      </c>
      <c r="K199" t="str">
        <f t="shared" si="77"/>
        <v/>
      </c>
      <c r="L199" t="str">
        <f t="shared" si="78"/>
        <v/>
      </c>
    </row>
    <row r="200" spans="1:16" x14ac:dyDescent="0.35">
      <c r="B200" t="str">
        <f t="shared" si="79"/>
        <v/>
      </c>
      <c r="C200" t="str">
        <f t="shared" si="80"/>
        <v/>
      </c>
      <c r="D200" t="str">
        <f t="shared" si="81"/>
        <v/>
      </c>
      <c r="E200" t="str">
        <f t="shared" si="82"/>
        <v/>
      </c>
      <c r="F200" t="str">
        <f t="shared" si="83"/>
        <v/>
      </c>
      <c r="G200" t="str">
        <f t="shared" si="84"/>
        <v/>
      </c>
      <c r="H200" t="str">
        <f t="shared" si="85"/>
        <v/>
      </c>
      <c r="I200" t="str">
        <f t="shared" si="86"/>
        <v/>
      </c>
      <c r="J200" t="str">
        <f t="shared" si="76"/>
        <v/>
      </c>
      <c r="K200" t="str">
        <f t="shared" si="77"/>
        <v/>
      </c>
      <c r="L200" t="str">
        <f t="shared" si="78"/>
        <v/>
      </c>
    </row>
    <row r="201" spans="1:16" x14ac:dyDescent="0.35">
      <c r="B201" t="str">
        <f t="shared" si="79"/>
        <v/>
      </c>
      <c r="C201" t="str">
        <f t="shared" si="80"/>
        <v/>
      </c>
      <c r="D201" t="str">
        <f t="shared" si="81"/>
        <v/>
      </c>
      <c r="E201" t="str">
        <f t="shared" si="82"/>
        <v/>
      </c>
      <c r="F201" t="str">
        <f t="shared" si="83"/>
        <v/>
      </c>
      <c r="G201" t="str">
        <f t="shared" si="84"/>
        <v/>
      </c>
      <c r="H201" t="str">
        <f t="shared" si="85"/>
        <v/>
      </c>
      <c r="I201" t="str">
        <f t="shared" si="86"/>
        <v/>
      </c>
      <c r="J201" t="str">
        <f t="shared" si="76"/>
        <v/>
      </c>
      <c r="K201" t="str">
        <f t="shared" si="77"/>
        <v/>
      </c>
      <c r="L201" t="str">
        <f t="shared" si="78"/>
        <v/>
      </c>
    </row>
    <row r="202" spans="1:16" x14ac:dyDescent="0.35">
      <c r="H202" t="str">
        <f t="shared" si="85"/>
        <v/>
      </c>
      <c r="I202" t="str">
        <f t="shared" si="86"/>
        <v/>
      </c>
      <c r="J202" t="str">
        <f t="shared" si="76"/>
        <v/>
      </c>
      <c r="K202" t="str">
        <f t="shared" si="77"/>
        <v/>
      </c>
      <c r="L202" t="str">
        <f t="shared" si="78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Graphiques</vt:lpstr>
      </vt:variant>
      <vt:variant>
        <vt:i4>9</vt:i4>
      </vt:variant>
    </vt:vector>
  </HeadingPairs>
  <TitlesOfParts>
    <vt:vector size="16" baseType="lpstr">
      <vt:lpstr>Read me</vt:lpstr>
      <vt:lpstr>C_GAPS1 &gt;&gt;</vt:lpstr>
      <vt:lpstr>Output R -CGAPS1</vt:lpstr>
      <vt:lpstr>C_GAPS2 (Juste rétropolés) &gt;&gt;&gt;</vt:lpstr>
      <vt:lpstr>Output R</vt:lpstr>
      <vt:lpstr>C_GAPS3 Correction récession&gt;&gt; </vt:lpstr>
      <vt:lpstr>Output R CGAPS3</vt:lpstr>
      <vt:lpstr>Credit Gap 1</vt:lpstr>
      <vt:lpstr>Contributions 1</vt:lpstr>
      <vt:lpstr>CCyB Induit 1</vt:lpstr>
      <vt:lpstr>Credit GAP - 2</vt:lpstr>
      <vt:lpstr>CCyB induit - CGAP 2</vt:lpstr>
      <vt:lpstr>Contributions CGAP 2</vt:lpstr>
      <vt:lpstr>Credit GAP 3</vt:lpstr>
      <vt:lpstr>Contribution CGAP 3</vt:lpstr>
      <vt:lpstr>CCyB induit CGAP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OUIN-LAGARDE Thomas</dc:creator>
  <cp:lastModifiedBy>HEYL Eva</cp:lastModifiedBy>
  <dcterms:created xsi:type="dcterms:W3CDTF">2022-11-10T11:31:33Z</dcterms:created>
  <dcterms:modified xsi:type="dcterms:W3CDTF">2025-11-18T10:57:05Z</dcterms:modified>
</cp:coreProperties>
</file>