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Donnees\"/>
    </mc:Choice>
  </mc:AlternateContent>
  <xr:revisionPtr revIDLastSave="0" documentId="13_ncr:1_{21EEAD2C-048F-494E-A2C2-AA9B33523E55}" xr6:coauthVersionLast="47" xr6:coauthVersionMax="47" xr10:uidLastSave="{00000000-0000-0000-0000-000000000000}"/>
  <bookViews>
    <workbookView xWindow="-120" yWindow="-120" windowWidth="25440" windowHeight="15270" activeTab="2" xr2:uid="{CE9570B7-3735-44A6-9C14-EBDA33B0DF11}"/>
  </bookViews>
  <sheets>
    <sheet name="Graphique1" sheetId="3" r:id="rId1"/>
    <sheet name="Données" sheetId="1" r:id="rId2"/>
    <sheet name="PER CAC 40" sheetId="2" r:id="rId3"/>
  </sheets>
  <definedNames>
    <definedName name="SpreadsheetBuilder_1" hidden="1">#REF!</definedName>
    <definedName name="SpreadsheetBuilder_2" hidden="1">#REF!</definedName>
    <definedName name="SpreadsheetBuilder_3" hidden="1">'PER CAC 40'!#REF!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 a="1"/>
  <c r="A2" i="2" l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A2" i="1" a="1"/>
  <c r="A2" i="1" l="1"/>
  <c r="L87" i="1"/>
  <c r="L83" i="1"/>
  <c r="L79" i="1"/>
  <c r="L75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1" i="1"/>
  <c r="L7" i="1"/>
  <c r="M46" i="1"/>
  <c r="M34" i="1"/>
  <c r="M26" i="1"/>
  <c r="M18" i="1"/>
  <c r="M10" i="1"/>
  <c r="M6" i="1"/>
  <c r="L82" i="1"/>
  <c r="L70" i="1"/>
  <c r="L58" i="1"/>
  <c r="L50" i="1"/>
  <c r="L38" i="1"/>
  <c r="L34" i="1"/>
  <c r="L30" i="1"/>
  <c r="L26" i="1"/>
  <c r="L22" i="1"/>
  <c r="L18" i="1"/>
  <c r="L14" i="1"/>
  <c r="L17" i="1"/>
  <c r="L9" i="1"/>
  <c r="M64" i="1"/>
  <c r="M44" i="1"/>
  <c r="M24" i="1"/>
  <c r="M4" i="1"/>
  <c r="M75" i="1"/>
  <c r="M55" i="1"/>
  <c r="M31" i="1"/>
  <c r="M19" i="1"/>
  <c r="M86" i="1"/>
  <c r="M82" i="1"/>
  <c r="M78" i="1"/>
  <c r="M74" i="1"/>
  <c r="M70" i="1"/>
  <c r="M66" i="1"/>
  <c r="M62" i="1"/>
  <c r="M58" i="1"/>
  <c r="M54" i="1"/>
  <c r="M50" i="1"/>
  <c r="M42" i="1"/>
  <c r="M38" i="1"/>
  <c r="M30" i="1"/>
  <c r="M22" i="1"/>
  <c r="M14" i="1"/>
  <c r="L78" i="1"/>
  <c r="L66" i="1"/>
  <c r="L54" i="1"/>
  <c r="L42" i="1"/>
  <c r="L10" i="1"/>
  <c r="L5" i="1"/>
  <c r="M80" i="1"/>
  <c r="M60" i="1"/>
  <c r="M40" i="1"/>
  <c r="M16" i="1"/>
  <c r="M71" i="1"/>
  <c r="M43" i="1"/>
  <c r="M7" i="1"/>
  <c r="L86" i="1"/>
  <c r="L74" i="1"/>
  <c r="L62" i="1"/>
  <c r="L46" i="1"/>
  <c r="L6" i="1"/>
  <c r="M72" i="1"/>
  <c r="M52" i="1"/>
  <c r="M32" i="1"/>
  <c r="M12" i="1"/>
  <c r="M87" i="1"/>
  <c r="M67" i="1"/>
  <c r="M3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M5" i="1"/>
  <c r="L29" i="1"/>
  <c r="M68" i="1"/>
  <c r="M48" i="1"/>
  <c r="M28" i="1"/>
  <c r="M8" i="1"/>
  <c r="M79" i="1"/>
  <c r="M59" i="1"/>
  <c r="M35" i="1"/>
  <c r="M11" i="1"/>
  <c r="L85" i="1"/>
  <c r="L81" i="1"/>
  <c r="L77" i="1"/>
  <c r="L73" i="1"/>
  <c r="L69" i="1"/>
  <c r="L65" i="1"/>
  <c r="L61" i="1"/>
  <c r="L57" i="1"/>
  <c r="L53" i="1"/>
  <c r="L49" i="1"/>
  <c r="L45" i="1"/>
  <c r="L41" i="1"/>
  <c r="L37" i="1"/>
  <c r="L33" i="1"/>
  <c r="L25" i="1"/>
  <c r="L21" i="1"/>
  <c r="L13" i="1"/>
  <c r="M84" i="1"/>
  <c r="M76" i="1"/>
  <c r="M56" i="1"/>
  <c r="M36" i="1"/>
  <c r="M20" i="1"/>
  <c r="M83" i="1"/>
  <c r="M63" i="1"/>
  <c r="M47" i="1"/>
  <c r="M27" i="1"/>
  <c r="M15" i="1"/>
  <c r="L84" i="1"/>
  <c r="L80" i="1"/>
  <c r="L76" i="1"/>
  <c r="L72" i="1"/>
  <c r="L68" i="1"/>
  <c r="L64" i="1"/>
  <c r="L60" i="1"/>
  <c r="L56" i="1"/>
  <c r="L52" i="1"/>
  <c r="L48" i="1"/>
  <c r="L44" i="1"/>
  <c r="L40" i="1"/>
  <c r="L36" i="1"/>
  <c r="L32" i="1"/>
  <c r="L28" i="1"/>
  <c r="L24" i="1"/>
  <c r="L20" i="1"/>
  <c r="L16" i="1"/>
  <c r="L12" i="1"/>
  <c r="L8" i="1"/>
  <c r="L4" i="1"/>
  <c r="M51" i="1"/>
  <c r="M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<sst xmlns="http://schemas.openxmlformats.org/spreadsheetml/2006/main" count="10" uniqueCount="9">
  <si>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TIME_PERIOD</t>
  </si>
  <si>
    <t>SPREADHY</t>
  </si>
  <si>
    <t>SPREADIG</t>
  </si>
  <si>
    <t>OAT10Y</t>
  </si>
  <si>
    <t>BUND10Y</t>
  </si>
  <si>
    <t>CACindex</t>
  </si>
  <si>
    <t>MEANCDS</t>
  </si>
  <si>
    <t>SPREADOB</t>
  </si>
  <si>
    <t>CAC Index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</si>
</sst>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BQL|17469947226808739361</stp>
        <tr r="A2" s="1"/>
      </tp>
      <tp t="s">
        <v>#N/A N/A</v>
        <stp/>
        <stp>BDH|13575726459011319664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Données!$A$29:$A$86</c:f>
              <c:numCache>
                <c:formatCode>m/d/yyyy</c:formatCode>
                <c:ptCount val="58"/>
                <c:pt idx="0">
                  <c:v>41000</c:v>
                </c:pt>
                <c:pt idx="1">
                  <c:v>41091</c:v>
                </c:pt>
                <c:pt idx="2">
                  <c:v>41183</c:v>
                </c:pt>
                <c:pt idx="3">
                  <c:v>41275</c:v>
                </c:pt>
                <c:pt idx="4">
                  <c:v>41365</c:v>
                </c:pt>
                <c:pt idx="5">
                  <c:v>41456</c:v>
                </c:pt>
                <c:pt idx="6">
                  <c:v>41548</c:v>
                </c:pt>
                <c:pt idx="7">
                  <c:v>41640</c:v>
                </c:pt>
                <c:pt idx="8">
                  <c:v>41730</c:v>
                </c:pt>
                <c:pt idx="9">
                  <c:v>41821</c:v>
                </c:pt>
                <c:pt idx="10">
                  <c:v>41913</c:v>
                </c:pt>
                <c:pt idx="11">
                  <c:v>42005</c:v>
                </c:pt>
                <c:pt idx="12">
                  <c:v>42095</c:v>
                </c:pt>
                <c:pt idx="13">
                  <c:v>42186</c:v>
                </c:pt>
                <c:pt idx="14">
                  <c:v>42278</c:v>
                </c:pt>
                <c:pt idx="15">
                  <c:v>42370</c:v>
                </c:pt>
                <c:pt idx="16">
                  <c:v>42461</c:v>
                </c:pt>
                <c:pt idx="17">
                  <c:v>42552</c:v>
                </c:pt>
                <c:pt idx="18">
                  <c:v>42644</c:v>
                </c:pt>
                <c:pt idx="19">
                  <c:v>42736</c:v>
                </c:pt>
                <c:pt idx="20">
                  <c:v>42826</c:v>
                </c:pt>
                <c:pt idx="21">
                  <c:v>42917</c:v>
                </c:pt>
                <c:pt idx="22">
                  <c:v>43009</c:v>
                </c:pt>
                <c:pt idx="23">
                  <c:v>43101</c:v>
                </c:pt>
                <c:pt idx="24">
                  <c:v>43191</c:v>
                </c:pt>
                <c:pt idx="25">
                  <c:v>43282</c:v>
                </c:pt>
                <c:pt idx="26">
                  <c:v>43374</c:v>
                </c:pt>
                <c:pt idx="27">
                  <c:v>43466</c:v>
                </c:pt>
                <c:pt idx="28">
                  <c:v>43556</c:v>
                </c:pt>
                <c:pt idx="29">
                  <c:v>43647</c:v>
                </c:pt>
                <c:pt idx="30">
                  <c:v>43739</c:v>
                </c:pt>
                <c:pt idx="31">
                  <c:v>43831</c:v>
                </c:pt>
                <c:pt idx="32">
                  <c:v>43922</c:v>
                </c:pt>
                <c:pt idx="33">
                  <c:v>44013</c:v>
                </c:pt>
                <c:pt idx="34">
                  <c:v>44105</c:v>
                </c:pt>
                <c:pt idx="35">
                  <c:v>44197</c:v>
                </c:pt>
                <c:pt idx="36">
                  <c:v>44287</c:v>
                </c:pt>
                <c:pt idx="37">
                  <c:v>44378</c:v>
                </c:pt>
                <c:pt idx="38">
                  <c:v>44470</c:v>
                </c:pt>
                <c:pt idx="39">
                  <c:v>44562</c:v>
                </c:pt>
                <c:pt idx="40">
                  <c:v>44652</c:v>
                </c:pt>
                <c:pt idx="41">
                  <c:v>44743</c:v>
                </c:pt>
                <c:pt idx="42">
                  <c:v>44835</c:v>
                </c:pt>
                <c:pt idx="43">
                  <c:v>44927</c:v>
                </c:pt>
                <c:pt idx="44">
                  <c:v>45017</c:v>
                </c:pt>
                <c:pt idx="45">
                  <c:v>45108</c:v>
                </c:pt>
                <c:pt idx="46">
                  <c:v>45200</c:v>
                </c:pt>
                <c:pt idx="47">
                  <c:v>45292</c:v>
                </c:pt>
                <c:pt idx="48">
                  <c:v>45383</c:v>
                </c:pt>
                <c:pt idx="49">
                  <c:v>45474</c:v>
                </c:pt>
                <c:pt idx="50">
                  <c:v>45566</c:v>
                </c:pt>
                <c:pt idx="51">
                  <c:v>45658</c:v>
                </c:pt>
                <c:pt idx="52">
                  <c:v>45748</c:v>
                </c:pt>
                <c:pt idx="53">
                  <c:v>45839</c:v>
                </c:pt>
                <c:pt idx="54">
                  <c:v>45931</c:v>
                </c:pt>
                <c:pt idx="55">
                  <c:v>46023</c:v>
                </c:pt>
                <c:pt idx="56">
                  <c:v>46113</c:v>
                </c:pt>
                <c:pt idx="57">
                  <c:v>46204</c:v>
                </c:pt>
              </c:numCache>
            </c:numRef>
          </c:cat>
          <c:val>
            <c:numRef>
              <c:f>Données!$B$29:$B$86</c:f>
              <c:numCache>
                <c:formatCode>General</c:formatCode>
                <c:ptCount val="58"/>
                <c:pt idx="0">
                  <c:v>489.04399999999998</c:v>
                </c:pt>
                <c:pt idx="1">
                  <c:v>558.221</c:v>
                </c:pt>
                <c:pt idx="2">
                  <c:v>484.77699999999999</c:v>
                </c:pt>
                <c:pt idx="3">
                  <c:v>375.22500000000002</c:v>
                </c:pt>
                <c:pt idx="4">
                  <c:v>377.89499999999998</c:v>
                </c:pt>
                <c:pt idx="5">
                  <c:v>391.20100000000002</c:v>
                </c:pt>
                <c:pt idx="6">
                  <c:v>336.13200000000001</c:v>
                </c:pt>
                <c:pt idx="7">
                  <c:v>262.97000000000003</c:v>
                </c:pt>
                <c:pt idx="8">
                  <c:v>256.04199999999997</c:v>
                </c:pt>
                <c:pt idx="9">
                  <c:v>260.20920000000001</c:v>
                </c:pt>
                <c:pt idx="10">
                  <c:v>338.03399999999999</c:v>
                </c:pt>
                <c:pt idx="11">
                  <c:v>363.15620000000001</c:v>
                </c:pt>
                <c:pt idx="12">
                  <c:v>340.42450000000002</c:v>
                </c:pt>
                <c:pt idx="13">
                  <c:v>358.85849999999999</c:v>
                </c:pt>
                <c:pt idx="14">
                  <c:v>475.40989999999999</c:v>
                </c:pt>
                <c:pt idx="15">
                  <c:v>486.02140000000003</c:v>
                </c:pt>
                <c:pt idx="16">
                  <c:v>462.8612</c:v>
                </c:pt>
                <c:pt idx="17">
                  <c:v>393.77879999999999</c:v>
                </c:pt>
                <c:pt idx="18">
                  <c:v>350.52510000000001</c:v>
                </c:pt>
                <c:pt idx="19">
                  <c:v>320.31790000000001</c:v>
                </c:pt>
                <c:pt idx="20">
                  <c:v>299.91410000000002</c:v>
                </c:pt>
                <c:pt idx="21">
                  <c:v>229.21190000000001</c:v>
                </c:pt>
                <c:pt idx="22">
                  <c:v>198.8758</c:v>
                </c:pt>
                <c:pt idx="23">
                  <c:v>216.15639999999999</c:v>
                </c:pt>
                <c:pt idx="24">
                  <c:v>267.11009999999999</c:v>
                </c:pt>
                <c:pt idx="25">
                  <c:v>340.59289999999999</c:v>
                </c:pt>
                <c:pt idx="26">
                  <c:v>321.07990000000001</c:v>
                </c:pt>
                <c:pt idx="27">
                  <c:v>454.16199999999998</c:v>
                </c:pt>
                <c:pt idx="28">
                  <c:v>356.83479999999997</c:v>
                </c:pt>
                <c:pt idx="29">
                  <c:v>326.988</c:v>
                </c:pt>
                <c:pt idx="30">
                  <c:v>346.18400000000003</c:v>
                </c:pt>
                <c:pt idx="31">
                  <c:v>284.55700000000002</c:v>
                </c:pt>
                <c:pt idx="32">
                  <c:v>745.27</c:v>
                </c:pt>
                <c:pt idx="33">
                  <c:v>469.10700000000003</c:v>
                </c:pt>
                <c:pt idx="34">
                  <c:v>413.82600000000002</c:v>
                </c:pt>
                <c:pt idx="35">
                  <c:v>289.27999999999997</c:v>
                </c:pt>
                <c:pt idx="36">
                  <c:v>256.12099999999998</c:v>
                </c:pt>
                <c:pt idx="37">
                  <c:v>239.78700000000001</c:v>
                </c:pt>
                <c:pt idx="38">
                  <c:v>247.471</c:v>
                </c:pt>
                <c:pt idx="39">
                  <c:v>271.24299999999999</c:v>
                </c:pt>
                <c:pt idx="40">
                  <c:v>334.233</c:v>
                </c:pt>
                <c:pt idx="41">
                  <c:v>576.96199999999999</c:v>
                </c:pt>
                <c:pt idx="42">
                  <c:v>519.1</c:v>
                </c:pt>
                <c:pt idx="43">
                  <c:v>408.774</c:v>
                </c:pt>
                <c:pt idx="44">
                  <c:v>399.86900000000003</c:v>
                </c:pt>
                <c:pt idx="45">
                  <c:v>376.03199999999998</c:v>
                </c:pt>
                <c:pt idx="46">
                  <c:v>351.69099999999997</c:v>
                </c:pt>
                <c:pt idx="47">
                  <c:v>330.85700000000003</c:v>
                </c:pt>
                <c:pt idx="48">
                  <c:v>314.18700000000001</c:v>
                </c:pt>
                <c:pt idx="49">
                  <c:v>301.916</c:v>
                </c:pt>
                <c:pt idx="50">
                  <c:v>316.46899999999999</c:v>
                </c:pt>
                <c:pt idx="51">
                  <c:v>298.64600000000002</c:v>
                </c:pt>
                <c:pt idx="52">
                  <c:v>323.01499999999999</c:v>
                </c:pt>
                <c:pt idx="53">
                  <c:v>297.33999999999997</c:v>
                </c:pt>
                <c:pt idx="54">
                  <c:v>272.04300000000001</c:v>
                </c:pt>
                <c:pt idx="55">
                  <c:v>275.50299999999999</c:v>
                </c:pt>
                <c:pt idx="56">
                  <c:v>313.59899999999999</c:v>
                </c:pt>
                <c:pt idx="57">
                  <c:v>291.64699999999999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2-4C5B-9CE7-D1DFA76EBA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Données!$A$29:$A$86</c:f>
              <c:numCache>
                <c:formatCode>m/d/yyyy</c:formatCode>
                <c:ptCount val="58"/>
                <c:pt idx="0">
                  <c:v>41000</c:v>
                </c:pt>
                <c:pt idx="1">
                  <c:v>41091</c:v>
                </c:pt>
                <c:pt idx="2">
                  <c:v>41183</c:v>
                </c:pt>
                <c:pt idx="3">
                  <c:v>41275</c:v>
                </c:pt>
                <c:pt idx="4">
                  <c:v>41365</c:v>
                </c:pt>
                <c:pt idx="5">
                  <c:v>41456</c:v>
                </c:pt>
                <c:pt idx="6">
                  <c:v>41548</c:v>
                </c:pt>
                <c:pt idx="7">
                  <c:v>41640</c:v>
                </c:pt>
                <c:pt idx="8">
                  <c:v>41730</c:v>
                </c:pt>
                <c:pt idx="9">
                  <c:v>41821</c:v>
                </c:pt>
                <c:pt idx="10">
                  <c:v>41913</c:v>
                </c:pt>
                <c:pt idx="11">
                  <c:v>42005</c:v>
                </c:pt>
                <c:pt idx="12">
                  <c:v>42095</c:v>
                </c:pt>
                <c:pt idx="13">
                  <c:v>42186</c:v>
                </c:pt>
                <c:pt idx="14">
                  <c:v>42278</c:v>
                </c:pt>
                <c:pt idx="15">
                  <c:v>42370</c:v>
                </c:pt>
                <c:pt idx="16">
                  <c:v>42461</c:v>
                </c:pt>
                <c:pt idx="17">
                  <c:v>42552</c:v>
                </c:pt>
                <c:pt idx="18">
                  <c:v>42644</c:v>
                </c:pt>
                <c:pt idx="19">
                  <c:v>42736</c:v>
                </c:pt>
                <c:pt idx="20">
                  <c:v>42826</c:v>
                </c:pt>
                <c:pt idx="21">
                  <c:v>42917</c:v>
                </c:pt>
                <c:pt idx="22">
                  <c:v>43009</c:v>
                </c:pt>
                <c:pt idx="23">
                  <c:v>43101</c:v>
                </c:pt>
                <c:pt idx="24">
                  <c:v>43191</c:v>
                </c:pt>
                <c:pt idx="25">
                  <c:v>43282</c:v>
                </c:pt>
                <c:pt idx="26">
                  <c:v>43374</c:v>
                </c:pt>
                <c:pt idx="27">
                  <c:v>43466</c:v>
                </c:pt>
                <c:pt idx="28">
                  <c:v>43556</c:v>
                </c:pt>
                <c:pt idx="29">
                  <c:v>43647</c:v>
                </c:pt>
                <c:pt idx="30">
                  <c:v>43739</c:v>
                </c:pt>
                <c:pt idx="31">
                  <c:v>43831</c:v>
                </c:pt>
                <c:pt idx="32">
                  <c:v>43922</c:v>
                </c:pt>
                <c:pt idx="33">
                  <c:v>44013</c:v>
                </c:pt>
                <c:pt idx="34">
                  <c:v>44105</c:v>
                </c:pt>
                <c:pt idx="35">
                  <c:v>44197</c:v>
                </c:pt>
                <c:pt idx="36">
                  <c:v>44287</c:v>
                </c:pt>
                <c:pt idx="37">
                  <c:v>44378</c:v>
                </c:pt>
                <c:pt idx="38">
                  <c:v>44470</c:v>
                </c:pt>
                <c:pt idx="39">
                  <c:v>44562</c:v>
                </c:pt>
                <c:pt idx="40">
                  <c:v>44652</c:v>
                </c:pt>
                <c:pt idx="41">
                  <c:v>44743</c:v>
                </c:pt>
                <c:pt idx="42">
                  <c:v>44835</c:v>
                </c:pt>
                <c:pt idx="43">
                  <c:v>44927</c:v>
                </c:pt>
                <c:pt idx="44">
                  <c:v>45017</c:v>
                </c:pt>
                <c:pt idx="45">
                  <c:v>45108</c:v>
                </c:pt>
                <c:pt idx="46">
                  <c:v>45200</c:v>
                </c:pt>
                <c:pt idx="47">
                  <c:v>45292</c:v>
                </c:pt>
                <c:pt idx="48">
                  <c:v>45383</c:v>
                </c:pt>
                <c:pt idx="49">
                  <c:v>45474</c:v>
                </c:pt>
                <c:pt idx="50">
                  <c:v>45566</c:v>
                </c:pt>
                <c:pt idx="51">
                  <c:v>45658</c:v>
                </c:pt>
                <c:pt idx="52">
                  <c:v>45748</c:v>
                </c:pt>
                <c:pt idx="53">
                  <c:v>45839</c:v>
                </c:pt>
                <c:pt idx="54">
                  <c:v>45931</c:v>
                </c:pt>
                <c:pt idx="55">
                  <c:v>46023</c:v>
                </c:pt>
                <c:pt idx="56">
                  <c:v>46113</c:v>
                </c:pt>
                <c:pt idx="57">
                  <c:v>46204</c:v>
                </c:pt>
              </c:numCache>
            </c:numRef>
          </c:cat>
          <c:val>
            <c:numRef>
              <c:f>Données!$C$29:$C$86</c:f>
              <c:numCache>
                <c:formatCode>General</c:formatCode>
                <c:ptCount val="58"/>
                <c:pt idx="0">
                  <c:v>102.318</c:v>
                </c:pt>
                <c:pt idx="1">
                  <c:v>136.53700000000001</c:v>
                </c:pt>
                <c:pt idx="2">
                  <c:v>110.59399999999999</c:v>
                </c:pt>
                <c:pt idx="3">
                  <c:v>89.754800000000003</c:v>
                </c:pt>
                <c:pt idx="4">
                  <c:v>80.249200000000002</c:v>
                </c:pt>
                <c:pt idx="5">
                  <c:v>88.398499999999999</c:v>
                </c:pt>
                <c:pt idx="6">
                  <c:v>77.635999999999996</c:v>
                </c:pt>
                <c:pt idx="7">
                  <c:v>72.128600000000006</c:v>
                </c:pt>
                <c:pt idx="8">
                  <c:v>66.03895</c:v>
                </c:pt>
                <c:pt idx="9">
                  <c:v>58.201520000000002</c:v>
                </c:pt>
                <c:pt idx="10">
                  <c:v>54.87529</c:v>
                </c:pt>
                <c:pt idx="11">
                  <c:v>54.152650000000001</c:v>
                </c:pt>
                <c:pt idx="12">
                  <c:v>48.991579999999999</c:v>
                </c:pt>
                <c:pt idx="13">
                  <c:v>65.943259999999995</c:v>
                </c:pt>
                <c:pt idx="14">
                  <c:v>89.426850000000002</c:v>
                </c:pt>
                <c:pt idx="15">
                  <c:v>81.299400000000006</c:v>
                </c:pt>
                <c:pt idx="16">
                  <c:v>72.153499999999994</c:v>
                </c:pt>
                <c:pt idx="17">
                  <c:v>64.460130000000007</c:v>
                </c:pt>
                <c:pt idx="18">
                  <c:v>61.534230000000001</c:v>
                </c:pt>
                <c:pt idx="19">
                  <c:v>63.687620000000003</c:v>
                </c:pt>
                <c:pt idx="20">
                  <c:v>54.084580000000003</c:v>
                </c:pt>
                <c:pt idx="21">
                  <c:v>49.052149999999997</c:v>
                </c:pt>
                <c:pt idx="22">
                  <c:v>37.844740000000002</c:v>
                </c:pt>
                <c:pt idx="23">
                  <c:v>33.71555</c:v>
                </c:pt>
                <c:pt idx="24">
                  <c:v>42.146949999999997</c:v>
                </c:pt>
                <c:pt idx="25">
                  <c:v>59.309150000000002</c:v>
                </c:pt>
                <c:pt idx="26">
                  <c:v>56.457529999999998</c:v>
                </c:pt>
                <c:pt idx="27">
                  <c:v>93.71942</c:v>
                </c:pt>
                <c:pt idx="28">
                  <c:v>65.411789999999996</c:v>
                </c:pt>
                <c:pt idx="29">
                  <c:v>53.307299999999998</c:v>
                </c:pt>
                <c:pt idx="30">
                  <c:v>49.465400000000002</c:v>
                </c:pt>
                <c:pt idx="31">
                  <c:v>48.105200000000004</c:v>
                </c:pt>
                <c:pt idx="32">
                  <c:v>179.453</c:v>
                </c:pt>
                <c:pt idx="33">
                  <c:v>90.908500000000004</c:v>
                </c:pt>
                <c:pt idx="34">
                  <c:v>56.6053</c:v>
                </c:pt>
                <c:pt idx="35">
                  <c:v>30.238099999999999</c:v>
                </c:pt>
                <c:pt idx="36">
                  <c:v>36.415500000000002</c:v>
                </c:pt>
                <c:pt idx="37">
                  <c:v>34.394199999999998</c:v>
                </c:pt>
                <c:pt idx="38">
                  <c:v>32.293399999999998</c:v>
                </c:pt>
                <c:pt idx="39">
                  <c:v>41.439300000000003</c:v>
                </c:pt>
                <c:pt idx="40">
                  <c:v>61.680199999999999</c:v>
                </c:pt>
                <c:pt idx="41">
                  <c:v>132</c:v>
                </c:pt>
                <c:pt idx="42">
                  <c:v>111.011</c:v>
                </c:pt>
                <c:pt idx="43">
                  <c:v>91.101399999999998</c:v>
                </c:pt>
                <c:pt idx="44">
                  <c:v>88.859700000000004</c:v>
                </c:pt>
                <c:pt idx="45">
                  <c:v>84.256600000000006</c:v>
                </c:pt>
                <c:pt idx="46">
                  <c:v>83.673400000000001</c:v>
                </c:pt>
                <c:pt idx="47">
                  <c:v>81.540999999999997</c:v>
                </c:pt>
                <c:pt idx="48">
                  <c:v>73.703299999999999</c:v>
                </c:pt>
                <c:pt idx="49">
                  <c:v>73.437600000000003</c:v>
                </c:pt>
                <c:pt idx="50">
                  <c:v>82.930499999999995</c:v>
                </c:pt>
                <c:pt idx="51">
                  <c:v>85.077500000000001</c:v>
                </c:pt>
                <c:pt idx="52">
                  <c:v>84.947400000000002</c:v>
                </c:pt>
                <c:pt idx="53">
                  <c:v>76.473100000000002</c:v>
                </c:pt>
                <c:pt idx="54">
                  <c:v>66.638199999999998</c:v>
                </c:pt>
                <c:pt idx="55">
                  <c:v>62.917700000000004</c:v>
                </c:pt>
                <c:pt idx="56">
                  <c:v>74.352800000000002</c:v>
                </c:pt>
                <c:pt idx="57">
                  <c:v>61.6511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2-4C5B-9CE7-D1DFA76E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978655"/>
        <c:axId val="1014980319"/>
      </c:lineChart>
      <c:dateAx>
        <c:axId val="1014978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4980319"/>
        <c:crosses val="autoZero"/>
        <c:auto val="1"/>
        <c:lblOffset val="100"/>
        <c:baseTimeUnit val="days"/>
      </c:dateAx>
      <c:valAx>
        <c:axId val="101498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497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ADA846-11C1-418E-907A-170F8090DE54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214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086D26-4D25-4D39-BD8A-62E0ACBC5F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A04A-FFF0-4ABC-BA48-E0B7F09D3750}">
  <dimension ref="A1:M574"/>
  <sheetViews>
    <sheetView topLeftCell="A19" workbookViewId="0">
      <selection activeCell="A86" sqref="A86"/>
    </sheetView>
  </sheetViews>
  <sheetFormatPr baseColWidth="10" defaultRowHeight="15" x14ac:dyDescent="0.25"/>
  <sheetData>
    <row r="1" spans="1:13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K1" t="s">
        <v>5</v>
      </c>
      <c r="L1" t="s">
        <v>6</v>
      </c>
      <c r="M1" t="s">
        <v>7</v>
      </c>
    </row>
    <row r="2" spans="1:13" x14ac:dyDescent="0.25">
      <c r="A2" s="1" t="str" cm="1">
        <f t="array" ref="A2:K87">_xll.BQL("EUOHHYTO Index; EUOAIGTO Index; GTFRF10Y Govt; GTDEM10Y Govt; CBNP1E5 Curncy; CY194272 Curncy; CBFC1E5 Curncy; CCAI1E5 Curncy; CSOC1E5 Curncy; CAC Index", "px_last(dates=range(2006-01-01;btoday();frq=q))", "fill=prev")</f>
        <v/>
      </c>
      <c r="B2" t="str">
        <v>EUOHHYTO Index</v>
      </c>
      <c r="C2" t="str">
        <v>EUOAIGTO Index</v>
      </c>
      <c r="D2" t="str">
        <v>GTFRF10Y Govt</v>
      </c>
      <c r="E2" t="str">
        <v>GTDEM10Y Govt</v>
      </c>
      <c r="F2" t="str">
        <v>CBNP1E5 Curncy</v>
      </c>
      <c r="G2" t="str">
        <v>CY194272 Curncy</v>
      </c>
      <c r="H2" t="str">
        <v>CBFC1E5 Curncy</v>
      </c>
      <c r="I2" t="str">
        <v>CCAI1E5 Curncy</v>
      </c>
      <c r="J2" t="str">
        <v>CSOC1E5 Curncy</v>
      </c>
      <c r="K2" t="str">
        <v>CAC Index</v>
      </c>
    </row>
    <row r="3" spans="1:13" x14ac:dyDescent="0.25">
      <c r="A3" t="str">
        <v>DATES</v>
      </c>
      <c r="B3" t="str">
        <v>px_last(dates=range(2006-01-01,today(),frq=q))</v>
      </c>
      <c r="C3" t="str">
        <v>px_last(dates=range(2006-01-01,today(),frq=q))</v>
      </c>
      <c r="D3" t="str">
        <v>px_last(dates=range(2006-01-01,today(),frq=q))</v>
      </c>
      <c r="E3" t="str">
        <v>px_last(dates=range(2006-01-01,today(),frq=q))</v>
      </c>
      <c r="F3" t="str">
        <v>px_last(dates=range(2006-01-01,today(),frq=q))</v>
      </c>
      <c r="G3" t="str">
        <v>px_last(dates=range(2006-01-01,today(),frq=q))</v>
      </c>
      <c r="H3" t="str">
        <v>px_last(dates=range(2006-01-01,today(),frq=q))</v>
      </c>
      <c r="I3" t="str">
        <v>px_last(dates=range(2006-01-01,today(),frq=q))</v>
      </c>
      <c r="J3" t="str">
        <v>px_last(dates=range(2006-01-01,today(),frq=q))</v>
      </c>
      <c r="K3" t="str">
        <v>px_last(dates=range(2006-01-01,today(),frq=q))</v>
      </c>
    </row>
    <row r="4" spans="1:13" x14ac:dyDescent="0.25">
      <c r="A4" s="2">
        <v>38718</v>
      </c>
      <c r="B4" t="e">
        <v>#N/A</v>
      </c>
      <c r="C4" t="e">
        <v>#N/A</v>
      </c>
      <c r="D4">
        <v>3.3039999999999998</v>
      </c>
      <c r="E4">
        <v>3.3090000000000002</v>
      </c>
      <c r="F4">
        <v>7.9166670000000003</v>
      </c>
      <c r="G4" t="e">
        <v>#N/A</v>
      </c>
      <c r="H4" t="e">
        <v>#N/A</v>
      </c>
      <c r="I4">
        <v>8</v>
      </c>
      <c r="J4">
        <v>8.7000349999999997</v>
      </c>
      <c r="K4">
        <v>4715.2299999999996</v>
      </c>
      <c r="L4" s="3">
        <f>AVERAGE(F4,I4:J4)</f>
        <v>8.2055673333333328</v>
      </c>
      <c r="M4">
        <f>IF(A4="","",D4-E4)</f>
        <v>-5.0000000000003375E-3</v>
      </c>
    </row>
    <row r="5" spans="1:13" x14ac:dyDescent="0.25">
      <c r="A5" s="2">
        <v>38808</v>
      </c>
      <c r="B5" t="e">
        <v>#N/A</v>
      </c>
      <c r="C5" t="e">
        <v>#N/A</v>
      </c>
      <c r="D5">
        <v>3.8069999999999999</v>
      </c>
      <c r="E5">
        <v>3.7709999999999999</v>
      </c>
      <c r="F5">
        <v>7.6389319999999996</v>
      </c>
      <c r="G5" t="e">
        <v>#N/A</v>
      </c>
      <c r="H5" t="e">
        <v>#N/A</v>
      </c>
      <c r="I5">
        <v>8.1666670000000003</v>
      </c>
      <c r="J5">
        <v>8.5312739999999998</v>
      </c>
      <c r="K5">
        <v>5220.8500000000004</v>
      </c>
      <c r="L5" s="3">
        <f>AVERAGE(I5:J5,F5)</f>
        <v>8.1122910000000008</v>
      </c>
      <c r="M5">
        <f t="shared" ref="M5:M68" si="0">IF(A5="","",D5-E5)</f>
        <v>3.6000000000000032E-2</v>
      </c>
    </row>
    <row r="6" spans="1:13" x14ac:dyDescent="0.25">
      <c r="A6" s="2">
        <v>38899</v>
      </c>
      <c r="B6" t="e">
        <v>#N/A</v>
      </c>
      <c r="C6" t="e">
        <v>#N/A</v>
      </c>
      <c r="D6">
        <v>4.0789999999999997</v>
      </c>
      <c r="E6">
        <v>4.0709999999999997</v>
      </c>
      <c r="F6">
        <v>7.642919</v>
      </c>
      <c r="G6" t="e">
        <v>#N/A</v>
      </c>
      <c r="H6" t="e">
        <v>#N/A</v>
      </c>
      <c r="I6">
        <v>8.3333329999999997</v>
      </c>
      <c r="J6">
        <v>7.8571739999999997</v>
      </c>
      <c r="K6">
        <v>4965.96</v>
      </c>
      <c r="L6" s="3">
        <f t="shared" ref="L6:L35" si="1">AVERAGE(I6:J6,F6)</f>
        <v>7.9444753333333331</v>
      </c>
      <c r="M6">
        <f t="shared" si="0"/>
        <v>8.0000000000000071E-3</v>
      </c>
    </row>
    <row r="7" spans="1:13" x14ac:dyDescent="0.25">
      <c r="A7" s="2">
        <v>38991</v>
      </c>
      <c r="B7" t="e">
        <v>#N/A</v>
      </c>
      <c r="C7" t="e">
        <v>#N/A</v>
      </c>
      <c r="D7">
        <v>3.72</v>
      </c>
      <c r="E7">
        <v>3.7090000000000001</v>
      </c>
      <c r="F7">
        <v>6.2916670000000003</v>
      </c>
      <c r="G7" t="e">
        <v>#N/A</v>
      </c>
      <c r="H7" t="e">
        <v>#N/A</v>
      </c>
      <c r="I7">
        <v>6.5</v>
      </c>
      <c r="J7">
        <v>6.875</v>
      </c>
      <c r="K7">
        <v>5250.01</v>
      </c>
      <c r="L7" s="3">
        <f t="shared" si="1"/>
        <v>6.5555556666666668</v>
      </c>
      <c r="M7">
        <f t="shared" si="0"/>
        <v>1.1000000000000121E-2</v>
      </c>
    </row>
    <row r="8" spans="1:13" x14ac:dyDescent="0.25">
      <c r="A8" s="2">
        <v>39083</v>
      </c>
      <c r="B8" t="e">
        <v>#N/A</v>
      </c>
      <c r="C8" t="e">
        <v>#N/A</v>
      </c>
      <c r="D8">
        <v>3.984</v>
      </c>
      <c r="E8">
        <v>3.9430000000000001</v>
      </c>
      <c r="F8">
        <v>5.875</v>
      </c>
      <c r="G8" t="e">
        <v>#N/A</v>
      </c>
      <c r="H8" t="e">
        <v>#N/A</v>
      </c>
      <c r="I8">
        <v>6.3333329999999997</v>
      </c>
      <c r="J8">
        <v>6.125</v>
      </c>
      <c r="K8">
        <v>5541.76</v>
      </c>
      <c r="L8" s="3">
        <f t="shared" si="1"/>
        <v>6.1111110000000002</v>
      </c>
      <c r="M8">
        <f t="shared" si="0"/>
        <v>4.0999999999999925E-2</v>
      </c>
    </row>
    <row r="9" spans="1:13" x14ac:dyDescent="0.25">
      <c r="A9" s="2">
        <v>39173</v>
      </c>
      <c r="B9" t="e">
        <v>#N/A</v>
      </c>
      <c r="C9" t="e">
        <v>#N/A</v>
      </c>
      <c r="D9">
        <v>4.1130000000000004</v>
      </c>
      <c r="E9">
        <v>4.0570000000000004</v>
      </c>
      <c r="F9">
        <v>6.3125</v>
      </c>
      <c r="G9" t="e">
        <v>#N/A</v>
      </c>
      <c r="H9" t="e">
        <v>#N/A</v>
      </c>
      <c r="I9">
        <v>7.375</v>
      </c>
      <c r="J9">
        <v>6.8457140000000001</v>
      </c>
      <c r="K9">
        <v>5634.16</v>
      </c>
      <c r="L9" s="3">
        <f t="shared" si="1"/>
        <v>6.8444046666666667</v>
      </c>
      <c r="M9">
        <f t="shared" si="0"/>
        <v>5.600000000000005E-2</v>
      </c>
    </row>
    <row r="10" spans="1:13" x14ac:dyDescent="0.25">
      <c r="A10" s="2">
        <v>39264</v>
      </c>
      <c r="B10" t="e">
        <v>#N/A</v>
      </c>
      <c r="C10" t="e">
        <v>#N/A</v>
      </c>
      <c r="D10">
        <v>4.62</v>
      </c>
      <c r="E10">
        <v>4.5739999999999998</v>
      </c>
      <c r="F10">
        <v>7.53125</v>
      </c>
      <c r="G10" t="e">
        <v>#N/A</v>
      </c>
      <c r="H10" t="e">
        <v>#N/A</v>
      </c>
      <c r="I10">
        <v>7.8</v>
      </c>
      <c r="J10">
        <v>7.9285709999999998</v>
      </c>
      <c r="K10">
        <v>6054.93</v>
      </c>
      <c r="L10" s="3">
        <f t="shared" si="1"/>
        <v>7.753273666666666</v>
      </c>
      <c r="M10">
        <f t="shared" si="0"/>
        <v>4.6000000000000263E-2</v>
      </c>
    </row>
    <row r="11" spans="1:13" x14ac:dyDescent="0.25">
      <c r="A11" s="2">
        <v>39356</v>
      </c>
      <c r="B11" t="e">
        <v>#N/A</v>
      </c>
      <c r="C11" t="e">
        <v>#N/A</v>
      </c>
      <c r="D11">
        <v>4.41</v>
      </c>
      <c r="E11">
        <v>4.3230000000000004</v>
      </c>
      <c r="F11">
        <v>22.9925</v>
      </c>
      <c r="G11" t="e">
        <v>#N/A</v>
      </c>
      <c r="H11" t="e">
        <v>#N/A</v>
      </c>
      <c r="I11">
        <v>23.997499999999999</v>
      </c>
      <c r="J11">
        <v>24.233499999999999</v>
      </c>
      <c r="K11">
        <v>5773.26</v>
      </c>
      <c r="L11" s="3">
        <f t="shared" si="1"/>
        <v>23.741166666666668</v>
      </c>
      <c r="M11">
        <f t="shared" si="0"/>
        <v>8.6999999999999744E-2</v>
      </c>
    </row>
    <row r="12" spans="1:13" x14ac:dyDescent="0.25">
      <c r="A12" s="2">
        <v>39448</v>
      </c>
      <c r="B12" t="e">
        <v>#N/A</v>
      </c>
      <c r="C12" t="e">
        <v>#N/A</v>
      </c>
      <c r="D12">
        <v>4.42</v>
      </c>
      <c r="E12">
        <v>4.3019999999999996</v>
      </c>
      <c r="F12">
        <v>27.721</v>
      </c>
      <c r="G12" t="e">
        <v>#N/A</v>
      </c>
      <c r="H12" t="e">
        <v>#N/A</v>
      </c>
      <c r="I12">
        <v>40.997500000000002</v>
      </c>
      <c r="J12">
        <v>29.725999999999999</v>
      </c>
      <c r="K12">
        <v>5614.08</v>
      </c>
      <c r="L12" s="3">
        <f t="shared" si="1"/>
        <v>32.814833333333333</v>
      </c>
      <c r="M12">
        <f t="shared" si="0"/>
        <v>0.11800000000000033</v>
      </c>
    </row>
    <row r="13" spans="1:13" x14ac:dyDescent="0.25">
      <c r="A13" s="2">
        <v>39539</v>
      </c>
      <c r="B13" t="e">
        <v>#N/A</v>
      </c>
      <c r="C13" t="e">
        <v>#N/A</v>
      </c>
      <c r="D13">
        <v>4.165</v>
      </c>
      <c r="E13">
        <v>3.9740000000000002</v>
      </c>
      <c r="F13">
        <v>71.674999999999997</v>
      </c>
      <c r="G13" t="e">
        <v>#N/A</v>
      </c>
      <c r="H13" t="e">
        <v>#N/A</v>
      </c>
      <c r="I13">
        <v>99.233500000000006</v>
      </c>
      <c r="J13">
        <v>96.68</v>
      </c>
      <c r="K13">
        <v>4866</v>
      </c>
      <c r="L13" s="3">
        <f t="shared" si="1"/>
        <v>89.19616666666667</v>
      </c>
      <c r="M13">
        <f t="shared" si="0"/>
        <v>0.19099999999999984</v>
      </c>
    </row>
    <row r="14" spans="1:13" x14ac:dyDescent="0.25">
      <c r="A14" s="2">
        <v>39630</v>
      </c>
      <c r="B14" t="e">
        <v>#N/A</v>
      </c>
      <c r="C14" t="e">
        <v>#N/A</v>
      </c>
      <c r="D14">
        <v>4.7910000000000004</v>
      </c>
      <c r="E14">
        <v>4.6073899999999997</v>
      </c>
      <c r="F14">
        <v>70.236000000000004</v>
      </c>
      <c r="G14" t="e">
        <v>#N/A</v>
      </c>
      <c r="H14" t="e">
        <v>#N/A</v>
      </c>
      <c r="I14">
        <v>106.741</v>
      </c>
      <c r="J14">
        <v>97.504999999999995</v>
      </c>
      <c r="K14">
        <v>4341.21</v>
      </c>
      <c r="L14" s="3">
        <f t="shared" si="1"/>
        <v>91.493999999999986</v>
      </c>
      <c r="M14">
        <f t="shared" si="0"/>
        <v>0.18361000000000072</v>
      </c>
    </row>
    <row r="15" spans="1:13" x14ac:dyDescent="0.25">
      <c r="A15" s="2">
        <v>39722</v>
      </c>
      <c r="B15" t="e">
        <v>#N/A</v>
      </c>
      <c r="C15" t="e">
        <v>#N/A</v>
      </c>
      <c r="D15">
        <v>4.3259999999999996</v>
      </c>
      <c r="E15">
        <v>3.995393</v>
      </c>
      <c r="F15">
        <v>88.638999999999996</v>
      </c>
      <c r="G15" t="e">
        <v>#N/A</v>
      </c>
      <c r="H15" t="e">
        <v>#N/A</v>
      </c>
      <c r="I15">
        <v>115.8378</v>
      </c>
      <c r="J15">
        <v>129.02000000000001</v>
      </c>
      <c r="K15">
        <v>4054.54</v>
      </c>
      <c r="L15" s="3">
        <f t="shared" si="1"/>
        <v>111.1656</v>
      </c>
      <c r="M15">
        <f t="shared" si="0"/>
        <v>0.33060699999999965</v>
      </c>
    </row>
    <row r="16" spans="1:13" x14ac:dyDescent="0.25">
      <c r="A16" s="2">
        <v>39814</v>
      </c>
      <c r="B16" t="e">
        <v>#N/A</v>
      </c>
      <c r="C16" t="e">
        <v>#N/A</v>
      </c>
      <c r="D16">
        <v>3.415</v>
      </c>
      <c r="E16">
        <v>2.9504049999999999</v>
      </c>
      <c r="F16">
        <v>71.307000000000002</v>
      </c>
      <c r="G16" t="e">
        <v>#N/A</v>
      </c>
      <c r="H16" t="e">
        <v>#N/A</v>
      </c>
      <c r="I16">
        <v>82.882999999999996</v>
      </c>
      <c r="J16">
        <v>109.4362</v>
      </c>
      <c r="K16">
        <v>3217.97</v>
      </c>
      <c r="L16" s="3">
        <f t="shared" si="1"/>
        <v>87.875399999999999</v>
      </c>
      <c r="M16">
        <f t="shared" si="0"/>
        <v>0.46459500000000009</v>
      </c>
    </row>
    <row r="17" spans="1:13" x14ac:dyDescent="0.25">
      <c r="A17" s="2">
        <v>39904</v>
      </c>
      <c r="B17" t="e">
        <v>#N/A</v>
      </c>
      <c r="C17" t="e">
        <v>#N/A</v>
      </c>
      <c r="D17">
        <v>3.5529999999999999</v>
      </c>
      <c r="E17">
        <v>2.9935679999999998</v>
      </c>
      <c r="F17">
        <v>112.5462</v>
      </c>
      <c r="G17" t="e">
        <v>#N/A</v>
      </c>
      <c r="H17" t="e">
        <v>#N/A</v>
      </c>
      <c r="I17">
        <v>122.60890000000001</v>
      </c>
      <c r="J17">
        <v>123.2261</v>
      </c>
      <c r="K17">
        <v>2839.61</v>
      </c>
      <c r="L17" s="3">
        <f t="shared" si="1"/>
        <v>119.46040000000001</v>
      </c>
      <c r="M17">
        <f t="shared" si="0"/>
        <v>0.55943200000000015</v>
      </c>
    </row>
    <row r="18" spans="1:13" x14ac:dyDescent="0.25">
      <c r="A18" s="2">
        <v>39995</v>
      </c>
      <c r="B18" t="e">
        <v>#N/A</v>
      </c>
      <c r="C18" t="e">
        <v>#N/A</v>
      </c>
      <c r="D18">
        <v>3.7589999999999999</v>
      </c>
      <c r="E18">
        <v>3.4135270000000002</v>
      </c>
      <c r="F18">
        <v>66.201350000000005</v>
      </c>
      <c r="G18" t="e">
        <v>#N/A</v>
      </c>
      <c r="H18" t="e">
        <v>#N/A</v>
      </c>
      <c r="I18">
        <v>106.2634</v>
      </c>
      <c r="J18">
        <v>94.940600000000003</v>
      </c>
      <c r="K18">
        <v>3217</v>
      </c>
      <c r="L18" s="3">
        <f t="shared" si="1"/>
        <v>89.135116666666661</v>
      </c>
      <c r="M18">
        <f t="shared" si="0"/>
        <v>0.3454729999999997</v>
      </c>
    </row>
    <row r="19" spans="1:13" x14ac:dyDescent="0.25">
      <c r="A19" s="2">
        <v>40087</v>
      </c>
      <c r="B19" t="e">
        <v>#N/A</v>
      </c>
      <c r="C19" t="e">
        <v>#N/A</v>
      </c>
      <c r="D19">
        <v>3.5259999999999998</v>
      </c>
      <c r="E19">
        <v>3.1568960000000001</v>
      </c>
      <c r="F19">
        <v>56.79</v>
      </c>
      <c r="G19" t="e">
        <v>#N/A</v>
      </c>
      <c r="H19" t="e">
        <v>#N/A</v>
      </c>
      <c r="I19">
        <v>81.787000000000006</v>
      </c>
      <c r="J19">
        <v>82.762500000000003</v>
      </c>
      <c r="K19">
        <v>3720.77</v>
      </c>
      <c r="L19" s="3">
        <f t="shared" si="1"/>
        <v>73.779833333333343</v>
      </c>
      <c r="M19">
        <f t="shared" si="0"/>
        <v>0.36910399999999965</v>
      </c>
    </row>
    <row r="20" spans="1:13" x14ac:dyDescent="0.25">
      <c r="A20" s="2">
        <v>40179</v>
      </c>
      <c r="B20" t="e">
        <v>#N/A</v>
      </c>
      <c r="C20" t="e">
        <v>#N/A</v>
      </c>
      <c r="D20">
        <v>3.5939999999999999</v>
      </c>
      <c r="E20">
        <v>3.3872640000000001</v>
      </c>
      <c r="F20">
        <v>60.839039999999997</v>
      </c>
      <c r="G20" t="e">
        <v>#N/A</v>
      </c>
      <c r="H20" t="e">
        <v>#N/A</v>
      </c>
      <c r="I20">
        <v>79.706990000000005</v>
      </c>
      <c r="J20">
        <v>75.929000000000002</v>
      </c>
      <c r="K20">
        <v>3936.33</v>
      </c>
      <c r="L20" s="3">
        <f t="shared" si="1"/>
        <v>72.158343333333335</v>
      </c>
      <c r="M20">
        <f t="shared" si="0"/>
        <v>0.20673599999999981</v>
      </c>
    </row>
    <row r="21" spans="1:13" x14ac:dyDescent="0.25">
      <c r="A21" s="2">
        <v>40269</v>
      </c>
      <c r="B21" t="e">
        <v>#N/A</v>
      </c>
      <c r="C21" t="e">
        <v>#N/A</v>
      </c>
      <c r="D21">
        <v>3.4009999999999998</v>
      </c>
      <c r="E21">
        <v>3.0879949999999998</v>
      </c>
      <c r="F21">
        <v>70.11927</v>
      </c>
      <c r="G21" t="e">
        <v>#N/A</v>
      </c>
      <c r="H21" t="e">
        <v>#N/A</v>
      </c>
      <c r="I21">
        <v>85.816029999999998</v>
      </c>
      <c r="J21">
        <v>83.621319999999997</v>
      </c>
      <c r="K21">
        <v>4034.23</v>
      </c>
      <c r="L21" s="3">
        <f t="shared" si="1"/>
        <v>79.85220666666666</v>
      </c>
      <c r="M21">
        <f t="shared" si="0"/>
        <v>0.31300499999999998</v>
      </c>
    </row>
    <row r="22" spans="1:13" x14ac:dyDescent="0.25">
      <c r="A22" s="2">
        <v>40360</v>
      </c>
      <c r="B22" t="e">
        <v>#N/A</v>
      </c>
      <c r="C22" t="e">
        <v>#N/A</v>
      </c>
      <c r="D22">
        <v>2.9980000000000002</v>
      </c>
      <c r="E22">
        <v>2.5659670000000001</v>
      </c>
      <c r="F22">
        <v>129.46039999999999</v>
      </c>
      <c r="G22" t="e">
        <v>#N/A</v>
      </c>
      <c r="H22" t="e">
        <v>#N/A</v>
      </c>
      <c r="I22">
        <v>158.58199999999999</v>
      </c>
      <c r="J22">
        <v>144.28620000000001</v>
      </c>
      <c r="K22">
        <v>3339.9</v>
      </c>
      <c r="L22" s="3">
        <f t="shared" si="1"/>
        <v>144.10953333333333</v>
      </c>
      <c r="M22">
        <f t="shared" si="0"/>
        <v>0.43203300000000011</v>
      </c>
    </row>
    <row r="23" spans="1:13" x14ac:dyDescent="0.25">
      <c r="A23" s="2">
        <v>40452</v>
      </c>
      <c r="B23" t="e">
        <v>#N/A</v>
      </c>
      <c r="C23" t="e">
        <v>#N/A</v>
      </c>
      <c r="D23">
        <v>2.6539999999999999</v>
      </c>
      <c r="E23">
        <v>2.286143</v>
      </c>
      <c r="F23">
        <v>97.174099999999996</v>
      </c>
      <c r="G23" t="e">
        <v>#N/A</v>
      </c>
      <c r="H23" t="e">
        <v>#N/A</v>
      </c>
      <c r="I23">
        <v>127.8259</v>
      </c>
      <c r="J23">
        <v>119.36799999999999</v>
      </c>
      <c r="K23">
        <v>3692.09</v>
      </c>
      <c r="L23" s="3">
        <f t="shared" si="1"/>
        <v>114.78933333333333</v>
      </c>
      <c r="M23">
        <f t="shared" si="0"/>
        <v>0.36785699999999988</v>
      </c>
    </row>
    <row r="24" spans="1:13" x14ac:dyDescent="0.25">
      <c r="A24" s="2">
        <v>40544</v>
      </c>
      <c r="B24" t="e">
        <v>#N/A</v>
      </c>
      <c r="C24" t="e">
        <v>#N/A</v>
      </c>
      <c r="D24">
        <v>3.3620000000000001</v>
      </c>
      <c r="E24">
        <v>2.963295</v>
      </c>
      <c r="F24">
        <v>113.432</v>
      </c>
      <c r="G24" t="e">
        <v>#N/A</v>
      </c>
      <c r="H24" t="e">
        <v>#N/A</v>
      </c>
      <c r="I24">
        <v>164.83189999999999</v>
      </c>
      <c r="J24">
        <v>158.52879999999999</v>
      </c>
      <c r="K24">
        <v>3804.78</v>
      </c>
      <c r="L24" s="3">
        <f t="shared" si="1"/>
        <v>145.59756666666667</v>
      </c>
      <c r="M24">
        <f t="shared" si="0"/>
        <v>0.39870500000000009</v>
      </c>
    </row>
    <row r="25" spans="1:13" x14ac:dyDescent="0.25">
      <c r="A25" s="2">
        <v>40634</v>
      </c>
      <c r="B25" t="e">
        <v>#N/A</v>
      </c>
      <c r="C25" t="e">
        <v>#N/A</v>
      </c>
      <c r="D25">
        <v>3.7214999999999998</v>
      </c>
      <c r="E25">
        <v>3.3707090000000002</v>
      </c>
      <c r="F25">
        <v>92.654349999999994</v>
      </c>
      <c r="G25" t="e">
        <v>#N/A</v>
      </c>
      <c r="H25" t="e">
        <v>#N/A</v>
      </c>
      <c r="I25">
        <v>124.20399999999999</v>
      </c>
      <c r="J25">
        <v>122.5966</v>
      </c>
      <c r="K25">
        <v>4054.76</v>
      </c>
      <c r="L25" s="3">
        <f t="shared" si="1"/>
        <v>113.15164999999998</v>
      </c>
      <c r="M25">
        <f t="shared" si="0"/>
        <v>0.35079099999999963</v>
      </c>
    </row>
    <row r="26" spans="1:13" x14ac:dyDescent="0.25">
      <c r="A26" s="2">
        <v>40725</v>
      </c>
      <c r="B26" t="e">
        <v>#N/A</v>
      </c>
      <c r="C26" t="e">
        <v>#N/A</v>
      </c>
      <c r="D26">
        <v>3.4064999999999999</v>
      </c>
      <c r="E26">
        <v>3.0323730000000002</v>
      </c>
      <c r="F26">
        <v>112.983</v>
      </c>
      <c r="G26" t="e">
        <v>#N/A</v>
      </c>
      <c r="H26" t="e">
        <v>#N/A</v>
      </c>
      <c r="I26">
        <v>133.2877</v>
      </c>
      <c r="J26">
        <v>132.01320000000001</v>
      </c>
      <c r="K26">
        <v>4007.35</v>
      </c>
      <c r="L26" s="3">
        <f t="shared" si="1"/>
        <v>126.09463333333333</v>
      </c>
      <c r="M26">
        <f t="shared" si="0"/>
        <v>0.37412699999999965</v>
      </c>
    </row>
    <row r="27" spans="1:13" x14ac:dyDescent="0.25">
      <c r="A27" s="2">
        <v>40817</v>
      </c>
      <c r="B27" t="e">
        <v>#N/A</v>
      </c>
      <c r="C27" t="e">
        <v>#N/A</v>
      </c>
      <c r="D27">
        <v>2.5960000000000001</v>
      </c>
      <c r="E27">
        <v>1.885324</v>
      </c>
      <c r="F27">
        <v>255.96190000000001</v>
      </c>
      <c r="G27" t="e">
        <v>#N/A</v>
      </c>
      <c r="H27" t="e">
        <v>#N/A</v>
      </c>
      <c r="I27">
        <v>249.88589999999999</v>
      </c>
      <c r="J27">
        <v>339.83499999999998</v>
      </c>
      <c r="K27">
        <v>2981.96</v>
      </c>
      <c r="L27" s="3">
        <f t="shared" si="1"/>
        <v>281.89426666666668</v>
      </c>
      <c r="M27">
        <f t="shared" si="0"/>
        <v>0.71067600000000009</v>
      </c>
    </row>
    <row r="28" spans="1:13" x14ac:dyDescent="0.25">
      <c r="A28" s="2">
        <v>40909</v>
      </c>
      <c r="B28" t="e">
        <v>#N/A</v>
      </c>
      <c r="C28" t="e">
        <v>#N/A</v>
      </c>
      <c r="D28">
        <v>3.137</v>
      </c>
      <c r="E28">
        <v>1.825002</v>
      </c>
      <c r="F28">
        <v>257.93709999999999</v>
      </c>
      <c r="G28" t="e">
        <v>#N/A</v>
      </c>
      <c r="H28" t="e">
        <v>#N/A</v>
      </c>
      <c r="I28">
        <v>264.22390000000001</v>
      </c>
      <c r="J28">
        <v>338.9776</v>
      </c>
      <c r="K28">
        <v>3159.81</v>
      </c>
      <c r="L28" s="3">
        <f t="shared" si="1"/>
        <v>287.0462</v>
      </c>
      <c r="M28">
        <f t="shared" si="0"/>
        <v>1.311998</v>
      </c>
    </row>
    <row r="29" spans="1:13" x14ac:dyDescent="0.25">
      <c r="A29" s="2">
        <v>41000</v>
      </c>
      <c r="B29">
        <v>489.04399999999998</v>
      </c>
      <c r="C29">
        <v>102.318</v>
      </c>
      <c r="D29">
        <v>2.8795000000000002</v>
      </c>
      <c r="E29">
        <v>1.7922389999999999</v>
      </c>
      <c r="F29">
        <v>219.29060000000001</v>
      </c>
      <c r="G29" t="e">
        <v>#N/A</v>
      </c>
      <c r="H29" t="e">
        <v>#N/A</v>
      </c>
      <c r="I29">
        <v>262.83710000000002</v>
      </c>
      <c r="J29">
        <v>281.4932</v>
      </c>
      <c r="K29">
        <v>3423.81</v>
      </c>
      <c r="L29" s="3">
        <f t="shared" si="1"/>
        <v>254.54030000000003</v>
      </c>
      <c r="M29">
        <f t="shared" si="0"/>
        <v>1.0872610000000003</v>
      </c>
    </row>
    <row r="30" spans="1:13" x14ac:dyDescent="0.25">
      <c r="A30" s="2">
        <v>41091</v>
      </c>
      <c r="B30">
        <v>558.221</v>
      </c>
      <c r="C30">
        <v>136.53700000000001</v>
      </c>
      <c r="D30">
        <v>2.6789999999999998</v>
      </c>
      <c r="E30">
        <v>1.5810839999999999</v>
      </c>
      <c r="F30">
        <v>249.8503</v>
      </c>
      <c r="G30" t="e">
        <v>#N/A</v>
      </c>
      <c r="H30" t="e">
        <v>#N/A</v>
      </c>
      <c r="I30">
        <v>306.08170000000001</v>
      </c>
      <c r="J30">
        <v>300.21010000000001</v>
      </c>
      <c r="K30">
        <v>3196.65</v>
      </c>
      <c r="L30" s="3">
        <f t="shared" si="1"/>
        <v>285.38069999999999</v>
      </c>
      <c r="M30">
        <f t="shared" si="0"/>
        <v>1.0979159999999999</v>
      </c>
    </row>
    <row r="31" spans="1:13" x14ac:dyDescent="0.25">
      <c r="A31" s="2">
        <v>41183</v>
      </c>
      <c r="B31">
        <v>484.77699999999999</v>
      </c>
      <c r="C31">
        <v>110.59399999999999</v>
      </c>
      <c r="D31">
        <v>2.1884999999999999</v>
      </c>
      <c r="E31">
        <v>1.4489650000000001</v>
      </c>
      <c r="F31">
        <v>182.0291</v>
      </c>
      <c r="G31" t="e">
        <v>#N/A</v>
      </c>
      <c r="H31" t="e">
        <v>#N/A</v>
      </c>
      <c r="I31">
        <v>233.19159999999999</v>
      </c>
      <c r="J31">
        <v>234.24430000000001</v>
      </c>
      <c r="K31">
        <v>3434.98</v>
      </c>
      <c r="L31" s="3">
        <f t="shared" si="1"/>
        <v>216.48833333333334</v>
      </c>
      <c r="M31">
        <f t="shared" si="0"/>
        <v>0.73953499999999983</v>
      </c>
    </row>
    <row r="32" spans="1:13" x14ac:dyDescent="0.25">
      <c r="A32" s="2">
        <v>41275</v>
      </c>
      <c r="B32">
        <v>375.22500000000002</v>
      </c>
      <c r="C32">
        <v>89.754800000000003</v>
      </c>
      <c r="D32">
        <v>1.9884999999999999</v>
      </c>
      <c r="E32">
        <v>1.3138190000000001</v>
      </c>
      <c r="F32">
        <v>137.0652</v>
      </c>
      <c r="G32" t="e">
        <v>#N/A</v>
      </c>
      <c r="H32">
        <v>153.32599999999999</v>
      </c>
      <c r="I32">
        <v>155.6516</v>
      </c>
      <c r="J32">
        <v>169.33330000000001</v>
      </c>
      <c r="K32">
        <v>3641.07</v>
      </c>
      <c r="L32" s="3">
        <f t="shared" si="1"/>
        <v>154.01670000000001</v>
      </c>
      <c r="M32">
        <f t="shared" si="0"/>
        <v>0.67468099999999986</v>
      </c>
    </row>
    <row r="33" spans="1:13" x14ac:dyDescent="0.25">
      <c r="A33" s="2">
        <v>41365</v>
      </c>
      <c r="B33">
        <v>377.89499999999998</v>
      </c>
      <c r="C33">
        <v>80.249200000000002</v>
      </c>
      <c r="D33">
        <v>2.0215000000000001</v>
      </c>
      <c r="E33">
        <v>1.287784</v>
      </c>
      <c r="F33">
        <v>176.6781</v>
      </c>
      <c r="G33" t="e">
        <v>#N/A</v>
      </c>
      <c r="H33">
        <v>162.363</v>
      </c>
      <c r="I33">
        <v>215.01570000000001</v>
      </c>
      <c r="J33">
        <v>215.44720000000001</v>
      </c>
      <c r="K33">
        <v>3731.42</v>
      </c>
      <c r="L33" s="3">
        <f t="shared" si="1"/>
        <v>202.38033333333331</v>
      </c>
      <c r="M33">
        <f t="shared" si="0"/>
        <v>0.73371600000000003</v>
      </c>
    </row>
    <row r="34" spans="1:13" x14ac:dyDescent="0.25">
      <c r="A34" s="2">
        <v>41456</v>
      </c>
      <c r="B34">
        <v>391.20100000000002</v>
      </c>
      <c r="C34">
        <v>88.398499999999999</v>
      </c>
      <c r="D34">
        <v>2.319</v>
      </c>
      <c r="E34">
        <v>1.7189639999999999</v>
      </c>
      <c r="F34">
        <v>147.79470000000001</v>
      </c>
      <c r="G34" t="e">
        <v>#N/A</v>
      </c>
      <c r="H34">
        <v>162.363</v>
      </c>
      <c r="I34">
        <v>181.49979999999999</v>
      </c>
      <c r="J34">
        <v>180.83179999999999</v>
      </c>
      <c r="K34">
        <v>3767.48</v>
      </c>
      <c r="L34" s="3">
        <f t="shared" si="1"/>
        <v>170.0421</v>
      </c>
      <c r="M34">
        <f t="shared" si="0"/>
        <v>0.60003600000000001</v>
      </c>
    </row>
    <row r="35" spans="1:13" x14ac:dyDescent="0.25">
      <c r="A35" s="2">
        <v>41548</v>
      </c>
      <c r="B35">
        <v>336.13200000000001</v>
      </c>
      <c r="C35">
        <v>77.635999999999996</v>
      </c>
      <c r="D35">
        <v>2.3250000000000002</v>
      </c>
      <c r="E35">
        <v>1.8036559999999999</v>
      </c>
      <c r="F35">
        <v>119.6099</v>
      </c>
      <c r="G35" t="e">
        <v>#N/A</v>
      </c>
      <c r="H35">
        <v>162.363</v>
      </c>
      <c r="I35">
        <v>154.76519999999999</v>
      </c>
      <c r="J35">
        <v>147.7073</v>
      </c>
      <c r="K35">
        <v>4196.6000000000004</v>
      </c>
      <c r="L35" s="3">
        <f t="shared" si="1"/>
        <v>140.69413333333333</v>
      </c>
      <c r="M35">
        <f t="shared" si="0"/>
        <v>0.52134400000000025</v>
      </c>
    </row>
    <row r="36" spans="1:13" x14ac:dyDescent="0.25">
      <c r="A36" s="2">
        <v>41640</v>
      </c>
      <c r="B36">
        <v>262.97000000000003</v>
      </c>
      <c r="C36">
        <v>72.128600000000006</v>
      </c>
      <c r="D36">
        <v>2.5529999999999999</v>
      </c>
      <c r="E36">
        <v>1.9252849999999999</v>
      </c>
      <c r="F36">
        <v>81.036640000000006</v>
      </c>
      <c r="G36" t="e">
        <v>#N/A</v>
      </c>
      <c r="H36">
        <v>162.363</v>
      </c>
      <c r="I36">
        <v>100.9909</v>
      </c>
      <c r="J36">
        <v>98.905860000000004</v>
      </c>
      <c r="K36">
        <v>4295.95</v>
      </c>
      <c r="L36" s="3">
        <f>AVERAGE(F36,H36:J36)</f>
        <v>110.8241</v>
      </c>
      <c r="M36">
        <f t="shared" si="0"/>
        <v>0.62771500000000002</v>
      </c>
    </row>
    <row r="37" spans="1:13" x14ac:dyDescent="0.25">
      <c r="A37" s="2">
        <v>41730</v>
      </c>
      <c r="B37">
        <v>256.04199999999997</v>
      </c>
      <c r="C37">
        <v>66.03895</v>
      </c>
      <c r="D37">
        <v>2.0990000000000002</v>
      </c>
      <c r="E37">
        <v>1.572041</v>
      </c>
      <c r="F37">
        <v>73.940489999999997</v>
      </c>
      <c r="G37" t="e">
        <v>#N/A</v>
      </c>
      <c r="H37">
        <v>162.363</v>
      </c>
      <c r="I37">
        <v>85.5304</v>
      </c>
      <c r="J37">
        <v>93.845569999999995</v>
      </c>
      <c r="K37">
        <v>4426.72</v>
      </c>
      <c r="L37" s="3">
        <f t="shared" ref="L37:L53" si="2">AVERAGE(F37,H37:J37)</f>
        <v>103.919865</v>
      </c>
      <c r="M37">
        <f t="shared" si="0"/>
        <v>0.52695900000000018</v>
      </c>
    </row>
    <row r="38" spans="1:13" x14ac:dyDescent="0.25">
      <c r="A38" s="2">
        <v>41821</v>
      </c>
      <c r="B38">
        <v>260.20920000000001</v>
      </c>
      <c r="C38">
        <v>58.201520000000002</v>
      </c>
      <c r="D38">
        <v>1.704</v>
      </c>
      <c r="E38">
        <v>1.245744</v>
      </c>
      <c r="F38">
        <v>65.562070000000006</v>
      </c>
      <c r="G38" t="e">
        <v>#N/A</v>
      </c>
      <c r="H38">
        <v>162.363</v>
      </c>
      <c r="I38">
        <v>67.036640000000006</v>
      </c>
      <c r="J38">
        <v>78.811049999999994</v>
      </c>
      <c r="K38">
        <v>4461.12</v>
      </c>
      <c r="L38" s="3">
        <f t="shared" si="2"/>
        <v>93.443190000000016</v>
      </c>
      <c r="M38">
        <f t="shared" si="0"/>
        <v>0.458256</v>
      </c>
    </row>
    <row r="39" spans="1:13" x14ac:dyDescent="0.25">
      <c r="A39" s="2">
        <v>41913</v>
      </c>
      <c r="B39">
        <v>338.03399999999999</v>
      </c>
      <c r="C39">
        <v>54.87529</v>
      </c>
      <c r="D39">
        <v>1.2410000000000001</v>
      </c>
      <c r="E39">
        <v>0.90092240000000001</v>
      </c>
      <c r="F39">
        <v>60.939929999999997</v>
      </c>
      <c r="G39" t="e">
        <v>#N/A</v>
      </c>
      <c r="H39">
        <v>162.363</v>
      </c>
      <c r="I39">
        <v>62.599960000000003</v>
      </c>
      <c r="J39">
        <v>73.060059999999993</v>
      </c>
      <c r="K39">
        <v>4365.2700000000004</v>
      </c>
      <c r="L39" s="3">
        <f t="shared" si="2"/>
        <v>89.740737499999994</v>
      </c>
      <c r="M39">
        <f t="shared" si="0"/>
        <v>0.34007760000000009</v>
      </c>
    </row>
    <row r="40" spans="1:13" x14ac:dyDescent="0.25">
      <c r="A40" s="2">
        <v>42005</v>
      </c>
      <c r="B40">
        <v>363.15620000000001</v>
      </c>
      <c r="C40">
        <v>54.152650000000001</v>
      </c>
      <c r="D40">
        <v>0.82199999999999995</v>
      </c>
      <c r="E40">
        <v>0.53844760000000003</v>
      </c>
      <c r="F40">
        <v>68.381200000000007</v>
      </c>
      <c r="G40" t="e">
        <v>#N/A</v>
      </c>
      <c r="H40">
        <v>162.363</v>
      </c>
      <c r="I40">
        <v>70.411410000000004</v>
      </c>
      <c r="J40">
        <v>94.247470000000007</v>
      </c>
      <c r="K40">
        <v>4272.75</v>
      </c>
      <c r="L40" s="3">
        <f t="shared" si="2"/>
        <v>98.850770000000011</v>
      </c>
      <c r="M40">
        <f t="shared" si="0"/>
        <v>0.28355239999999993</v>
      </c>
    </row>
    <row r="41" spans="1:13" x14ac:dyDescent="0.25">
      <c r="A41" s="2">
        <v>42095</v>
      </c>
      <c r="B41">
        <v>340.42450000000002</v>
      </c>
      <c r="C41">
        <v>48.991579999999999</v>
      </c>
      <c r="D41">
        <v>0.45050000000000001</v>
      </c>
      <c r="E41">
        <v>0.1658733</v>
      </c>
      <c r="F41">
        <v>58.754060000000003</v>
      </c>
      <c r="G41" t="e">
        <v>#N/A</v>
      </c>
      <c r="H41">
        <v>162.363</v>
      </c>
      <c r="I41">
        <v>62.649630000000002</v>
      </c>
      <c r="J41">
        <v>76.440049999999999</v>
      </c>
      <c r="K41">
        <v>5062.22</v>
      </c>
      <c r="L41" s="3">
        <f t="shared" si="2"/>
        <v>90.051685000000006</v>
      </c>
      <c r="M41">
        <f t="shared" si="0"/>
        <v>0.28462670000000001</v>
      </c>
    </row>
    <row r="42" spans="1:13" x14ac:dyDescent="0.25">
      <c r="A42" s="2">
        <v>42186</v>
      </c>
      <c r="B42">
        <v>358.85849999999999</v>
      </c>
      <c r="C42">
        <v>65.943259999999995</v>
      </c>
      <c r="D42">
        <v>1.242</v>
      </c>
      <c r="E42">
        <v>0.81203040000000004</v>
      </c>
      <c r="F42">
        <v>82.717219999999998</v>
      </c>
      <c r="G42" t="e">
        <v>#N/A</v>
      </c>
      <c r="H42">
        <v>162.363</v>
      </c>
      <c r="I42">
        <v>87.756180000000001</v>
      </c>
      <c r="J42">
        <v>92.542230000000004</v>
      </c>
      <c r="K42">
        <v>4883.1899999999996</v>
      </c>
      <c r="L42" s="3">
        <f t="shared" si="2"/>
        <v>106.34465750000001</v>
      </c>
      <c r="M42">
        <f t="shared" si="0"/>
        <v>0.42996959999999995</v>
      </c>
    </row>
    <row r="43" spans="1:13" x14ac:dyDescent="0.25">
      <c r="A43" s="2">
        <v>42278</v>
      </c>
      <c r="B43">
        <v>475.40989999999999</v>
      </c>
      <c r="C43">
        <v>89.426850000000002</v>
      </c>
      <c r="D43">
        <v>0.92800000000000005</v>
      </c>
      <c r="E43">
        <v>0.53490700000000002</v>
      </c>
      <c r="F43">
        <v>87.268649999999994</v>
      </c>
      <c r="G43" t="e">
        <v>#N/A</v>
      </c>
      <c r="H43">
        <v>162.363</v>
      </c>
      <c r="I43">
        <v>88.297970000000007</v>
      </c>
      <c r="J43">
        <v>96.787049999999994</v>
      </c>
      <c r="K43">
        <v>4426.54</v>
      </c>
      <c r="L43" s="3">
        <f t="shared" si="2"/>
        <v>108.67916750000001</v>
      </c>
      <c r="M43">
        <f t="shared" si="0"/>
        <v>0.39309300000000003</v>
      </c>
    </row>
    <row r="44" spans="1:13" x14ac:dyDescent="0.25">
      <c r="A44" s="2">
        <v>42370</v>
      </c>
      <c r="B44">
        <v>486.02140000000003</v>
      </c>
      <c r="C44">
        <v>81.299400000000006</v>
      </c>
      <c r="D44">
        <v>0.98599999999999999</v>
      </c>
      <c r="E44">
        <v>0.6275596</v>
      </c>
      <c r="F44">
        <v>69.791880000000006</v>
      </c>
      <c r="G44" t="e">
        <v>#N/A</v>
      </c>
      <c r="H44">
        <v>162.363</v>
      </c>
      <c r="I44">
        <v>69.279719999999998</v>
      </c>
      <c r="J44">
        <v>69.659610000000001</v>
      </c>
      <c r="K44">
        <v>4637.0600000000004</v>
      </c>
      <c r="L44" s="3">
        <f t="shared" si="2"/>
        <v>92.773552499999994</v>
      </c>
      <c r="M44">
        <f t="shared" si="0"/>
        <v>0.35844039999999999</v>
      </c>
    </row>
    <row r="45" spans="1:13" x14ac:dyDescent="0.25">
      <c r="A45" s="2">
        <v>42461</v>
      </c>
      <c r="B45">
        <v>462.8612</v>
      </c>
      <c r="C45">
        <v>72.153499999999994</v>
      </c>
      <c r="D45">
        <v>0.45900479999999999</v>
      </c>
      <c r="E45">
        <v>0.133377</v>
      </c>
      <c r="F45">
        <v>81.840209999999999</v>
      </c>
      <c r="G45" t="e">
        <v>#N/A</v>
      </c>
      <c r="H45">
        <v>162.363</v>
      </c>
      <c r="I45">
        <v>80.716719999999995</v>
      </c>
      <c r="J45">
        <v>83.075469999999996</v>
      </c>
      <c r="K45">
        <v>4322.24</v>
      </c>
      <c r="L45" s="3">
        <f t="shared" si="2"/>
        <v>101.99885</v>
      </c>
      <c r="M45">
        <f t="shared" si="0"/>
        <v>0.32562780000000002</v>
      </c>
    </row>
    <row r="46" spans="1:13" x14ac:dyDescent="0.25">
      <c r="A46" s="2">
        <v>42552</v>
      </c>
      <c r="B46">
        <v>393.77879999999999</v>
      </c>
      <c r="C46">
        <v>64.460130000000007</v>
      </c>
      <c r="D46">
        <v>0.1560117</v>
      </c>
      <c r="E46">
        <v>-0.12681039999999999</v>
      </c>
      <c r="F46">
        <v>89.920389999999998</v>
      </c>
      <c r="G46" t="e">
        <v>#N/A</v>
      </c>
      <c r="H46">
        <v>162.363</v>
      </c>
      <c r="I46">
        <v>89.673609999999996</v>
      </c>
      <c r="J46">
        <v>89.091189999999997</v>
      </c>
      <c r="K46">
        <v>4273.96</v>
      </c>
      <c r="L46" s="3">
        <f t="shared" si="2"/>
        <v>107.76204749999999</v>
      </c>
      <c r="M46">
        <f t="shared" si="0"/>
        <v>0.28282209999999997</v>
      </c>
    </row>
    <row r="47" spans="1:13" x14ac:dyDescent="0.25">
      <c r="A47" s="2">
        <v>42644</v>
      </c>
      <c r="B47">
        <v>350.52510000000001</v>
      </c>
      <c r="C47">
        <v>61.534230000000001</v>
      </c>
      <c r="D47">
        <v>0.1833448</v>
      </c>
      <c r="E47">
        <v>-0.1217955</v>
      </c>
      <c r="F47">
        <v>76.876630000000006</v>
      </c>
      <c r="G47" t="e">
        <v>#N/A</v>
      </c>
      <c r="H47">
        <v>82.386799999999994</v>
      </c>
      <c r="I47">
        <v>73.466089999999994</v>
      </c>
      <c r="J47">
        <v>76.297929999999994</v>
      </c>
      <c r="K47">
        <v>4448.26</v>
      </c>
      <c r="L47" s="3">
        <f t="shared" si="2"/>
        <v>77.256862499999997</v>
      </c>
      <c r="M47">
        <f t="shared" si="0"/>
        <v>0.30514030000000003</v>
      </c>
    </row>
    <row r="48" spans="1:13" x14ac:dyDescent="0.25">
      <c r="A48" s="2">
        <v>42736</v>
      </c>
      <c r="B48">
        <v>320.31790000000001</v>
      </c>
      <c r="C48">
        <v>63.687620000000003</v>
      </c>
      <c r="D48">
        <v>0.68146969999999996</v>
      </c>
      <c r="E48">
        <v>0.2036946</v>
      </c>
      <c r="F48">
        <v>84.768199999999993</v>
      </c>
      <c r="G48" t="e">
        <v>#N/A</v>
      </c>
      <c r="H48">
        <v>84.108699999999999</v>
      </c>
      <c r="I48">
        <v>73.676940000000002</v>
      </c>
      <c r="J48">
        <v>84.440870000000004</v>
      </c>
      <c r="K48">
        <v>4862.3100000000004</v>
      </c>
      <c r="L48" s="3">
        <f t="shared" si="2"/>
        <v>81.748677499999999</v>
      </c>
      <c r="M48">
        <f t="shared" si="0"/>
        <v>0.47777509999999995</v>
      </c>
    </row>
    <row r="49" spans="1:13" x14ac:dyDescent="0.25">
      <c r="A49" s="2">
        <v>42826</v>
      </c>
      <c r="B49">
        <v>299.91410000000002</v>
      </c>
      <c r="C49">
        <v>54.084580000000003</v>
      </c>
      <c r="D49">
        <v>0.96617889999999995</v>
      </c>
      <c r="E49">
        <v>0.32516539999999999</v>
      </c>
      <c r="F49">
        <v>89.358729999999994</v>
      </c>
      <c r="G49" t="e">
        <v>#N/A</v>
      </c>
      <c r="H49">
        <v>77.670199999999994</v>
      </c>
      <c r="I49">
        <v>83.511930000000007</v>
      </c>
      <c r="J49">
        <v>89.723519999999994</v>
      </c>
      <c r="K49">
        <v>5122.51</v>
      </c>
      <c r="L49" s="3">
        <f t="shared" si="2"/>
        <v>85.066095000000004</v>
      </c>
      <c r="M49">
        <f t="shared" si="0"/>
        <v>0.6410134999999999</v>
      </c>
    </row>
    <row r="50" spans="1:13" x14ac:dyDescent="0.25">
      <c r="A50" s="2">
        <v>42917</v>
      </c>
      <c r="B50">
        <v>229.21190000000001</v>
      </c>
      <c r="C50">
        <v>49.052149999999997</v>
      </c>
      <c r="D50">
        <v>0.81267650000000002</v>
      </c>
      <c r="E50">
        <v>0.46479419999999999</v>
      </c>
      <c r="F50">
        <v>36.232259999999997</v>
      </c>
      <c r="G50">
        <v>68.2239</v>
      </c>
      <c r="H50">
        <v>59.931899999999999</v>
      </c>
      <c r="I50">
        <v>33.552880000000002</v>
      </c>
      <c r="J50">
        <v>37.549239999999998</v>
      </c>
      <c r="K50">
        <v>5120.68</v>
      </c>
      <c r="L50" s="3">
        <f t="shared" si="2"/>
        <v>41.816569999999999</v>
      </c>
      <c r="M50">
        <f t="shared" si="0"/>
        <v>0.34788230000000003</v>
      </c>
    </row>
    <row r="51" spans="1:13" x14ac:dyDescent="0.25">
      <c r="A51" s="2">
        <v>43009</v>
      </c>
      <c r="B51">
        <v>198.8758</v>
      </c>
      <c r="C51">
        <v>37.844740000000002</v>
      </c>
      <c r="D51">
        <v>0.74182919999999997</v>
      </c>
      <c r="E51">
        <v>0.4620398</v>
      </c>
      <c r="F51">
        <v>35.441079999999999</v>
      </c>
      <c r="G51">
        <v>49.991300000000003</v>
      </c>
      <c r="H51">
        <v>46.1858</v>
      </c>
      <c r="I51">
        <v>32.2926</v>
      </c>
      <c r="J51">
        <v>37.122619999999998</v>
      </c>
      <c r="K51">
        <v>5329.81</v>
      </c>
      <c r="L51" s="3">
        <f t="shared" si="2"/>
        <v>37.760525000000001</v>
      </c>
      <c r="M51">
        <f t="shared" si="0"/>
        <v>0.27978939999999997</v>
      </c>
    </row>
    <row r="52" spans="1:13" x14ac:dyDescent="0.25">
      <c r="A52" s="2">
        <v>43101</v>
      </c>
      <c r="B52">
        <v>216.15639999999999</v>
      </c>
      <c r="C52">
        <v>33.71555</v>
      </c>
      <c r="D52">
        <v>0.77970399999999995</v>
      </c>
      <c r="E52">
        <v>0.42337609999999998</v>
      </c>
      <c r="F52">
        <v>22.789200000000001</v>
      </c>
      <c r="G52">
        <v>40.828200000000002</v>
      </c>
      <c r="H52">
        <v>39.001399999999997</v>
      </c>
      <c r="I52">
        <v>20.016480000000001</v>
      </c>
      <c r="J52">
        <v>23.502120000000001</v>
      </c>
      <c r="K52">
        <v>5312.56</v>
      </c>
      <c r="L52" s="3">
        <f t="shared" si="2"/>
        <v>26.327300000000001</v>
      </c>
      <c r="M52">
        <f t="shared" si="0"/>
        <v>0.35632789999999998</v>
      </c>
    </row>
    <row r="53" spans="1:13" x14ac:dyDescent="0.25">
      <c r="A53" s="2">
        <v>43191</v>
      </c>
      <c r="B53">
        <v>267.11009999999999</v>
      </c>
      <c r="C53">
        <v>42.146949999999997</v>
      </c>
      <c r="D53">
        <v>0.71769760000000005</v>
      </c>
      <c r="E53">
        <v>0.49429289999999998</v>
      </c>
      <c r="F53">
        <v>35.250970000000002</v>
      </c>
      <c r="G53">
        <v>36.8902</v>
      </c>
      <c r="H53">
        <v>34.901899999999998</v>
      </c>
      <c r="I53">
        <v>24.675149999999999</v>
      </c>
      <c r="J53">
        <v>36.465560000000004</v>
      </c>
      <c r="K53">
        <v>5167.3</v>
      </c>
      <c r="L53" s="3">
        <f t="shared" si="2"/>
        <v>32.823395000000005</v>
      </c>
      <c r="M53">
        <f t="shared" si="0"/>
        <v>0.22340470000000007</v>
      </c>
    </row>
    <row r="54" spans="1:13" x14ac:dyDescent="0.25">
      <c r="A54" s="2">
        <v>43282</v>
      </c>
      <c r="B54">
        <v>340.59289999999999</v>
      </c>
      <c r="C54">
        <v>59.309150000000002</v>
      </c>
      <c r="D54">
        <v>0.66214949999999995</v>
      </c>
      <c r="E54">
        <v>0.29963190000000001</v>
      </c>
      <c r="F54">
        <v>57.023769999999999</v>
      </c>
      <c r="G54">
        <v>48.726860000000002</v>
      </c>
      <c r="H54">
        <v>44.866889999999998</v>
      </c>
      <c r="I54">
        <v>33.198079999999997</v>
      </c>
      <c r="J54">
        <v>58.754399999999997</v>
      </c>
      <c r="K54">
        <v>5323.53</v>
      </c>
      <c r="L54">
        <f>IF(A54="","",AVERAGE(F54:J54))</f>
        <v>48.514000000000003</v>
      </c>
      <c r="M54">
        <f t="shared" si="0"/>
        <v>0.36251759999999994</v>
      </c>
    </row>
    <row r="55" spans="1:13" x14ac:dyDescent="0.25">
      <c r="A55" s="2">
        <v>43374</v>
      </c>
      <c r="B55">
        <v>321.07990000000001</v>
      </c>
      <c r="C55">
        <v>56.457529999999998</v>
      </c>
      <c r="D55">
        <v>0.82417309999999999</v>
      </c>
      <c r="E55">
        <v>0.47045670000000001</v>
      </c>
      <c r="F55">
        <v>43.472540000000002</v>
      </c>
      <c r="G55">
        <v>56.686700000000002</v>
      </c>
      <c r="H55">
        <v>49.743499999999997</v>
      </c>
      <c r="I55">
        <v>40.287990000000001</v>
      </c>
      <c r="J55">
        <v>44.453960000000002</v>
      </c>
      <c r="K55">
        <v>5506.82</v>
      </c>
      <c r="L55">
        <f t="shared" ref="L55:L118" si="3">IF(A55="","",AVERAGE(F55:J55))</f>
        <v>46.928938000000002</v>
      </c>
      <c r="M55">
        <f t="shared" si="0"/>
        <v>0.35371639999999999</v>
      </c>
    </row>
    <row r="56" spans="1:13" x14ac:dyDescent="0.25">
      <c r="A56" s="2">
        <v>43466</v>
      </c>
      <c r="B56">
        <v>454.16199999999998</v>
      </c>
      <c r="C56">
        <v>93.71942</v>
      </c>
      <c r="D56">
        <v>0.70492960000000005</v>
      </c>
      <c r="E56">
        <v>0.23850769999999999</v>
      </c>
      <c r="F56">
        <v>75.232209999999995</v>
      </c>
      <c r="G56">
        <v>75.877489999999995</v>
      </c>
      <c r="H56">
        <v>75.877489999999995</v>
      </c>
      <c r="I56">
        <v>46.967320000000001</v>
      </c>
      <c r="J56">
        <v>75.560559999999995</v>
      </c>
      <c r="K56">
        <v>4730.6899999999996</v>
      </c>
      <c r="L56">
        <f t="shared" si="3"/>
        <v>69.903013999999999</v>
      </c>
      <c r="M56">
        <f t="shared" si="0"/>
        <v>0.46642190000000006</v>
      </c>
    </row>
    <row r="57" spans="1:13" x14ac:dyDescent="0.25">
      <c r="A57" s="2">
        <v>43556</v>
      </c>
      <c r="B57">
        <v>356.83479999999997</v>
      </c>
      <c r="C57">
        <v>65.411789999999996</v>
      </c>
      <c r="D57">
        <v>0.3711718</v>
      </c>
      <c r="E57">
        <v>-2.7773699999999998E-2</v>
      </c>
      <c r="F57">
        <v>41.915649999999999</v>
      </c>
      <c r="G57">
        <v>64.089830000000006</v>
      </c>
      <c r="H57">
        <v>64.089830000000006</v>
      </c>
      <c r="I57">
        <v>46.967320000000001</v>
      </c>
      <c r="J57">
        <v>45.39096</v>
      </c>
      <c r="K57">
        <v>5405.53</v>
      </c>
      <c r="L57">
        <f t="shared" si="3"/>
        <v>52.490718000000001</v>
      </c>
      <c r="M57">
        <f t="shared" si="0"/>
        <v>0.39894550000000001</v>
      </c>
    </row>
    <row r="58" spans="1:13" x14ac:dyDescent="0.25">
      <c r="A58" s="2">
        <v>43647</v>
      </c>
      <c r="B58">
        <v>326.988</v>
      </c>
      <c r="C58">
        <v>53.307299999999998</v>
      </c>
      <c r="D58">
        <v>-5.0351350000000003E-2</v>
      </c>
      <c r="E58">
        <v>-0.35812860000000002</v>
      </c>
      <c r="F58">
        <v>27.262699999999999</v>
      </c>
      <c r="G58">
        <v>50.27037</v>
      </c>
      <c r="H58">
        <v>50.27037</v>
      </c>
      <c r="I58">
        <v>46.967320000000001</v>
      </c>
      <c r="J58">
        <v>29.167539999999999</v>
      </c>
      <c r="K58">
        <v>5567.91</v>
      </c>
      <c r="L58">
        <f t="shared" si="3"/>
        <v>40.787660000000002</v>
      </c>
      <c r="M58">
        <f t="shared" si="0"/>
        <v>0.30777725</v>
      </c>
    </row>
    <row r="59" spans="1:13" x14ac:dyDescent="0.25">
      <c r="A59" s="2">
        <v>43739</v>
      </c>
      <c r="B59">
        <v>346.18400000000003</v>
      </c>
      <c r="C59">
        <v>49.465400000000002</v>
      </c>
      <c r="D59">
        <v>-0.26629760000000002</v>
      </c>
      <c r="E59">
        <v>-0.56592010000000004</v>
      </c>
      <c r="F59">
        <v>34.388390000000001</v>
      </c>
      <c r="G59">
        <v>53.116070000000001</v>
      </c>
      <c r="H59">
        <v>53.116070000000001</v>
      </c>
      <c r="I59">
        <v>46.967320000000001</v>
      </c>
      <c r="J59">
        <v>36.80115</v>
      </c>
      <c r="K59">
        <v>5597.63</v>
      </c>
      <c r="L59">
        <f t="shared" si="3"/>
        <v>44.877800000000001</v>
      </c>
      <c r="M59">
        <f t="shared" si="0"/>
        <v>0.29962250000000001</v>
      </c>
    </row>
    <row r="60" spans="1:13" x14ac:dyDescent="0.25">
      <c r="A60" s="2">
        <v>43831</v>
      </c>
      <c r="B60">
        <v>284.55700000000002</v>
      </c>
      <c r="C60">
        <v>48.105200000000004</v>
      </c>
      <c r="D60">
        <v>0.1151895</v>
      </c>
      <c r="E60">
        <v>-0.188026</v>
      </c>
      <c r="F60">
        <v>23.700330000000001</v>
      </c>
      <c r="G60">
        <v>45.293559999999999</v>
      </c>
      <c r="H60">
        <v>45.293559999999999</v>
      </c>
      <c r="I60">
        <v>46.967320000000001</v>
      </c>
      <c r="J60">
        <v>26.520309999999998</v>
      </c>
      <c r="K60">
        <v>5978.06</v>
      </c>
      <c r="L60">
        <f t="shared" si="3"/>
        <v>37.555016000000002</v>
      </c>
      <c r="M60">
        <f t="shared" si="0"/>
        <v>0.30321549999999997</v>
      </c>
    </row>
    <row r="61" spans="1:13" x14ac:dyDescent="0.25">
      <c r="A61" s="2">
        <v>43922</v>
      </c>
      <c r="B61">
        <v>745.27</v>
      </c>
      <c r="C61">
        <v>179.453</v>
      </c>
      <c r="D61">
        <v>1.3855849999999999E-3</v>
      </c>
      <c r="E61">
        <v>-0.46264840000000002</v>
      </c>
      <c r="F61">
        <v>84.397570000000002</v>
      </c>
      <c r="G61">
        <v>97.272229999999993</v>
      </c>
      <c r="H61">
        <v>97.272229999999993</v>
      </c>
      <c r="I61">
        <v>69.819789999999998</v>
      </c>
      <c r="J61">
        <v>84.758340000000004</v>
      </c>
      <c r="K61">
        <v>4207.24</v>
      </c>
      <c r="L61">
        <f t="shared" si="3"/>
        <v>86.704032000000012</v>
      </c>
      <c r="M61">
        <f t="shared" si="0"/>
        <v>0.46403398500000004</v>
      </c>
    </row>
    <row r="62" spans="1:13" x14ac:dyDescent="0.25">
      <c r="A62" s="2">
        <v>44013</v>
      </c>
      <c r="B62">
        <v>469.10700000000003</v>
      </c>
      <c r="C62">
        <v>90.908500000000004</v>
      </c>
      <c r="D62">
        <v>-6.2716510000000003E-2</v>
      </c>
      <c r="E62">
        <v>-0.3960631</v>
      </c>
      <c r="F62">
        <v>48.21049</v>
      </c>
      <c r="G62">
        <v>72.936490000000006</v>
      </c>
      <c r="H62">
        <v>72.936490000000006</v>
      </c>
      <c r="I62">
        <v>39.918329999999997</v>
      </c>
      <c r="J62">
        <v>50.289879999999997</v>
      </c>
      <c r="K62">
        <v>4926.9399999999996</v>
      </c>
      <c r="L62">
        <f t="shared" si="3"/>
        <v>56.858336000000008</v>
      </c>
      <c r="M62">
        <f t="shared" si="0"/>
        <v>0.33334659</v>
      </c>
    </row>
    <row r="63" spans="1:13" x14ac:dyDescent="0.25">
      <c r="A63" s="2">
        <v>44105</v>
      </c>
      <c r="B63">
        <v>413.82600000000002</v>
      </c>
      <c r="C63">
        <v>56.6053</v>
      </c>
      <c r="D63">
        <v>-0.25885609999999998</v>
      </c>
      <c r="E63">
        <v>-0.53642719999999999</v>
      </c>
      <c r="F63">
        <v>42.056049999999999</v>
      </c>
      <c r="G63">
        <v>70.195300000000003</v>
      </c>
      <c r="H63">
        <v>70.195300000000003</v>
      </c>
      <c r="I63">
        <v>35.600200000000001</v>
      </c>
      <c r="J63">
        <v>43.695729999999998</v>
      </c>
      <c r="K63">
        <v>4824.04</v>
      </c>
      <c r="L63">
        <f t="shared" si="3"/>
        <v>52.348515999999996</v>
      </c>
      <c r="M63">
        <f t="shared" si="0"/>
        <v>0.27757110000000002</v>
      </c>
    </row>
    <row r="64" spans="1:13" x14ac:dyDescent="0.25">
      <c r="A64" s="2">
        <v>44197</v>
      </c>
      <c r="B64">
        <v>289.27999999999997</v>
      </c>
      <c r="C64">
        <v>30.238099999999999</v>
      </c>
      <c r="D64">
        <v>-0.34307969999999999</v>
      </c>
      <c r="E64">
        <v>-0.57210700000000003</v>
      </c>
      <c r="F64">
        <v>31.142240000000001</v>
      </c>
      <c r="G64">
        <v>52.710189999999997</v>
      </c>
      <c r="H64">
        <v>52.710189999999997</v>
      </c>
      <c r="I64">
        <v>27.27243</v>
      </c>
      <c r="J64">
        <v>32.475239999999999</v>
      </c>
      <c r="K64">
        <v>5551.41</v>
      </c>
      <c r="L64">
        <f t="shared" si="3"/>
        <v>39.262057999999989</v>
      </c>
      <c r="M64">
        <f t="shared" si="0"/>
        <v>0.22902730000000004</v>
      </c>
    </row>
    <row r="65" spans="1:13" x14ac:dyDescent="0.25">
      <c r="A65" s="2">
        <v>44287</v>
      </c>
      <c r="B65">
        <v>256.12099999999998</v>
      </c>
      <c r="C65">
        <v>36.415500000000002</v>
      </c>
      <c r="D65">
        <v>-8.1224519999999995E-2</v>
      </c>
      <c r="E65">
        <v>-0.32880530000000002</v>
      </c>
      <c r="F65">
        <v>34.905859999999997</v>
      </c>
      <c r="G65">
        <v>49.452629999999999</v>
      </c>
      <c r="H65">
        <v>49.452629999999999</v>
      </c>
      <c r="I65">
        <v>29.981310000000001</v>
      </c>
      <c r="J65">
        <v>34.492550000000001</v>
      </c>
      <c r="K65">
        <v>6102.96</v>
      </c>
      <c r="L65">
        <f t="shared" si="3"/>
        <v>39.656995999999999</v>
      </c>
      <c r="M65">
        <f t="shared" si="0"/>
        <v>0.24758078000000003</v>
      </c>
    </row>
    <row r="66" spans="1:13" x14ac:dyDescent="0.25">
      <c r="A66" s="2">
        <v>44378</v>
      </c>
      <c r="B66">
        <v>239.78700000000001</v>
      </c>
      <c r="C66">
        <v>34.394199999999998</v>
      </c>
      <c r="D66">
        <v>0.1228653</v>
      </c>
      <c r="E66">
        <v>-0.2018308</v>
      </c>
      <c r="F66">
        <v>33.117550000000001</v>
      </c>
      <c r="G66">
        <v>45.788139999999999</v>
      </c>
      <c r="H66">
        <v>45.788139999999999</v>
      </c>
      <c r="I66">
        <v>28.995200000000001</v>
      </c>
      <c r="J66">
        <v>34.008479999999999</v>
      </c>
      <c r="K66">
        <v>6553.82</v>
      </c>
      <c r="L66">
        <f t="shared" si="3"/>
        <v>37.539501999999999</v>
      </c>
      <c r="M66">
        <f t="shared" si="0"/>
        <v>0.32469609999999999</v>
      </c>
    </row>
    <row r="67" spans="1:13" x14ac:dyDescent="0.25">
      <c r="A67" s="2">
        <v>44470</v>
      </c>
      <c r="B67">
        <v>247.471</v>
      </c>
      <c r="C67">
        <v>32.293399999999998</v>
      </c>
      <c r="D67">
        <v>0.1218378</v>
      </c>
      <c r="E67">
        <v>-0.22554730000000001</v>
      </c>
      <c r="F67">
        <v>35.718870000000003</v>
      </c>
      <c r="G67">
        <v>45.592269999999999</v>
      </c>
      <c r="H67">
        <v>45.592269999999999</v>
      </c>
      <c r="I67">
        <v>32.962429999999998</v>
      </c>
      <c r="J67">
        <v>36.787570000000002</v>
      </c>
      <c r="K67">
        <v>6517.69</v>
      </c>
      <c r="L67">
        <f t="shared" si="3"/>
        <v>39.330682000000003</v>
      </c>
      <c r="M67">
        <f t="shared" si="0"/>
        <v>0.3473851</v>
      </c>
    </row>
    <row r="68" spans="1:13" x14ac:dyDescent="0.25">
      <c r="A68" s="2">
        <v>44562</v>
      </c>
      <c r="B68">
        <v>271.24299999999999</v>
      </c>
      <c r="C68">
        <v>41.439300000000003</v>
      </c>
      <c r="D68">
        <v>0.19450390000000001</v>
      </c>
      <c r="E68">
        <v>-0.181672</v>
      </c>
      <c r="F68">
        <v>33.488509999999998</v>
      </c>
      <c r="G68">
        <v>47.512990000000002</v>
      </c>
      <c r="H68">
        <v>47.512990000000002</v>
      </c>
      <c r="I68">
        <v>30.60669</v>
      </c>
      <c r="J68">
        <v>36.639339999999997</v>
      </c>
      <c r="K68">
        <v>7153.03</v>
      </c>
      <c r="L68">
        <f t="shared" si="3"/>
        <v>39.152103999999994</v>
      </c>
      <c r="M68">
        <f t="shared" si="0"/>
        <v>0.37617590000000001</v>
      </c>
    </row>
    <row r="69" spans="1:13" x14ac:dyDescent="0.25">
      <c r="A69" s="2">
        <v>44652</v>
      </c>
      <c r="B69">
        <v>334.233</v>
      </c>
      <c r="C69">
        <v>61.680199999999999</v>
      </c>
      <c r="D69">
        <v>1.0198259999999999</v>
      </c>
      <c r="E69">
        <v>0.55257420000000002</v>
      </c>
      <c r="F69">
        <v>48.877740000000003</v>
      </c>
      <c r="G69">
        <v>62.469000000000001</v>
      </c>
      <c r="H69">
        <v>62.469000000000001</v>
      </c>
      <c r="I69">
        <v>43.569650000000003</v>
      </c>
      <c r="J69">
        <v>58.311900000000001</v>
      </c>
      <c r="K69">
        <v>6684.31</v>
      </c>
      <c r="L69">
        <f t="shared" si="3"/>
        <v>55.139458000000005</v>
      </c>
      <c r="M69">
        <f t="shared" ref="M69:M132" si="4">IF(A69="","",D69-E69)</f>
        <v>0.46725179999999988</v>
      </c>
    </row>
    <row r="70" spans="1:13" x14ac:dyDescent="0.25">
      <c r="A70" s="2">
        <v>44743</v>
      </c>
      <c r="B70">
        <v>576.96199999999999</v>
      </c>
      <c r="C70">
        <v>132</v>
      </c>
      <c r="D70">
        <v>1.794116</v>
      </c>
      <c r="E70">
        <v>1.2292430000000001</v>
      </c>
      <c r="F70">
        <v>73.811080000000004</v>
      </c>
      <c r="G70">
        <v>96.97166</v>
      </c>
      <c r="H70">
        <v>96.97166</v>
      </c>
      <c r="I70">
        <v>67.600080000000005</v>
      </c>
      <c r="J70">
        <v>84.378529999999998</v>
      </c>
      <c r="K70">
        <v>5931.06</v>
      </c>
      <c r="L70">
        <f t="shared" si="3"/>
        <v>83.946601999999999</v>
      </c>
      <c r="M70">
        <f t="shared" si="4"/>
        <v>0.56487299999999996</v>
      </c>
    </row>
    <row r="71" spans="1:13" x14ac:dyDescent="0.25">
      <c r="A71" s="2">
        <v>44835</v>
      </c>
      <c r="B71">
        <v>519.1</v>
      </c>
      <c r="C71">
        <v>111.011</v>
      </c>
      <c r="D71">
        <v>2.7158850000000001</v>
      </c>
      <c r="E71">
        <v>2.1048979999999999</v>
      </c>
      <c r="F71">
        <v>87.348659999999995</v>
      </c>
      <c r="G71">
        <v>111.83499999999999</v>
      </c>
      <c r="H71">
        <v>111.83499999999999</v>
      </c>
      <c r="I71">
        <v>80.820329999999998</v>
      </c>
      <c r="J71">
        <v>97.906739999999999</v>
      </c>
      <c r="K71">
        <v>5762.34</v>
      </c>
      <c r="L71">
        <f t="shared" si="3"/>
        <v>97.949145999999999</v>
      </c>
      <c r="M71">
        <f t="shared" si="4"/>
        <v>0.61098700000000017</v>
      </c>
    </row>
    <row r="72" spans="1:13" x14ac:dyDescent="0.25">
      <c r="A72" s="2">
        <v>44927</v>
      </c>
      <c r="B72">
        <v>408.774</v>
      </c>
      <c r="C72">
        <v>91.101399999999998</v>
      </c>
      <c r="D72">
        <v>3.1055480000000002</v>
      </c>
      <c r="E72">
        <v>2.5646460000000002</v>
      </c>
      <c r="F72">
        <v>63.131659999999997</v>
      </c>
      <c r="G72">
        <v>84.47363</v>
      </c>
      <c r="H72">
        <v>84.47363</v>
      </c>
      <c r="I72">
        <v>55.462260000000001</v>
      </c>
      <c r="J72">
        <v>68.587620000000001</v>
      </c>
      <c r="K72">
        <v>6473.76</v>
      </c>
      <c r="L72">
        <f t="shared" si="3"/>
        <v>71.225760000000008</v>
      </c>
      <c r="M72">
        <f t="shared" si="4"/>
        <v>0.54090199999999999</v>
      </c>
    </row>
    <row r="73" spans="1:13" x14ac:dyDescent="0.25">
      <c r="A73" s="2">
        <v>45017</v>
      </c>
      <c r="B73">
        <v>399.86900000000003</v>
      </c>
      <c r="C73">
        <v>88.859700000000004</v>
      </c>
      <c r="D73">
        <v>2.7902429999999998</v>
      </c>
      <c r="E73">
        <v>2.2889080000000002</v>
      </c>
      <c r="F73">
        <v>67.102969999999999</v>
      </c>
      <c r="G73">
        <v>85.098560000000006</v>
      </c>
      <c r="H73">
        <v>85.098560000000006</v>
      </c>
      <c r="I73">
        <v>58.150570000000002</v>
      </c>
      <c r="J73">
        <v>84.128810000000001</v>
      </c>
      <c r="K73">
        <v>7322.39</v>
      </c>
      <c r="L73">
        <f t="shared" si="3"/>
        <v>75.915894000000009</v>
      </c>
      <c r="M73">
        <f t="shared" si="4"/>
        <v>0.50133499999999964</v>
      </c>
    </row>
    <row r="74" spans="1:13" x14ac:dyDescent="0.25">
      <c r="A74" s="2">
        <v>45108</v>
      </c>
      <c r="B74">
        <v>376.03199999999998</v>
      </c>
      <c r="C74">
        <v>84.256600000000006</v>
      </c>
      <c r="D74">
        <v>2.9284319999999999</v>
      </c>
      <c r="E74">
        <v>2.3902510000000001</v>
      </c>
      <c r="F74">
        <v>61.585259999999998</v>
      </c>
      <c r="G74">
        <v>81.002139999999997</v>
      </c>
      <c r="H74">
        <v>81.002139999999997</v>
      </c>
      <c r="I74">
        <v>54.274439999999998</v>
      </c>
      <c r="J74">
        <v>72.523200000000003</v>
      </c>
      <c r="K74">
        <v>7400.06</v>
      </c>
      <c r="L74">
        <f t="shared" si="3"/>
        <v>70.077435999999992</v>
      </c>
      <c r="M74">
        <f t="shared" si="4"/>
        <v>0.5381809999999998</v>
      </c>
    </row>
    <row r="75" spans="1:13" x14ac:dyDescent="0.25">
      <c r="A75" s="2">
        <v>45200</v>
      </c>
      <c r="B75">
        <v>351.69099999999997</v>
      </c>
      <c r="C75">
        <v>83.673400000000001</v>
      </c>
      <c r="D75">
        <v>3.3973019999999998</v>
      </c>
      <c r="E75">
        <v>2.8378049999999999</v>
      </c>
      <c r="F75">
        <v>53.88794</v>
      </c>
      <c r="G75">
        <v>78.906580000000005</v>
      </c>
      <c r="H75">
        <v>78.906580000000005</v>
      </c>
      <c r="I75">
        <v>51.560380000000002</v>
      </c>
      <c r="J75">
        <v>66.191689999999994</v>
      </c>
      <c r="K75">
        <v>7135.06</v>
      </c>
      <c r="L75">
        <f t="shared" si="3"/>
        <v>65.890634000000006</v>
      </c>
      <c r="M75">
        <f t="shared" si="4"/>
        <v>0.55949699999999991</v>
      </c>
    </row>
    <row r="76" spans="1:13" x14ac:dyDescent="0.25">
      <c r="A76" s="2">
        <v>45292</v>
      </c>
      <c r="B76">
        <v>330.85700000000003</v>
      </c>
      <c r="C76">
        <v>81.540999999999997</v>
      </c>
      <c r="D76">
        <v>2.5572279999999998</v>
      </c>
      <c r="E76">
        <v>2.0214799999999999</v>
      </c>
      <c r="F76">
        <v>48.431640000000002</v>
      </c>
      <c r="G76">
        <v>63.850619999999999</v>
      </c>
      <c r="H76">
        <v>63.850619999999999</v>
      </c>
      <c r="I76">
        <v>44.495690000000003</v>
      </c>
      <c r="J76">
        <v>57.038490000000003</v>
      </c>
      <c r="K76">
        <v>7543.18</v>
      </c>
      <c r="L76">
        <f t="shared" si="3"/>
        <v>55.533411999999998</v>
      </c>
      <c r="M76">
        <f t="shared" si="4"/>
        <v>0.53574799999999989</v>
      </c>
    </row>
    <row r="77" spans="1:13" x14ac:dyDescent="0.25">
      <c r="A77" s="2">
        <v>45383</v>
      </c>
      <c r="B77">
        <v>314.18700000000001</v>
      </c>
      <c r="C77">
        <v>73.703299999999999</v>
      </c>
      <c r="D77">
        <v>2.80741</v>
      </c>
      <c r="E77">
        <v>2.2969729999999999</v>
      </c>
      <c r="F77">
        <v>42.386110000000002</v>
      </c>
      <c r="G77">
        <v>56.864519999999999</v>
      </c>
      <c r="H77">
        <v>56.864519999999999</v>
      </c>
      <c r="I77">
        <v>39.610059999999997</v>
      </c>
      <c r="J77">
        <v>48.795490000000001</v>
      </c>
      <c r="K77">
        <v>8205.81</v>
      </c>
      <c r="L77">
        <f t="shared" si="3"/>
        <v>48.904139999999998</v>
      </c>
      <c r="M77">
        <f t="shared" si="4"/>
        <v>0.51043700000000003</v>
      </c>
    </row>
    <row r="78" spans="1:13" x14ac:dyDescent="0.25">
      <c r="A78" s="2">
        <v>45474</v>
      </c>
      <c r="B78">
        <v>301.916</v>
      </c>
      <c r="C78">
        <v>73.437600000000003</v>
      </c>
      <c r="D78">
        <v>3.3463219999999998</v>
      </c>
      <c r="E78">
        <v>2.6047250000000002</v>
      </c>
      <c r="F78">
        <v>44.886600000000001</v>
      </c>
      <c r="G78">
        <v>56.764600000000002</v>
      </c>
      <c r="H78">
        <v>56.764600000000002</v>
      </c>
      <c r="I78">
        <v>43.743780000000001</v>
      </c>
      <c r="J78">
        <v>53.526119999999999</v>
      </c>
      <c r="K78">
        <v>7561.13</v>
      </c>
      <c r="L78">
        <f t="shared" si="3"/>
        <v>51.137140000000002</v>
      </c>
      <c r="M78">
        <f t="shared" si="4"/>
        <v>0.74159699999999962</v>
      </c>
    </row>
    <row r="79" spans="1:13" x14ac:dyDescent="0.25">
      <c r="A79" s="2">
        <v>45566</v>
      </c>
      <c r="B79">
        <v>316.46899999999999</v>
      </c>
      <c r="C79">
        <v>82.930499999999995</v>
      </c>
      <c r="D79">
        <v>2.8163840000000002</v>
      </c>
      <c r="E79">
        <v>2.0345650000000002</v>
      </c>
      <c r="F79">
        <v>49.532389999999999</v>
      </c>
      <c r="G79">
        <v>56.218879999999999</v>
      </c>
      <c r="H79">
        <v>56.218879999999999</v>
      </c>
      <c r="I79">
        <v>46.763179999999998</v>
      </c>
      <c r="J79">
        <v>60.051360000000003</v>
      </c>
      <c r="K79">
        <v>7574.07</v>
      </c>
      <c r="L79">
        <f t="shared" si="3"/>
        <v>53.756938000000005</v>
      </c>
      <c r="M79">
        <f t="shared" si="4"/>
        <v>0.78181900000000004</v>
      </c>
    </row>
    <row r="80" spans="1:13" x14ac:dyDescent="0.25">
      <c r="A80" s="2">
        <v>45658</v>
      </c>
      <c r="B80">
        <v>298.64600000000002</v>
      </c>
      <c r="C80">
        <v>85.077500000000001</v>
      </c>
      <c r="D80">
        <v>3.1935600000000002</v>
      </c>
      <c r="E80">
        <v>2.364474</v>
      </c>
      <c r="F80">
        <v>48</v>
      </c>
      <c r="G80">
        <v>54.022919999999999</v>
      </c>
      <c r="H80">
        <v>54.022919999999999</v>
      </c>
      <c r="I80">
        <v>44.624760000000002</v>
      </c>
      <c r="J80">
        <v>54.08578</v>
      </c>
      <c r="K80">
        <v>7380.74</v>
      </c>
      <c r="L80">
        <f t="shared" si="3"/>
        <v>50.951276</v>
      </c>
      <c r="M80">
        <f t="shared" si="4"/>
        <v>0.82908600000000021</v>
      </c>
    </row>
    <row r="81" spans="1:13" x14ac:dyDescent="0.25">
      <c r="A81" s="2">
        <v>45748</v>
      </c>
      <c r="B81">
        <v>323.01499999999999</v>
      </c>
      <c r="C81">
        <v>84.947400000000002</v>
      </c>
      <c r="D81">
        <v>3.3998870000000001</v>
      </c>
      <c r="E81">
        <v>2.685028</v>
      </c>
      <c r="F81">
        <v>49.79421</v>
      </c>
      <c r="G81">
        <v>55.418019999999999</v>
      </c>
      <c r="H81">
        <v>55.418019999999999</v>
      </c>
      <c r="I81">
        <v>46.767940000000003</v>
      </c>
      <c r="J81">
        <v>54.215899999999998</v>
      </c>
      <c r="K81">
        <v>7876.36</v>
      </c>
      <c r="L81">
        <f t="shared" si="3"/>
        <v>52.322817999999998</v>
      </c>
      <c r="M81">
        <f t="shared" si="4"/>
        <v>0.71485900000000013</v>
      </c>
    </row>
    <row r="82" spans="1:13" x14ac:dyDescent="0.25">
      <c r="A82" s="2">
        <v>45839</v>
      </c>
      <c r="B82">
        <v>297.33999999999997</v>
      </c>
      <c r="C82">
        <v>76.473100000000002</v>
      </c>
      <c r="D82">
        <v>3.2497050000000001</v>
      </c>
      <c r="E82">
        <v>2.5718649999999998</v>
      </c>
      <c r="F82">
        <v>42.913379999999997</v>
      </c>
      <c r="G82">
        <v>48.197600000000001</v>
      </c>
      <c r="H82">
        <v>48.197600000000001</v>
      </c>
      <c r="I82">
        <v>39.556690000000003</v>
      </c>
      <c r="J82">
        <v>47.788649999999997</v>
      </c>
      <c r="K82">
        <v>7662.59</v>
      </c>
      <c r="L82">
        <f t="shared" si="3"/>
        <v>45.330784000000001</v>
      </c>
      <c r="M82">
        <f t="shared" si="4"/>
        <v>0.67784000000000022</v>
      </c>
    </row>
    <row r="83" spans="1:13" x14ac:dyDescent="0.25">
      <c r="A83" s="2">
        <v>45931</v>
      </c>
      <c r="B83">
        <v>272.04300000000001</v>
      </c>
      <c r="C83">
        <v>66.638199999999998</v>
      </c>
      <c r="D83">
        <v>3.5286819999999999</v>
      </c>
      <c r="E83">
        <v>2.711503</v>
      </c>
      <c r="F83">
        <v>45.937069999999999</v>
      </c>
      <c r="G83">
        <v>47.723410000000001</v>
      </c>
      <c r="H83">
        <v>47.723410000000001</v>
      </c>
      <c r="I83">
        <v>43.484990000000003</v>
      </c>
      <c r="J83">
        <v>53.787239999999997</v>
      </c>
      <c r="K83">
        <v>7966.95</v>
      </c>
      <c r="L83">
        <f t="shared" si="3"/>
        <v>47.731224000000005</v>
      </c>
      <c r="M83">
        <f t="shared" si="4"/>
        <v>0.81717899999999988</v>
      </c>
    </row>
    <row r="84" spans="1:13" x14ac:dyDescent="0.25">
      <c r="A84" s="2">
        <v>46023</v>
      </c>
      <c r="B84">
        <v>275.50299999999999</v>
      </c>
      <c r="C84">
        <v>62.917700000000004</v>
      </c>
      <c r="D84">
        <v>3.5623330000000002</v>
      </c>
      <c r="E84">
        <v>2.85385</v>
      </c>
      <c r="F84">
        <v>42.723190000000002</v>
      </c>
      <c r="G84">
        <v>44.674370000000003</v>
      </c>
      <c r="H84">
        <v>44.674370000000003</v>
      </c>
      <c r="I84">
        <v>38.307989999999997</v>
      </c>
      <c r="J84">
        <v>45.716270000000002</v>
      </c>
      <c r="K84">
        <v>8149.5</v>
      </c>
      <c r="L84">
        <f t="shared" si="3"/>
        <v>43.219238000000004</v>
      </c>
      <c r="M84">
        <f t="shared" si="4"/>
        <v>0.7084830000000002</v>
      </c>
    </row>
    <row r="85" spans="1:13" x14ac:dyDescent="0.25">
      <c r="A85" s="2">
        <v>46113</v>
      </c>
      <c r="B85">
        <v>313.59899999999999</v>
      </c>
      <c r="C85">
        <v>74.352800000000002</v>
      </c>
      <c r="D85">
        <v>3.6701250000000001</v>
      </c>
      <c r="E85">
        <v>2.984064</v>
      </c>
      <c r="F85">
        <v>47.516759999999998</v>
      </c>
      <c r="G85">
        <v>53.814830000000001</v>
      </c>
      <c r="H85">
        <v>53.814830000000001</v>
      </c>
      <c r="I85">
        <v>41.475760000000001</v>
      </c>
      <c r="J85">
        <v>51.536799999999999</v>
      </c>
      <c r="K85">
        <v>7981.27</v>
      </c>
      <c r="L85">
        <f t="shared" si="3"/>
        <v>49.631796000000001</v>
      </c>
      <c r="M85">
        <f t="shared" si="4"/>
        <v>0.68606100000000003</v>
      </c>
    </row>
    <row r="86" spans="1:13" x14ac:dyDescent="0.25">
      <c r="A86" s="2">
        <v>46204</v>
      </c>
      <c r="B86">
        <v>291.64699999999999</v>
      </c>
      <c r="C86">
        <v>61.6511</v>
      </c>
      <c r="D86">
        <v>3.6798099999999998</v>
      </c>
      <c r="E86">
        <v>2.877672</v>
      </c>
      <c r="F86">
        <v>41.052700000000002</v>
      </c>
      <c r="G86">
        <v>43.032960000000003</v>
      </c>
      <c r="H86">
        <v>43.032960000000003</v>
      </c>
      <c r="I86">
        <v>33.691800000000001</v>
      </c>
      <c r="J86">
        <v>41.744840000000003</v>
      </c>
      <c r="K86">
        <v>8337.2900000000009</v>
      </c>
      <c r="L86">
        <f t="shared" si="3"/>
        <v>40.511052000000007</v>
      </c>
      <c r="M86">
        <f t="shared" si="4"/>
        <v>0.8021379999999998</v>
      </c>
    </row>
    <row r="87" spans="1:13" x14ac:dyDescent="0.25">
      <c r="A87" s="2">
        <v>46258</v>
      </c>
      <c r="B87">
        <v>265.07199096679688</v>
      </c>
      <c r="C87">
        <v>60.747501373291016</v>
      </c>
      <c r="D87">
        <v>4.1175754377788376</v>
      </c>
      <c r="E87">
        <v>3.247030310158078</v>
      </c>
      <c r="F87">
        <v>41.292007446289063</v>
      </c>
      <c r="G87">
        <v>41.932090000000002</v>
      </c>
      <c r="H87">
        <v>41.932090000000002</v>
      </c>
      <c r="I87">
        <v>35.286521911621094</v>
      </c>
      <c r="J87">
        <v>43.091705322265625</v>
      </c>
      <c r="K87">
        <v>8478.27</v>
      </c>
      <c r="L87">
        <f t="shared" si="3"/>
        <v>40.706882936035157</v>
      </c>
      <c r="M87">
        <f t="shared" si="4"/>
        <v>0.87054512762075964</v>
      </c>
    </row>
    <row r="88" spans="1:13" x14ac:dyDescent="0.25">
      <c r="A88" s="2"/>
      <c r="L88" t="str">
        <f t="shared" si="3"/>
        <v/>
      </c>
      <c r="M88" t="str">
        <f t="shared" si="4"/>
        <v/>
      </c>
    </row>
    <row r="89" spans="1:13" x14ac:dyDescent="0.25">
      <c r="L89" t="str">
        <f t="shared" si="3"/>
        <v/>
      </c>
      <c r="M89" t="str">
        <f t="shared" si="4"/>
        <v/>
      </c>
    </row>
    <row r="90" spans="1:13" x14ac:dyDescent="0.25">
      <c r="L90" t="str">
        <f t="shared" si="3"/>
        <v/>
      </c>
      <c r="M90" t="str">
        <f t="shared" si="4"/>
        <v/>
      </c>
    </row>
    <row r="91" spans="1:13" x14ac:dyDescent="0.25">
      <c r="L91" t="str">
        <f t="shared" si="3"/>
        <v/>
      </c>
      <c r="M91" t="str">
        <f t="shared" si="4"/>
        <v/>
      </c>
    </row>
    <row r="92" spans="1:13" x14ac:dyDescent="0.25">
      <c r="L92" t="str">
        <f t="shared" si="3"/>
        <v/>
      </c>
      <c r="M92" t="str">
        <f t="shared" si="4"/>
        <v/>
      </c>
    </row>
    <row r="93" spans="1:13" x14ac:dyDescent="0.25">
      <c r="L93" t="str">
        <f t="shared" si="3"/>
        <v/>
      </c>
      <c r="M93" t="str">
        <f t="shared" si="4"/>
        <v/>
      </c>
    </row>
    <row r="94" spans="1:13" x14ac:dyDescent="0.25">
      <c r="L94" t="str">
        <f t="shared" si="3"/>
        <v/>
      </c>
      <c r="M94" t="str">
        <f t="shared" si="4"/>
        <v/>
      </c>
    </row>
    <row r="95" spans="1:13" x14ac:dyDescent="0.25">
      <c r="L95" t="str">
        <f t="shared" si="3"/>
        <v/>
      </c>
      <c r="M95" t="str">
        <f t="shared" si="4"/>
        <v/>
      </c>
    </row>
    <row r="96" spans="1:13" x14ac:dyDescent="0.25">
      <c r="L96" t="str">
        <f t="shared" si="3"/>
        <v/>
      </c>
      <c r="M96" t="str">
        <f t="shared" si="4"/>
        <v/>
      </c>
    </row>
    <row r="97" spans="12:13" x14ac:dyDescent="0.25">
      <c r="L97" t="str">
        <f t="shared" si="3"/>
        <v/>
      </c>
      <c r="M97" t="str">
        <f t="shared" si="4"/>
        <v/>
      </c>
    </row>
    <row r="98" spans="12:13" x14ac:dyDescent="0.25">
      <c r="L98" t="str">
        <f t="shared" si="3"/>
        <v/>
      </c>
      <c r="M98" t="str">
        <f t="shared" si="4"/>
        <v/>
      </c>
    </row>
    <row r="99" spans="12:13" x14ac:dyDescent="0.25">
      <c r="L99" t="str">
        <f t="shared" si="3"/>
        <v/>
      </c>
      <c r="M99" t="str">
        <f t="shared" si="4"/>
        <v/>
      </c>
    </row>
    <row r="100" spans="12:13" x14ac:dyDescent="0.25">
      <c r="L100" t="str">
        <f t="shared" si="3"/>
        <v/>
      </c>
      <c r="M100" t="str">
        <f t="shared" si="4"/>
        <v/>
      </c>
    </row>
    <row r="101" spans="12:13" x14ac:dyDescent="0.25">
      <c r="L101" t="str">
        <f t="shared" si="3"/>
        <v/>
      </c>
      <c r="M101" t="str">
        <f t="shared" si="4"/>
        <v/>
      </c>
    </row>
    <row r="102" spans="12:13" x14ac:dyDescent="0.25">
      <c r="L102" t="str">
        <f t="shared" si="3"/>
        <v/>
      </c>
      <c r="M102" t="str">
        <f t="shared" si="4"/>
        <v/>
      </c>
    </row>
    <row r="103" spans="12:13" x14ac:dyDescent="0.25">
      <c r="L103" t="str">
        <f t="shared" si="3"/>
        <v/>
      </c>
      <c r="M103" t="str">
        <f t="shared" si="4"/>
        <v/>
      </c>
    </row>
    <row r="104" spans="12:13" x14ac:dyDescent="0.25">
      <c r="L104" t="str">
        <f t="shared" si="3"/>
        <v/>
      </c>
      <c r="M104" t="str">
        <f t="shared" si="4"/>
        <v/>
      </c>
    </row>
    <row r="105" spans="12:13" x14ac:dyDescent="0.25">
      <c r="L105" t="str">
        <f t="shared" si="3"/>
        <v/>
      </c>
      <c r="M105" t="str">
        <f t="shared" si="4"/>
        <v/>
      </c>
    </row>
    <row r="106" spans="12:13" x14ac:dyDescent="0.25">
      <c r="L106" t="str">
        <f t="shared" si="3"/>
        <v/>
      </c>
      <c r="M106" t="str">
        <f t="shared" si="4"/>
        <v/>
      </c>
    </row>
    <row r="107" spans="12:13" x14ac:dyDescent="0.25">
      <c r="L107" t="str">
        <f t="shared" si="3"/>
        <v/>
      </c>
      <c r="M107" t="str">
        <f t="shared" si="4"/>
        <v/>
      </c>
    </row>
    <row r="108" spans="12:13" x14ac:dyDescent="0.25">
      <c r="L108" t="str">
        <f t="shared" si="3"/>
        <v/>
      </c>
      <c r="M108" t="str">
        <f t="shared" si="4"/>
        <v/>
      </c>
    </row>
    <row r="109" spans="12:13" x14ac:dyDescent="0.25">
      <c r="L109" t="str">
        <f t="shared" si="3"/>
        <v/>
      </c>
      <c r="M109" t="str">
        <f t="shared" si="4"/>
        <v/>
      </c>
    </row>
    <row r="110" spans="12:13" x14ac:dyDescent="0.25">
      <c r="L110" t="str">
        <f t="shared" si="3"/>
        <v/>
      </c>
      <c r="M110" t="str">
        <f t="shared" si="4"/>
        <v/>
      </c>
    </row>
    <row r="111" spans="12:13" x14ac:dyDescent="0.25">
      <c r="L111" t="str">
        <f t="shared" si="3"/>
        <v/>
      </c>
      <c r="M111" t="str">
        <f t="shared" si="4"/>
        <v/>
      </c>
    </row>
    <row r="112" spans="12:13" x14ac:dyDescent="0.25">
      <c r="L112" t="str">
        <f t="shared" si="3"/>
        <v/>
      </c>
      <c r="M112" t="str">
        <f t="shared" si="4"/>
        <v/>
      </c>
    </row>
    <row r="113" spans="12:13" x14ac:dyDescent="0.25">
      <c r="L113" t="str">
        <f t="shared" si="3"/>
        <v/>
      </c>
      <c r="M113" t="str">
        <f t="shared" si="4"/>
        <v/>
      </c>
    </row>
    <row r="114" spans="12:13" x14ac:dyDescent="0.25">
      <c r="L114" t="str">
        <f t="shared" si="3"/>
        <v/>
      </c>
      <c r="M114" t="str">
        <f t="shared" si="4"/>
        <v/>
      </c>
    </row>
    <row r="115" spans="12:13" x14ac:dyDescent="0.25">
      <c r="L115" t="str">
        <f t="shared" si="3"/>
        <v/>
      </c>
      <c r="M115" t="str">
        <f t="shared" si="4"/>
        <v/>
      </c>
    </row>
    <row r="116" spans="12:13" x14ac:dyDescent="0.25">
      <c r="L116" t="str">
        <f t="shared" si="3"/>
        <v/>
      </c>
      <c r="M116" t="str">
        <f t="shared" si="4"/>
        <v/>
      </c>
    </row>
    <row r="117" spans="12:13" x14ac:dyDescent="0.25">
      <c r="L117" t="str">
        <f t="shared" si="3"/>
        <v/>
      </c>
      <c r="M117" t="str">
        <f t="shared" si="4"/>
        <v/>
      </c>
    </row>
    <row r="118" spans="12:13" x14ac:dyDescent="0.25">
      <c r="L118" t="str">
        <f t="shared" si="3"/>
        <v/>
      </c>
      <c r="M118" t="str">
        <f t="shared" si="4"/>
        <v/>
      </c>
    </row>
    <row r="119" spans="12:13" x14ac:dyDescent="0.25">
      <c r="L119" t="str">
        <f t="shared" ref="L119:L182" si="5">IF(A119="","",AVERAGE(F119:J119))</f>
        <v/>
      </c>
      <c r="M119" t="str">
        <f t="shared" si="4"/>
        <v/>
      </c>
    </row>
    <row r="120" spans="12:13" x14ac:dyDescent="0.25">
      <c r="L120" t="str">
        <f t="shared" si="5"/>
        <v/>
      </c>
      <c r="M120" t="str">
        <f t="shared" si="4"/>
        <v/>
      </c>
    </row>
    <row r="121" spans="12:13" x14ac:dyDescent="0.25">
      <c r="L121" t="str">
        <f t="shared" si="5"/>
        <v/>
      </c>
      <c r="M121" t="str">
        <f t="shared" si="4"/>
        <v/>
      </c>
    </row>
    <row r="122" spans="12:13" x14ac:dyDescent="0.25">
      <c r="L122" t="str">
        <f t="shared" si="5"/>
        <v/>
      </c>
      <c r="M122" t="str">
        <f t="shared" si="4"/>
        <v/>
      </c>
    </row>
    <row r="123" spans="12:13" x14ac:dyDescent="0.25">
      <c r="L123" t="str">
        <f t="shared" si="5"/>
        <v/>
      </c>
      <c r="M123" t="str">
        <f t="shared" si="4"/>
        <v/>
      </c>
    </row>
    <row r="124" spans="12:13" x14ac:dyDescent="0.25">
      <c r="L124" t="str">
        <f t="shared" si="5"/>
        <v/>
      </c>
      <c r="M124" t="str">
        <f t="shared" si="4"/>
        <v/>
      </c>
    </row>
    <row r="125" spans="12:13" x14ac:dyDescent="0.25">
      <c r="L125" t="str">
        <f t="shared" si="5"/>
        <v/>
      </c>
      <c r="M125" t="str">
        <f t="shared" si="4"/>
        <v/>
      </c>
    </row>
    <row r="126" spans="12:13" x14ac:dyDescent="0.25">
      <c r="L126" t="str">
        <f t="shared" si="5"/>
        <v/>
      </c>
      <c r="M126" t="str">
        <f t="shared" si="4"/>
        <v/>
      </c>
    </row>
    <row r="127" spans="12:13" x14ac:dyDescent="0.25">
      <c r="L127" t="str">
        <f t="shared" si="5"/>
        <v/>
      </c>
      <c r="M127" t="str">
        <f t="shared" si="4"/>
        <v/>
      </c>
    </row>
    <row r="128" spans="12:13" x14ac:dyDescent="0.25">
      <c r="L128" t="str">
        <f t="shared" si="5"/>
        <v/>
      </c>
      <c r="M128" t="str">
        <f t="shared" si="4"/>
        <v/>
      </c>
    </row>
    <row r="129" spans="12:13" x14ac:dyDescent="0.25">
      <c r="L129" t="str">
        <f t="shared" si="5"/>
        <v/>
      </c>
      <c r="M129" t="str">
        <f t="shared" si="4"/>
        <v/>
      </c>
    </row>
    <row r="130" spans="12:13" x14ac:dyDescent="0.25">
      <c r="L130" t="str">
        <f t="shared" si="5"/>
        <v/>
      </c>
      <c r="M130" t="str">
        <f t="shared" si="4"/>
        <v/>
      </c>
    </row>
    <row r="131" spans="12:13" x14ac:dyDescent="0.25">
      <c r="L131" t="str">
        <f t="shared" si="5"/>
        <v/>
      </c>
      <c r="M131" t="str">
        <f t="shared" si="4"/>
        <v/>
      </c>
    </row>
    <row r="132" spans="12:13" x14ac:dyDescent="0.25">
      <c r="L132" t="str">
        <f t="shared" si="5"/>
        <v/>
      </c>
      <c r="M132" t="str">
        <f t="shared" si="4"/>
        <v/>
      </c>
    </row>
    <row r="133" spans="12:13" x14ac:dyDescent="0.25">
      <c r="L133" t="str">
        <f t="shared" si="5"/>
        <v/>
      </c>
      <c r="M133" t="str">
        <f t="shared" ref="M133:M196" si="6">IF(A133="","",D133-E133)</f>
        <v/>
      </c>
    </row>
    <row r="134" spans="12:13" x14ac:dyDescent="0.25">
      <c r="L134" t="str">
        <f t="shared" si="5"/>
        <v/>
      </c>
      <c r="M134" t="str">
        <f t="shared" si="6"/>
        <v/>
      </c>
    </row>
    <row r="135" spans="12:13" x14ac:dyDescent="0.25">
      <c r="L135" t="str">
        <f t="shared" si="5"/>
        <v/>
      </c>
      <c r="M135" t="str">
        <f t="shared" si="6"/>
        <v/>
      </c>
    </row>
    <row r="136" spans="12:13" x14ac:dyDescent="0.25">
      <c r="L136" t="str">
        <f t="shared" si="5"/>
        <v/>
      </c>
      <c r="M136" t="str">
        <f t="shared" si="6"/>
        <v/>
      </c>
    </row>
    <row r="137" spans="12:13" x14ac:dyDescent="0.25">
      <c r="L137" t="str">
        <f t="shared" si="5"/>
        <v/>
      </c>
      <c r="M137" t="str">
        <f t="shared" si="6"/>
        <v/>
      </c>
    </row>
    <row r="138" spans="12:13" x14ac:dyDescent="0.25">
      <c r="L138" t="str">
        <f t="shared" si="5"/>
        <v/>
      </c>
      <c r="M138" t="str">
        <f t="shared" si="6"/>
        <v/>
      </c>
    </row>
    <row r="139" spans="12:13" x14ac:dyDescent="0.25">
      <c r="L139" t="str">
        <f t="shared" si="5"/>
        <v/>
      </c>
      <c r="M139" t="str">
        <f t="shared" si="6"/>
        <v/>
      </c>
    </row>
    <row r="140" spans="12:13" x14ac:dyDescent="0.25">
      <c r="L140" t="str">
        <f t="shared" si="5"/>
        <v/>
      </c>
      <c r="M140" t="str">
        <f t="shared" si="6"/>
        <v/>
      </c>
    </row>
    <row r="141" spans="12:13" x14ac:dyDescent="0.25">
      <c r="L141" t="str">
        <f t="shared" si="5"/>
        <v/>
      </c>
      <c r="M141" t="str">
        <f t="shared" si="6"/>
        <v/>
      </c>
    </row>
    <row r="142" spans="12:13" x14ac:dyDescent="0.25">
      <c r="L142" t="str">
        <f t="shared" si="5"/>
        <v/>
      </c>
      <c r="M142" t="str">
        <f t="shared" si="6"/>
        <v/>
      </c>
    </row>
    <row r="143" spans="12:13" x14ac:dyDescent="0.25">
      <c r="L143" t="str">
        <f t="shared" si="5"/>
        <v/>
      </c>
      <c r="M143" t="str">
        <f t="shared" si="6"/>
        <v/>
      </c>
    </row>
    <row r="144" spans="12:13" x14ac:dyDescent="0.25">
      <c r="L144" t="str">
        <f t="shared" si="5"/>
        <v/>
      </c>
      <c r="M144" t="str">
        <f t="shared" si="6"/>
        <v/>
      </c>
    </row>
    <row r="145" spans="12:13" x14ac:dyDescent="0.25">
      <c r="L145" t="str">
        <f t="shared" si="5"/>
        <v/>
      </c>
      <c r="M145" t="str">
        <f t="shared" si="6"/>
        <v/>
      </c>
    </row>
    <row r="146" spans="12:13" x14ac:dyDescent="0.25">
      <c r="L146" t="str">
        <f t="shared" si="5"/>
        <v/>
      </c>
      <c r="M146" t="str">
        <f t="shared" si="6"/>
        <v/>
      </c>
    </row>
    <row r="147" spans="12:13" x14ac:dyDescent="0.25">
      <c r="L147" t="str">
        <f t="shared" si="5"/>
        <v/>
      </c>
      <c r="M147" t="str">
        <f t="shared" si="6"/>
        <v/>
      </c>
    </row>
    <row r="148" spans="12:13" x14ac:dyDescent="0.25">
      <c r="L148" t="str">
        <f t="shared" si="5"/>
        <v/>
      </c>
      <c r="M148" t="str">
        <f t="shared" si="6"/>
        <v/>
      </c>
    </row>
    <row r="149" spans="12:13" x14ac:dyDescent="0.25">
      <c r="L149" t="str">
        <f t="shared" si="5"/>
        <v/>
      </c>
      <c r="M149" t="str">
        <f t="shared" si="6"/>
        <v/>
      </c>
    </row>
    <row r="150" spans="12:13" x14ac:dyDescent="0.25">
      <c r="L150" t="str">
        <f t="shared" si="5"/>
        <v/>
      </c>
      <c r="M150" t="str">
        <f t="shared" si="6"/>
        <v/>
      </c>
    </row>
    <row r="151" spans="12:13" x14ac:dyDescent="0.25">
      <c r="L151" t="str">
        <f t="shared" si="5"/>
        <v/>
      </c>
      <c r="M151" t="str">
        <f t="shared" si="6"/>
        <v/>
      </c>
    </row>
    <row r="152" spans="12:13" x14ac:dyDescent="0.25">
      <c r="L152" t="str">
        <f t="shared" si="5"/>
        <v/>
      </c>
      <c r="M152" t="str">
        <f t="shared" si="6"/>
        <v/>
      </c>
    </row>
    <row r="153" spans="12:13" x14ac:dyDescent="0.25">
      <c r="L153" t="str">
        <f t="shared" si="5"/>
        <v/>
      </c>
      <c r="M153" t="str">
        <f t="shared" si="6"/>
        <v/>
      </c>
    </row>
    <row r="154" spans="12:13" x14ac:dyDescent="0.25">
      <c r="L154" t="str">
        <f t="shared" si="5"/>
        <v/>
      </c>
      <c r="M154" t="str">
        <f t="shared" si="6"/>
        <v/>
      </c>
    </row>
    <row r="155" spans="12:13" x14ac:dyDescent="0.25">
      <c r="L155" t="str">
        <f t="shared" si="5"/>
        <v/>
      </c>
      <c r="M155" t="str">
        <f t="shared" si="6"/>
        <v/>
      </c>
    </row>
    <row r="156" spans="12:13" x14ac:dyDescent="0.25">
      <c r="L156" t="str">
        <f t="shared" si="5"/>
        <v/>
      </c>
      <c r="M156" t="str">
        <f t="shared" si="6"/>
        <v/>
      </c>
    </row>
    <row r="157" spans="12:13" x14ac:dyDescent="0.25">
      <c r="L157" t="str">
        <f t="shared" si="5"/>
        <v/>
      </c>
      <c r="M157" t="str">
        <f t="shared" si="6"/>
        <v/>
      </c>
    </row>
    <row r="158" spans="12:13" x14ac:dyDescent="0.25">
      <c r="L158" t="str">
        <f t="shared" si="5"/>
        <v/>
      </c>
      <c r="M158" t="str">
        <f t="shared" si="6"/>
        <v/>
      </c>
    </row>
    <row r="159" spans="12:13" x14ac:dyDescent="0.25">
      <c r="L159" t="str">
        <f t="shared" si="5"/>
        <v/>
      </c>
      <c r="M159" t="str">
        <f t="shared" si="6"/>
        <v/>
      </c>
    </row>
    <row r="160" spans="12:13" x14ac:dyDescent="0.25">
      <c r="L160" t="str">
        <f t="shared" si="5"/>
        <v/>
      </c>
      <c r="M160" t="str">
        <f t="shared" si="6"/>
        <v/>
      </c>
    </row>
    <row r="161" spans="12:13" x14ac:dyDescent="0.25">
      <c r="L161" t="str">
        <f t="shared" si="5"/>
        <v/>
      </c>
      <c r="M161" t="str">
        <f t="shared" si="6"/>
        <v/>
      </c>
    </row>
    <row r="162" spans="12:13" x14ac:dyDescent="0.25">
      <c r="L162" t="str">
        <f t="shared" si="5"/>
        <v/>
      </c>
      <c r="M162" t="str">
        <f t="shared" si="6"/>
        <v/>
      </c>
    </row>
    <row r="163" spans="12:13" x14ac:dyDescent="0.25">
      <c r="L163" t="str">
        <f t="shared" si="5"/>
        <v/>
      </c>
      <c r="M163" t="str">
        <f t="shared" si="6"/>
        <v/>
      </c>
    </row>
    <row r="164" spans="12:13" x14ac:dyDescent="0.25">
      <c r="L164" t="str">
        <f t="shared" si="5"/>
        <v/>
      </c>
      <c r="M164" t="str">
        <f t="shared" si="6"/>
        <v/>
      </c>
    </row>
    <row r="165" spans="12:13" x14ac:dyDescent="0.25">
      <c r="L165" t="str">
        <f t="shared" si="5"/>
        <v/>
      </c>
      <c r="M165" t="str">
        <f t="shared" si="6"/>
        <v/>
      </c>
    </row>
    <row r="166" spans="12:13" x14ac:dyDescent="0.25">
      <c r="L166" t="str">
        <f t="shared" si="5"/>
        <v/>
      </c>
      <c r="M166" t="str">
        <f t="shared" si="6"/>
        <v/>
      </c>
    </row>
    <row r="167" spans="12:13" x14ac:dyDescent="0.25">
      <c r="L167" t="str">
        <f t="shared" si="5"/>
        <v/>
      </c>
      <c r="M167" t="str">
        <f t="shared" si="6"/>
        <v/>
      </c>
    </row>
    <row r="168" spans="12:13" x14ac:dyDescent="0.25">
      <c r="L168" t="str">
        <f t="shared" si="5"/>
        <v/>
      </c>
      <c r="M168" t="str">
        <f t="shared" si="6"/>
        <v/>
      </c>
    </row>
    <row r="169" spans="12:13" x14ac:dyDescent="0.25">
      <c r="L169" t="str">
        <f t="shared" si="5"/>
        <v/>
      </c>
      <c r="M169" t="str">
        <f t="shared" si="6"/>
        <v/>
      </c>
    </row>
    <row r="170" spans="12:13" x14ac:dyDescent="0.25">
      <c r="L170" t="str">
        <f t="shared" si="5"/>
        <v/>
      </c>
      <c r="M170" t="str">
        <f t="shared" si="6"/>
        <v/>
      </c>
    </row>
    <row r="171" spans="12:13" x14ac:dyDescent="0.25">
      <c r="L171" t="str">
        <f t="shared" si="5"/>
        <v/>
      </c>
      <c r="M171" t="str">
        <f t="shared" si="6"/>
        <v/>
      </c>
    </row>
    <row r="172" spans="12:13" x14ac:dyDescent="0.25">
      <c r="L172" t="str">
        <f t="shared" si="5"/>
        <v/>
      </c>
      <c r="M172" t="str">
        <f t="shared" si="6"/>
        <v/>
      </c>
    </row>
    <row r="173" spans="12:13" x14ac:dyDescent="0.25">
      <c r="L173" t="str">
        <f t="shared" si="5"/>
        <v/>
      </c>
      <c r="M173" t="str">
        <f t="shared" si="6"/>
        <v/>
      </c>
    </row>
    <row r="174" spans="12:13" x14ac:dyDescent="0.25">
      <c r="L174" t="str">
        <f t="shared" si="5"/>
        <v/>
      </c>
      <c r="M174" t="str">
        <f t="shared" si="6"/>
        <v/>
      </c>
    </row>
    <row r="175" spans="12:13" x14ac:dyDescent="0.25">
      <c r="L175" t="str">
        <f t="shared" si="5"/>
        <v/>
      </c>
      <c r="M175" t="str">
        <f t="shared" si="6"/>
        <v/>
      </c>
    </row>
    <row r="176" spans="12:13" x14ac:dyDescent="0.25">
      <c r="L176" t="str">
        <f t="shared" si="5"/>
        <v/>
      </c>
      <c r="M176" t="str">
        <f t="shared" si="6"/>
        <v/>
      </c>
    </row>
    <row r="177" spans="12:13" x14ac:dyDescent="0.25">
      <c r="L177" t="str">
        <f t="shared" si="5"/>
        <v/>
      </c>
      <c r="M177" t="str">
        <f t="shared" si="6"/>
        <v/>
      </c>
    </row>
    <row r="178" spans="12:13" x14ac:dyDescent="0.25">
      <c r="L178" t="str">
        <f t="shared" si="5"/>
        <v/>
      </c>
      <c r="M178" t="str">
        <f t="shared" si="6"/>
        <v/>
      </c>
    </row>
    <row r="179" spans="12:13" x14ac:dyDescent="0.25">
      <c r="L179" t="str">
        <f t="shared" si="5"/>
        <v/>
      </c>
      <c r="M179" t="str">
        <f t="shared" si="6"/>
        <v/>
      </c>
    </row>
    <row r="180" spans="12:13" x14ac:dyDescent="0.25">
      <c r="L180" t="str">
        <f t="shared" si="5"/>
        <v/>
      </c>
      <c r="M180" t="str">
        <f t="shared" si="6"/>
        <v/>
      </c>
    </row>
    <row r="181" spans="12:13" x14ac:dyDescent="0.25">
      <c r="L181" t="str">
        <f t="shared" si="5"/>
        <v/>
      </c>
      <c r="M181" t="str">
        <f t="shared" si="6"/>
        <v/>
      </c>
    </row>
    <row r="182" spans="12:13" x14ac:dyDescent="0.25">
      <c r="L182" t="str">
        <f t="shared" si="5"/>
        <v/>
      </c>
      <c r="M182" t="str">
        <f t="shared" si="6"/>
        <v/>
      </c>
    </row>
    <row r="183" spans="12:13" x14ac:dyDescent="0.25">
      <c r="L183" t="str">
        <f t="shared" ref="L183:L246" si="7">IF(A183="","",AVERAGE(F183:J183))</f>
        <v/>
      </c>
      <c r="M183" t="str">
        <f t="shared" si="6"/>
        <v/>
      </c>
    </row>
    <row r="184" spans="12:13" x14ac:dyDescent="0.25">
      <c r="L184" t="str">
        <f t="shared" si="7"/>
        <v/>
      </c>
      <c r="M184" t="str">
        <f t="shared" si="6"/>
        <v/>
      </c>
    </row>
    <row r="185" spans="12:13" x14ac:dyDescent="0.25">
      <c r="L185" t="str">
        <f t="shared" si="7"/>
        <v/>
      </c>
      <c r="M185" t="str">
        <f t="shared" si="6"/>
        <v/>
      </c>
    </row>
    <row r="186" spans="12:13" x14ac:dyDescent="0.25">
      <c r="L186" t="str">
        <f t="shared" si="7"/>
        <v/>
      </c>
      <c r="M186" t="str">
        <f t="shared" si="6"/>
        <v/>
      </c>
    </row>
    <row r="187" spans="12:13" x14ac:dyDescent="0.25">
      <c r="L187" t="str">
        <f t="shared" si="7"/>
        <v/>
      </c>
      <c r="M187" t="str">
        <f t="shared" si="6"/>
        <v/>
      </c>
    </row>
    <row r="188" spans="12:13" x14ac:dyDescent="0.25">
      <c r="L188" t="str">
        <f t="shared" si="7"/>
        <v/>
      </c>
      <c r="M188" t="str">
        <f t="shared" si="6"/>
        <v/>
      </c>
    </row>
    <row r="189" spans="12:13" x14ac:dyDescent="0.25">
      <c r="L189" t="str">
        <f t="shared" si="7"/>
        <v/>
      </c>
      <c r="M189" t="str">
        <f t="shared" si="6"/>
        <v/>
      </c>
    </row>
    <row r="190" spans="12:13" x14ac:dyDescent="0.25">
      <c r="L190" t="str">
        <f t="shared" si="7"/>
        <v/>
      </c>
      <c r="M190" t="str">
        <f t="shared" si="6"/>
        <v/>
      </c>
    </row>
    <row r="191" spans="12:13" x14ac:dyDescent="0.25">
      <c r="L191" t="str">
        <f t="shared" si="7"/>
        <v/>
      </c>
      <c r="M191" t="str">
        <f t="shared" si="6"/>
        <v/>
      </c>
    </row>
    <row r="192" spans="12:13" x14ac:dyDescent="0.25">
      <c r="L192" t="str">
        <f t="shared" si="7"/>
        <v/>
      </c>
      <c r="M192" t="str">
        <f t="shared" si="6"/>
        <v/>
      </c>
    </row>
    <row r="193" spans="12:13" x14ac:dyDescent="0.25">
      <c r="L193" t="str">
        <f t="shared" si="7"/>
        <v/>
      </c>
      <c r="M193" t="str">
        <f t="shared" si="6"/>
        <v/>
      </c>
    </row>
    <row r="194" spans="12:13" x14ac:dyDescent="0.25">
      <c r="L194" t="str">
        <f t="shared" si="7"/>
        <v/>
      </c>
      <c r="M194" t="str">
        <f t="shared" si="6"/>
        <v/>
      </c>
    </row>
    <row r="195" spans="12:13" x14ac:dyDescent="0.25">
      <c r="L195" t="str">
        <f t="shared" si="7"/>
        <v/>
      </c>
      <c r="M195" t="str">
        <f t="shared" si="6"/>
        <v/>
      </c>
    </row>
    <row r="196" spans="12:13" x14ac:dyDescent="0.25">
      <c r="L196" t="str">
        <f t="shared" si="7"/>
        <v/>
      </c>
      <c r="M196" t="str">
        <f t="shared" si="6"/>
        <v/>
      </c>
    </row>
    <row r="197" spans="12:13" x14ac:dyDescent="0.25">
      <c r="L197" t="str">
        <f t="shared" si="7"/>
        <v/>
      </c>
      <c r="M197" t="str">
        <f t="shared" ref="M197:M260" si="8">IF(A197="","",D197-E197)</f>
        <v/>
      </c>
    </row>
    <row r="198" spans="12:13" x14ac:dyDescent="0.25">
      <c r="L198" t="str">
        <f t="shared" si="7"/>
        <v/>
      </c>
      <c r="M198" t="str">
        <f t="shared" si="8"/>
        <v/>
      </c>
    </row>
    <row r="199" spans="12:13" x14ac:dyDescent="0.25">
      <c r="L199" t="str">
        <f t="shared" si="7"/>
        <v/>
      </c>
      <c r="M199" t="str">
        <f t="shared" si="8"/>
        <v/>
      </c>
    </row>
    <row r="200" spans="12:13" x14ac:dyDescent="0.25">
      <c r="L200" t="str">
        <f t="shared" si="7"/>
        <v/>
      </c>
      <c r="M200" t="str">
        <f t="shared" si="8"/>
        <v/>
      </c>
    </row>
    <row r="201" spans="12:13" x14ac:dyDescent="0.25">
      <c r="L201" t="str">
        <f t="shared" si="7"/>
        <v/>
      </c>
      <c r="M201" t="str">
        <f t="shared" si="8"/>
        <v/>
      </c>
    </row>
    <row r="202" spans="12:13" x14ac:dyDescent="0.25">
      <c r="L202" t="str">
        <f t="shared" si="7"/>
        <v/>
      </c>
      <c r="M202" t="str">
        <f t="shared" si="8"/>
        <v/>
      </c>
    </row>
    <row r="203" spans="12:13" x14ac:dyDescent="0.25">
      <c r="L203" t="str">
        <f t="shared" si="7"/>
        <v/>
      </c>
      <c r="M203" t="str">
        <f t="shared" si="8"/>
        <v/>
      </c>
    </row>
    <row r="204" spans="12:13" x14ac:dyDescent="0.25">
      <c r="L204" t="str">
        <f t="shared" si="7"/>
        <v/>
      </c>
      <c r="M204" t="str">
        <f t="shared" si="8"/>
        <v/>
      </c>
    </row>
    <row r="205" spans="12:13" x14ac:dyDescent="0.25">
      <c r="L205" t="str">
        <f t="shared" si="7"/>
        <v/>
      </c>
      <c r="M205" t="str">
        <f t="shared" si="8"/>
        <v/>
      </c>
    </row>
    <row r="206" spans="12:13" x14ac:dyDescent="0.25">
      <c r="L206" t="str">
        <f t="shared" si="7"/>
        <v/>
      </c>
      <c r="M206" t="str">
        <f t="shared" si="8"/>
        <v/>
      </c>
    </row>
    <row r="207" spans="12:13" x14ac:dyDescent="0.25">
      <c r="L207" t="str">
        <f t="shared" si="7"/>
        <v/>
      </c>
      <c r="M207" t="str">
        <f t="shared" si="8"/>
        <v/>
      </c>
    </row>
    <row r="208" spans="12:13" x14ac:dyDescent="0.25">
      <c r="L208" t="str">
        <f t="shared" si="7"/>
        <v/>
      </c>
      <c r="M208" t="str">
        <f t="shared" si="8"/>
        <v/>
      </c>
    </row>
    <row r="209" spans="12:13" x14ac:dyDescent="0.25">
      <c r="L209" t="str">
        <f t="shared" si="7"/>
        <v/>
      </c>
      <c r="M209" t="str">
        <f t="shared" si="8"/>
        <v/>
      </c>
    </row>
    <row r="210" spans="12:13" x14ac:dyDescent="0.25">
      <c r="L210" t="str">
        <f t="shared" si="7"/>
        <v/>
      </c>
      <c r="M210" t="str">
        <f t="shared" si="8"/>
        <v/>
      </c>
    </row>
    <row r="211" spans="12:13" x14ac:dyDescent="0.25">
      <c r="L211" t="str">
        <f t="shared" si="7"/>
        <v/>
      </c>
      <c r="M211" t="str">
        <f t="shared" si="8"/>
        <v/>
      </c>
    </row>
    <row r="212" spans="12:13" x14ac:dyDescent="0.25">
      <c r="L212" t="str">
        <f t="shared" si="7"/>
        <v/>
      </c>
      <c r="M212" t="str">
        <f t="shared" si="8"/>
        <v/>
      </c>
    </row>
    <row r="213" spans="12:13" x14ac:dyDescent="0.25">
      <c r="L213" t="str">
        <f t="shared" si="7"/>
        <v/>
      </c>
      <c r="M213" t="str">
        <f t="shared" si="8"/>
        <v/>
      </c>
    </row>
    <row r="214" spans="12:13" x14ac:dyDescent="0.25">
      <c r="L214" t="str">
        <f t="shared" si="7"/>
        <v/>
      </c>
      <c r="M214" t="str">
        <f t="shared" si="8"/>
        <v/>
      </c>
    </row>
    <row r="215" spans="12:13" x14ac:dyDescent="0.25">
      <c r="L215" t="str">
        <f t="shared" si="7"/>
        <v/>
      </c>
      <c r="M215" t="str">
        <f t="shared" si="8"/>
        <v/>
      </c>
    </row>
    <row r="216" spans="12:13" x14ac:dyDescent="0.25">
      <c r="L216" t="str">
        <f t="shared" si="7"/>
        <v/>
      </c>
      <c r="M216" t="str">
        <f t="shared" si="8"/>
        <v/>
      </c>
    </row>
    <row r="217" spans="12:13" x14ac:dyDescent="0.25">
      <c r="L217" t="str">
        <f t="shared" si="7"/>
        <v/>
      </c>
      <c r="M217" t="str">
        <f t="shared" si="8"/>
        <v/>
      </c>
    </row>
    <row r="218" spans="12:13" x14ac:dyDescent="0.25">
      <c r="L218" t="str">
        <f t="shared" si="7"/>
        <v/>
      </c>
      <c r="M218" t="str">
        <f t="shared" si="8"/>
        <v/>
      </c>
    </row>
    <row r="219" spans="12:13" x14ac:dyDescent="0.25">
      <c r="L219" t="str">
        <f t="shared" si="7"/>
        <v/>
      </c>
      <c r="M219" t="str">
        <f t="shared" si="8"/>
        <v/>
      </c>
    </row>
    <row r="220" spans="12:13" x14ac:dyDescent="0.25">
      <c r="L220" t="str">
        <f t="shared" si="7"/>
        <v/>
      </c>
      <c r="M220" t="str">
        <f t="shared" si="8"/>
        <v/>
      </c>
    </row>
    <row r="221" spans="12:13" x14ac:dyDescent="0.25">
      <c r="L221" t="str">
        <f t="shared" si="7"/>
        <v/>
      </c>
      <c r="M221" t="str">
        <f t="shared" si="8"/>
        <v/>
      </c>
    </row>
    <row r="222" spans="12:13" x14ac:dyDescent="0.25">
      <c r="L222" t="str">
        <f t="shared" si="7"/>
        <v/>
      </c>
      <c r="M222" t="str">
        <f t="shared" si="8"/>
        <v/>
      </c>
    </row>
    <row r="223" spans="12:13" x14ac:dyDescent="0.25">
      <c r="L223" t="str">
        <f t="shared" si="7"/>
        <v/>
      </c>
      <c r="M223" t="str">
        <f t="shared" si="8"/>
        <v/>
      </c>
    </row>
    <row r="224" spans="12:13" x14ac:dyDescent="0.25">
      <c r="L224" t="str">
        <f t="shared" si="7"/>
        <v/>
      </c>
      <c r="M224" t="str">
        <f t="shared" si="8"/>
        <v/>
      </c>
    </row>
    <row r="225" spans="12:13" x14ac:dyDescent="0.25">
      <c r="L225" t="str">
        <f t="shared" si="7"/>
        <v/>
      </c>
      <c r="M225" t="str">
        <f t="shared" si="8"/>
        <v/>
      </c>
    </row>
    <row r="226" spans="12:13" x14ac:dyDescent="0.25">
      <c r="L226" t="str">
        <f t="shared" si="7"/>
        <v/>
      </c>
      <c r="M226" t="str">
        <f t="shared" si="8"/>
        <v/>
      </c>
    </row>
    <row r="227" spans="12:13" x14ac:dyDescent="0.25">
      <c r="L227" t="str">
        <f t="shared" si="7"/>
        <v/>
      </c>
      <c r="M227" t="str">
        <f t="shared" si="8"/>
        <v/>
      </c>
    </row>
    <row r="228" spans="12:13" x14ac:dyDescent="0.25">
      <c r="L228" t="str">
        <f t="shared" si="7"/>
        <v/>
      </c>
      <c r="M228" t="str">
        <f t="shared" si="8"/>
        <v/>
      </c>
    </row>
    <row r="229" spans="12:13" x14ac:dyDescent="0.25">
      <c r="L229" t="str">
        <f t="shared" si="7"/>
        <v/>
      </c>
      <c r="M229" t="str">
        <f t="shared" si="8"/>
        <v/>
      </c>
    </row>
    <row r="230" spans="12:13" x14ac:dyDescent="0.25">
      <c r="L230" t="str">
        <f t="shared" si="7"/>
        <v/>
      </c>
      <c r="M230" t="str">
        <f t="shared" si="8"/>
        <v/>
      </c>
    </row>
    <row r="231" spans="12:13" x14ac:dyDescent="0.25">
      <c r="L231" t="str">
        <f t="shared" si="7"/>
        <v/>
      </c>
      <c r="M231" t="str">
        <f t="shared" si="8"/>
        <v/>
      </c>
    </row>
    <row r="232" spans="12:13" x14ac:dyDescent="0.25">
      <c r="L232" t="str">
        <f t="shared" si="7"/>
        <v/>
      </c>
      <c r="M232" t="str">
        <f t="shared" si="8"/>
        <v/>
      </c>
    </row>
    <row r="233" spans="12:13" x14ac:dyDescent="0.25">
      <c r="L233" t="str">
        <f t="shared" si="7"/>
        <v/>
      </c>
      <c r="M233" t="str">
        <f t="shared" si="8"/>
        <v/>
      </c>
    </row>
    <row r="234" spans="12:13" x14ac:dyDescent="0.25">
      <c r="L234" t="str">
        <f t="shared" si="7"/>
        <v/>
      </c>
      <c r="M234" t="str">
        <f t="shared" si="8"/>
        <v/>
      </c>
    </row>
    <row r="235" spans="12:13" x14ac:dyDescent="0.25">
      <c r="L235" t="str">
        <f t="shared" si="7"/>
        <v/>
      </c>
      <c r="M235" t="str">
        <f t="shared" si="8"/>
        <v/>
      </c>
    </row>
    <row r="236" spans="12:13" x14ac:dyDescent="0.25">
      <c r="L236" t="str">
        <f t="shared" si="7"/>
        <v/>
      </c>
      <c r="M236" t="str">
        <f t="shared" si="8"/>
        <v/>
      </c>
    </row>
    <row r="237" spans="12:13" x14ac:dyDescent="0.25">
      <c r="L237" t="str">
        <f t="shared" si="7"/>
        <v/>
      </c>
      <c r="M237" t="str">
        <f t="shared" si="8"/>
        <v/>
      </c>
    </row>
    <row r="238" spans="12:13" x14ac:dyDescent="0.25">
      <c r="L238" t="str">
        <f t="shared" si="7"/>
        <v/>
      </c>
      <c r="M238" t="str">
        <f t="shared" si="8"/>
        <v/>
      </c>
    </row>
    <row r="239" spans="12:13" x14ac:dyDescent="0.25">
      <c r="L239" t="str">
        <f t="shared" si="7"/>
        <v/>
      </c>
      <c r="M239" t="str">
        <f t="shared" si="8"/>
        <v/>
      </c>
    </row>
    <row r="240" spans="12:13" x14ac:dyDescent="0.25">
      <c r="L240" t="str">
        <f t="shared" si="7"/>
        <v/>
      </c>
      <c r="M240" t="str">
        <f t="shared" si="8"/>
        <v/>
      </c>
    </row>
    <row r="241" spans="12:13" x14ac:dyDescent="0.25">
      <c r="L241" t="str">
        <f t="shared" si="7"/>
        <v/>
      </c>
      <c r="M241" t="str">
        <f t="shared" si="8"/>
        <v/>
      </c>
    </row>
    <row r="242" spans="12:13" x14ac:dyDescent="0.25">
      <c r="L242" t="str">
        <f t="shared" si="7"/>
        <v/>
      </c>
      <c r="M242" t="str">
        <f t="shared" si="8"/>
        <v/>
      </c>
    </row>
    <row r="243" spans="12:13" x14ac:dyDescent="0.25">
      <c r="L243" t="str">
        <f t="shared" si="7"/>
        <v/>
      </c>
      <c r="M243" t="str">
        <f t="shared" si="8"/>
        <v/>
      </c>
    </row>
    <row r="244" spans="12:13" x14ac:dyDescent="0.25">
      <c r="L244" t="str">
        <f t="shared" si="7"/>
        <v/>
      </c>
      <c r="M244" t="str">
        <f t="shared" si="8"/>
        <v/>
      </c>
    </row>
    <row r="245" spans="12:13" x14ac:dyDescent="0.25">
      <c r="L245" t="str">
        <f t="shared" si="7"/>
        <v/>
      </c>
      <c r="M245" t="str">
        <f t="shared" si="8"/>
        <v/>
      </c>
    </row>
    <row r="246" spans="12:13" x14ac:dyDescent="0.25">
      <c r="L246" t="str">
        <f t="shared" si="7"/>
        <v/>
      </c>
      <c r="M246" t="str">
        <f t="shared" si="8"/>
        <v/>
      </c>
    </row>
    <row r="247" spans="12:13" x14ac:dyDescent="0.25">
      <c r="L247" t="str">
        <f t="shared" ref="L247:L310" si="9">IF(A247="","",AVERAGE(F247:J247))</f>
        <v/>
      </c>
      <c r="M247" t="str">
        <f t="shared" si="8"/>
        <v/>
      </c>
    </row>
    <row r="248" spans="12:13" x14ac:dyDescent="0.25">
      <c r="L248" t="str">
        <f t="shared" si="9"/>
        <v/>
      </c>
      <c r="M248" t="str">
        <f t="shared" si="8"/>
        <v/>
      </c>
    </row>
    <row r="249" spans="12:13" x14ac:dyDescent="0.25">
      <c r="L249" t="str">
        <f t="shared" si="9"/>
        <v/>
      </c>
      <c r="M249" t="str">
        <f t="shared" si="8"/>
        <v/>
      </c>
    </row>
    <row r="250" spans="12:13" x14ac:dyDescent="0.25">
      <c r="L250" t="str">
        <f t="shared" si="9"/>
        <v/>
      </c>
      <c r="M250" t="str">
        <f t="shared" si="8"/>
        <v/>
      </c>
    </row>
    <row r="251" spans="12:13" x14ac:dyDescent="0.25">
      <c r="L251" t="str">
        <f t="shared" si="9"/>
        <v/>
      </c>
      <c r="M251" t="str">
        <f t="shared" si="8"/>
        <v/>
      </c>
    </row>
    <row r="252" spans="12:13" x14ac:dyDescent="0.25">
      <c r="L252" t="str">
        <f t="shared" si="9"/>
        <v/>
      </c>
      <c r="M252" t="str">
        <f t="shared" si="8"/>
        <v/>
      </c>
    </row>
    <row r="253" spans="12:13" x14ac:dyDescent="0.25">
      <c r="L253" t="str">
        <f t="shared" si="9"/>
        <v/>
      </c>
      <c r="M253" t="str">
        <f t="shared" si="8"/>
        <v/>
      </c>
    </row>
    <row r="254" spans="12:13" x14ac:dyDescent="0.25">
      <c r="L254" t="str">
        <f t="shared" si="9"/>
        <v/>
      </c>
      <c r="M254" t="str">
        <f t="shared" si="8"/>
        <v/>
      </c>
    </row>
    <row r="255" spans="12:13" x14ac:dyDescent="0.25">
      <c r="L255" t="str">
        <f t="shared" si="9"/>
        <v/>
      </c>
      <c r="M255" t="str">
        <f t="shared" si="8"/>
        <v/>
      </c>
    </row>
    <row r="256" spans="12:13" x14ac:dyDescent="0.25">
      <c r="L256" t="str">
        <f t="shared" si="9"/>
        <v/>
      </c>
      <c r="M256" t="str">
        <f t="shared" si="8"/>
        <v/>
      </c>
    </row>
    <row r="257" spans="12:13" x14ac:dyDescent="0.25">
      <c r="L257" t="str">
        <f t="shared" si="9"/>
        <v/>
      </c>
      <c r="M257" t="str">
        <f t="shared" si="8"/>
        <v/>
      </c>
    </row>
    <row r="258" spans="12:13" x14ac:dyDescent="0.25">
      <c r="L258" t="str">
        <f t="shared" si="9"/>
        <v/>
      </c>
      <c r="M258" t="str">
        <f t="shared" si="8"/>
        <v/>
      </c>
    </row>
    <row r="259" spans="12:13" x14ac:dyDescent="0.25">
      <c r="L259" t="str">
        <f t="shared" si="9"/>
        <v/>
      </c>
      <c r="M259" t="str">
        <f t="shared" si="8"/>
        <v/>
      </c>
    </row>
    <row r="260" spans="12:13" x14ac:dyDescent="0.25">
      <c r="L260" t="str">
        <f t="shared" si="9"/>
        <v/>
      </c>
      <c r="M260" t="str">
        <f t="shared" si="8"/>
        <v/>
      </c>
    </row>
    <row r="261" spans="12:13" x14ac:dyDescent="0.25">
      <c r="L261" t="str">
        <f t="shared" si="9"/>
        <v/>
      </c>
      <c r="M261" t="str">
        <f t="shared" ref="M261:M324" si="10">IF(A261="","",D261-E261)</f>
        <v/>
      </c>
    </row>
    <row r="262" spans="12:13" x14ac:dyDescent="0.25">
      <c r="L262" t="str">
        <f t="shared" si="9"/>
        <v/>
      </c>
      <c r="M262" t="str">
        <f t="shared" si="10"/>
        <v/>
      </c>
    </row>
    <row r="263" spans="12:13" x14ac:dyDescent="0.25">
      <c r="L263" t="str">
        <f t="shared" si="9"/>
        <v/>
      </c>
      <c r="M263" t="str">
        <f t="shared" si="10"/>
        <v/>
      </c>
    </row>
    <row r="264" spans="12:13" x14ac:dyDescent="0.25">
      <c r="L264" t="str">
        <f t="shared" si="9"/>
        <v/>
      </c>
      <c r="M264" t="str">
        <f t="shared" si="10"/>
        <v/>
      </c>
    </row>
    <row r="265" spans="12:13" x14ac:dyDescent="0.25">
      <c r="L265" t="str">
        <f t="shared" si="9"/>
        <v/>
      </c>
      <c r="M265" t="str">
        <f t="shared" si="10"/>
        <v/>
      </c>
    </row>
    <row r="266" spans="12:13" x14ac:dyDescent="0.25">
      <c r="L266" t="str">
        <f t="shared" si="9"/>
        <v/>
      </c>
      <c r="M266" t="str">
        <f t="shared" si="10"/>
        <v/>
      </c>
    </row>
    <row r="267" spans="12:13" x14ac:dyDescent="0.25">
      <c r="L267" t="str">
        <f t="shared" si="9"/>
        <v/>
      </c>
      <c r="M267" t="str">
        <f t="shared" si="10"/>
        <v/>
      </c>
    </row>
    <row r="268" spans="12:13" x14ac:dyDescent="0.25">
      <c r="L268" t="str">
        <f t="shared" si="9"/>
        <v/>
      </c>
      <c r="M268" t="str">
        <f t="shared" si="10"/>
        <v/>
      </c>
    </row>
    <row r="269" spans="12:13" x14ac:dyDescent="0.25">
      <c r="L269" t="str">
        <f t="shared" si="9"/>
        <v/>
      </c>
      <c r="M269" t="str">
        <f t="shared" si="10"/>
        <v/>
      </c>
    </row>
    <row r="270" spans="12:13" x14ac:dyDescent="0.25">
      <c r="L270" t="str">
        <f t="shared" si="9"/>
        <v/>
      </c>
      <c r="M270" t="str">
        <f t="shared" si="10"/>
        <v/>
      </c>
    </row>
    <row r="271" spans="12:13" x14ac:dyDescent="0.25">
      <c r="L271" t="str">
        <f t="shared" si="9"/>
        <v/>
      </c>
      <c r="M271" t="str">
        <f t="shared" si="10"/>
        <v/>
      </c>
    </row>
    <row r="272" spans="12:13" x14ac:dyDescent="0.25">
      <c r="L272" t="str">
        <f t="shared" si="9"/>
        <v/>
      </c>
      <c r="M272" t="str">
        <f t="shared" si="10"/>
        <v/>
      </c>
    </row>
    <row r="273" spans="12:13" x14ac:dyDescent="0.25">
      <c r="L273" t="str">
        <f t="shared" si="9"/>
        <v/>
      </c>
      <c r="M273" t="str">
        <f t="shared" si="10"/>
        <v/>
      </c>
    </row>
    <row r="274" spans="12:13" x14ac:dyDescent="0.25">
      <c r="L274" t="str">
        <f t="shared" si="9"/>
        <v/>
      </c>
      <c r="M274" t="str">
        <f t="shared" si="10"/>
        <v/>
      </c>
    </row>
    <row r="275" spans="12:13" x14ac:dyDescent="0.25">
      <c r="L275" t="str">
        <f t="shared" si="9"/>
        <v/>
      </c>
      <c r="M275" t="str">
        <f t="shared" si="10"/>
        <v/>
      </c>
    </row>
    <row r="276" spans="12:13" x14ac:dyDescent="0.25">
      <c r="L276" t="str">
        <f t="shared" si="9"/>
        <v/>
      </c>
      <c r="M276" t="str">
        <f t="shared" si="10"/>
        <v/>
      </c>
    </row>
    <row r="277" spans="12:13" x14ac:dyDescent="0.25">
      <c r="L277" t="str">
        <f t="shared" si="9"/>
        <v/>
      </c>
      <c r="M277" t="str">
        <f t="shared" si="10"/>
        <v/>
      </c>
    </row>
    <row r="278" spans="12:13" x14ac:dyDescent="0.25">
      <c r="L278" t="str">
        <f t="shared" si="9"/>
        <v/>
      </c>
      <c r="M278" t="str">
        <f t="shared" si="10"/>
        <v/>
      </c>
    </row>
    <row r="279" spans="12:13" x14ac:dyDescent="0.25">
      <c r="L279" t="str">
        <f t="shared" si="9"/>
        <v/>
      </c>
      <c r="M279" t="str">
        <f t="shared" si="10"/>
        <v/>
      </c>
    </row>
    <row r="280" spans="12:13" x14ac:dyDescent="0.25">
      <c r="L280" t="str">
        <f t="shared" si="9"/>
        <v/>
      </c>
      <c r="M280" t="str">
        <f t="shared" si="10"/>
        <v/>
      </c>
    </row>
    <row r="281" spans="12:13" x14ac:dyDescent="0.25">
      <c r="L281" t="str">
        <f t="shared" si="9"/>
        <v/>
      </c>
      <c r="M281" t="str">
        <f t="shared" si="10"/>
        <v/>
      </c>
    </row>
    <row r="282" spans="12:13" x14ac:dyDescent="0.25">
      <c r="L282" t="str">
        <f t="shared" si="9"/>
        <v/>
      </c>
      <c r="M282" t="str">
        <f t="shared" si="10"/>
        <v/>
      </c>
    </row>
    <row r="283" spans="12:13" x14ac:dyDescent="0.25">
      <c r="L283" t="str">
        <f t="shared" si="9"/>
        <v/>
      </c>
      <c r="M283" t="str">
        <f t="shared" si="10"/>
        <v/>
      </c>
    </row>
    <row r="284" spans="12:13" x14ac:dyDescent="0.25">
      <c r="L284" t="str">
        <f t="shared" si="9"/>
        <v/>
      </c>
      <c r="M284" t="str">
        <f t="shared" si="10"/>
        <v/>
      </c>
    </row>
    <row r="285" spans="12:13" x14ac:dyDescent="0.25">
      <c r="L285" t="str">
        <f t="shared" si="9"/>
        <v/>
      </c>
      <c r="M285" t="str">
        <f t="shared" si="10"/>
        <v/>
      </c>
    </row>
    <row r="286" spans="12:13" x14ac:dyDescent="0.25">
      <c r="L286" t="str">
        <f t="shared" si="9"/>
        <v/>
      </c>
      <c r="M286" t="str">
        <f t="shared" si="10"/>
        <v/>
      </c>
    </row>
    <row r="287" spans="12:13" x14ac:dyDescent="0.25">
      <c r="L287" t="str">
        <f t="shared" si="9"/>
        <v/>
      </c>
      <c r="M287" t="str">
        <f t="shared" si="10"/>
        <v/>
      </c>
    </row>
    <row r="288" spans="12:13" x14ac:dyDescent="0.25">
      <c r="L288" t="str">
        <f t="shared" si="9"/>
        <v/>
      </c>
      <c r="M288" t="str">
        <f t="shared" si="10"/>
        <v/>
      </c>
    </row>
    <row r="289" spans="12:13" x14ac:dyDescent="0.25">
      <c r="L289" t="str">
        <f t="shared" si="9"/>
        <v/>
      </c>
      <c r="M289" t="str">
        <f t="shared" si="10"/>
        <v/>
      </c>
    </row>
    <row r="290" spans="12:13" x14ac:dyDescent="0.25">
      <c r="L290" t="str">
        <f t="shared" si="9"/>
        <v/>
      </c>
      <c r="M290" t="str">
        <f t="shared" si="10"/>
        <v/>
      </c>
    </row>
    <row r="291" spans="12:13" x14ac:dyDescent="0.25">
      <c r="L291" t="str">
        <f t="shared" si="9"/>
        <v/>
      </c>
      <c r="M291" t="str">
        <f t="shared" si="10"/>
        <v/>
      </c>
    </row>
    <row r="292" spans="12:13" x14ac:dyDescent="0.25">
      <c r="L292" t="str">
        <f t="shared" si="9"/>
        <v/>
      </c>
      <c r="M292" t="str">
        <f t="shared" si="10"/>
        <v/>
      </c>
    </row>
    <row r="293" spans="12:13" x14ac:dyDescent="0.25">
      <c r="L293" t="str">
        <f t="shared" si="9"/>
        <v/>
      </c>
      <c r="M293" t="str">
        <f t="shared" si="10"/>
        <v/>
      </c>
    </row>
    <row r="294" spans="12:13" x14ac:dyDescent="0.25">
      <c r="L294" t="str">
        <f t="shared" si="9"/>
        <v/>
      </c>
      <c r="M294" t="str">
        <f t="shared" si="10"/>
        <v/>
      </c>
    </row>
    <row r="295" spans="12:13" x14ac:dyDescent="0.25">
      <c r="L295" t="str">
        <f t="shared" si="9"/>
        <v/>
      </c>
      <c r="M295" t="str">
        <f t="shared" si="10"/>
        <v/>
      </c>
    </row>
    <row r="296" spans="12:13" x14ac:dyDescent="0.25">
      <c r="L296" t="str">
        <f t="shared" si="9"/>
        <v/>
      </c>
      <c r="M296" t="str">
        <f t="shared" si="10"/>
        <v/>
      </c>
    </row>
    <row r="297" spans="12:13" x14ac:dyDescent="0.25">
      <c r="L297" t="str">
        <f t="shared" si="9"/>
        <v/>
      </c>
      <c r="M297" t="str">
        <f t="shared" si="10"/>
        <v/>
      </c>
    </row>
    <row r="298" spans="12:13" x14ac:dyDescent="0.25">
      <c r="L298" t="str">
        <f t="shared" si="9"/>
        <v/>
      </c>
      <c r="M298" t="str">
        <f t="shared" si="10"/>
        <v/>
      </c>
    </row>
    <row r="299" spans="12:13" x14ac:dyDescent="0.25">
      <c r="L299" t="str">
        <f t="shared" si="9"/>
        <v/>
      </c>
      <c r="M299" t="str">
        <f t="shared" si="10"/>
        <v/>
      </c>
    </row>
    <row r="300" spans="12:13" x14ac:dyDescent="0.25">
      <c r="L300" t="str">
        <f t="shared" si="9"/>
        <v/>
      </c>
      <c r="M300" t="str">
        <f t="shared" si="10"/>
        <v/>
      </c>
    </row>
    <row r="301" spans="12:13" x14ac:dyDescent="0.25">
      <c r="L301" t="str">
        <f t="shared" si="9"/>
        <v/>
      </c>
      <c r="M301" t="str">
        <f t="shared" si="10"/>
        <v/>
      </c>
    </row>
    <row r="302" spans="12:13" x14ac:dyDescent="0.25">
      <c r="L302" t="str">
        <f t="shared" si="9"/>
        <v/>
      </c>
      <c r="M302" t="str">
        <f t="shared" si="10"/>
        <v/>
      </c>
    </row>
    <row r="303" spans="12:13" x14ac:dyDescent="0.25">
      <c r="L303" t="str">
        <f t="shared" si="9"/>
        <v/>
      </c>
      <c r="M303" t="str">
        <f t="shared" si="10"/>
        <v/>
      </c>
    </row>
    <row r="304" spans="12:13" x14ac:dyDescent="0.25">
      <c r="L304" t="str">
        <f t="shared" si="9"/>
        <v/>
      </c>
      <c r="M304" t="str">
        <f t="shared" si="10"/>
        <v/>
      </c>
    </row>
    <row r="305" spans="12:13" x14ac:dyDescent="0.25">
      <c r="L305" t="str">
        <f t="shared" si="9"/>
        <v/>
      </c>
      <c r="M305" t="str">
        <f t="shared" si="10"/>
        <v/>
      </c>
    </row>
    <row r="306" spans="12:13" x14ac:dyDescent="0.25">
      <c r="L306" t="str">
        <f t="shared" si="9"/>
        <v/>
      </c>
      <c r="M306" t="str">
        <f t="shared" si="10"/>
        <v/>
      </c>
    </row>
    <row r="307" spans="12:13" x14ac:dyDescent="0.25">
      <c r="L307" t="str">
        <f t="shared" si="9"/>
        <v/>
      </c>
      <c r="M307" t="str">
        <f t="shared" si="10"/>
        <v/>
      </c>
    </row>
    <row r="308" spans="12:13" x14ac:dyDescent="0.25">
      <c r="L308" t="str">
        <f t="shared" si="9"/>
        <v/>
      </c>
      <c r="M308" t="str">
        <f t="shared" si="10"/>
        <v/>
      </c>
    </row>
    <row r="309" spans="12:13" x14ac:dyDescent="0.25">
      <c r="L309" t="str">
        <f t="shared" si="9"/>
        <v/>
      </c>
      <c r="M309" t="str">
        <f t="shared" si="10"/>
        <v/>
      </c>
    </row>
    <row r="310" spans="12:13" x14ac:dyDescent="0.25">
      <c r="L310" t="str">
        <f t="shared" si="9"/>
        <v/>
      </c>
      <c r="M310" t="str">
        <f t="shared" si="10"/>
        <v/>
      </c>
    </row>
    <row r="311" spans="12:13" x14ac:dyDescent="0.25">
      <c r="L311" t="str">
        <f t="shared" ref="L311:L359" si="11">IF(A311="","",AVERAGE(F311:J311))</f>
        <v/>
      </c>
      <c r="M311" t="str">
        <f t="shared" si="10"/>
        <v/>
      </c>
    </row>
    <row r="312" spans="12:13" x14ac:dyDescent="0.25">
      <c r="L312" t="str">
        <f t="shared" si="11"/>
        <v/>
      </c>
      <c r="M312" t="str">
        <f t="shared" si="10"/>
        <v/>
      </c>
    </row>
    <row r="313" spans="12:13" x14ac:dyDescent="0.25">
      <c r="L313" t="str">
        <f t="shared" si="11"/>
        <v/>
      </c>
      <c r="M313" t="str">
        <f t="shared" si="10"/>
        <v/>
      </c>
    </row>
    <row r="314" spans="12:13" x14ac:dyDescent="0.25">
      <c r="L314" t="str">
        <f t="shared" si="11"/>
        <v/>
      </c>
      <c r="M314" t="str">
        <f t="shared" si="10"/>
        <v/>
      </c>
    </row>
    <row r="315" spans="12:13" x14ac:dyDescent="0.25">
      <c r="L315" t="str">
        <f t="shared" si="11"/>
        <v/>
      </c>
      <c r="M315" t="str">
        <f t="shared" si="10"/>
        <v/>
      </c>
    </row>
    <row r="316" spans="12:13" x14ac:dyDescent="0.25">
      <c r="L316" t="str">
        <f t="shared" si="11"/>
        <v/>
      </c>
      <c r="M316" t="str">
        <f t="shared" si="10"/>
        <v/>
      </c>
    </row>
    <row r="317" spans="12:13" x14ac:dyDescent="0.25">
      <c r="L317" t="str">
        <f t="shared" si="11"/>
        <v/>
      </c>
      <c r="M317" t="str">
        <f t="shared" si="10"/>
        <v/>
      </c>
    </row>
    <row r="318" spans="12:13" x14ac:dyDescent="0.25">
      <c r="L318" t="str">
        <f t="shared" si="11"/>
        <v/>
      </c>
      <c r="M318" t="str">
        <f t="shared" si="10"/>
        <v/>
      </c>
    </row>
    <row r="319" spans="12:13" x14ac:dyDescent="0.25">
      <c r="L319" t="str">
        <f t="shared" si="11"/>
        <v/>
      </c>
      <c r="M319" t="str">
        <f t="shared" si="10"/>
        <v/>
      </c>
    </row>
    <row r="320" spans="12:13" x14ac:dyDescent="0.25">
      <c r="L320" t="str">
        <f t="shared" si="11"/>
        <v/>
      </c>
      <c r="M320" t="str">
        <f t="shared" si="10"/>
        <v/>
      </c>
    </row>
    <row r="321" spans="12:13" x14ac:dyDescent="0.25">
      <c r="L321" t="str">
        <f t="shared" si="11"/>
        <v/>
      </c>
      <c r="M321" t="str">
        <f t="shared" si="10"/>
        <v/>
      </c>
    </row>
    <row r="322" spans="12:13" x14ac:dyDescent="0.25">
      <c r="L322" t="str">
        <f t="shared" si="11"/>
        <v/>
      </c>
      <c r="M322" t="str">
        <f t="shared" si="10"/>
        <v/>
      </c>
    </row>
    <row r="323" spans="12:13" x14ac:dyDescent="0.25">
      <c r="L323" t="str">
        <f t="shared" si="11"/>
        <v/>
      </c>
      <c r="M323" t="str">
        <f t="shared" si="10"/>
        <v/>
      </c>
    </row>
    <row r="324" spans="12:13" x14ac:dyDescent="0.25">
      <c r="L324" t="str">
        <f t="shared" si="11"/>
        <v/>
      </c>
      <c r="M324" t="str">
        <f t="shared" si="10"/>
        <v/>
      </c>
    </row>
    <row r="325" spans="12:13" x14ac:dyDescent="0.25">
      <c r="L325" t="str">
        <f t="shared" si="11"/>
        <v/>
      </c>
      <c r="M325" t="str">
        <f t="shared" ref="M325:M388" si="12">IF(A325="","",D325-E325)</f>
        <v/>
      </c>
    </row>
    <row r="326" spans="12:13" x14ac:dyDescent="0.25">
      <c r="L326" t="str">
        <f t="shared" si="11"/>
        <v/>
      </c>
      <c r="M326" t="str">
        <f t="shared" si="12"/>
        <v/>
      </c>
    </row>
    <row r="327" spans="12:13" x14ac:dyDescent="0.25">
      <c r="L327" t="str">
        <f t="shared" si="11"/>
        <v/>
      </c>
      <c r="M327" t="str">
        <f t="shared" si="12"/>
        <v/>
      </c>
    </row>
    <row r="328" spans="12:13" x14ac:dyDescent="0.25">
      <c r="L328" t="str">
        <f t="shared" si="11"/>
        <v/>
      </c>
      <c r="M328" t="str">
        <f t="shared" si="12"/>
        <v/>
      </c>
    </row>
    <row r="329" spans="12:13" x14ac:dyDescent="0.25">
      <c r="L329" t="str">
        <f t="shared" si="11"/>
        <v/>
      </c>
      <c r="M329" t="str">
        <f t="shared" si="12"/>
        <v/>
      </c>
    </row>
    <row r="330" spans="12:13" x14ac:dyDescent="0.25">
      <c r="L330" t="str">
        <f t="shared" si="11"/>
        <v/>
      </c>
      <c r="M330" t="str">
        <f t="shared" si="12"/>
        <v/>
      </c>
    </row>
    <row r="331" spans="12:13" x14ac:dyDescent="0.25">
      <c r="L331" t="str">
        <f t="shared" si="11"/>
        <v/>
      </c>
      <c r="M331" t="str">
        <f t="shared" si="12"/>
        <v/>
      </c>
    </row>
    <row r="332" spans="12:13" x14ac:dyDescent="0.25">
      <c r="L332" t="str">
        <f t="shared" si="11"/>
        <v/>
      </c>
      <c r="M332" t="str">
        <f t="shared" si="12"/>
        <v/>
      </c>
    </row>
    <row r="333" spans="12:13" x14ac:dyDescent="0.25">
      <c r="L333" t="str">
        <f t="shared" si="11"/>
        <v/>
      </c>
      <c r="M333" t="str">
        <f t="shared" si="12"/>
        <v/>
      </c>
    </row>
    <row r="334" spans="12:13" x14ac:dyDescent="0.25">
      <c r="L334" t="str">
        <f t="shared" si="11"/>
        <v/>
      </c>
      <c r="M334" t="str">
        <f t="shared" si="12"/>
        <v/>
      </c>
    </row>
    <row r="335" spans="12:13" x14ac:dyDescent="0.25">
      <c r="L335" t="str">
        <f t="shared" si="11"/>
        <v/>
      </c>
      <c r="M335" t="str">
        <f t="shared" si="12"/>
        <v/>
      </c>
    </row>
    <row r="336" spans="12:13" x14ac:dyDescent="0.25">
      <c r="L336" t="str">
        <f t="shared" si="11"/>
        <v/>
      </c>
      <c r="M336" t="str">
        <f t="shared" si="12"/>
        <v/>
      </c>
    </row>
    <row r="337" spans="12:13" x14ac:dyDescent="0.25">
      <c r="L337" t="str">
        <f t="shared" si="11"/>
        <v/>
      </c>
      <c r="M337" t="str">
        <f t="shared" si="12"/>
        <v/>
      </c>
    </row>
    <row r="338" spans="12:13" x14ac:dyDescent="0.25">
      <c r="L338" t="str">
        <f t="shared" si="11"/>
        <v/>
      </c>
      <c r="M338" t="str">
        <f t="shared" si="12"/>
        <v/>
      </c>
    </row>
    <row r="339" spans="12:13" x14ac:dyDescent="0.25">
      <c r="L339" t="str">
        <f t="shared" si="11"/>
        <v/>
      </c>
      <c r="M339" t="str">
        <f t="shared" si="12"/>
        <v/>
      </c>
    </row>
    <row r="340" spans="12:13" x14ac:dyDescent="0.25">
      <c r="L340" t="str">
        <f t="shared" si="11"/>
        <v/>
      </c>
      <c r="M340" t="str">
        <f t="shared" si="12"/>
        <v/>
      </c>
    </row>
    <row r="341" spans="12:13" x14ac:dyDescent="0.25">
      <c r="L341" t="str">
        <f t="shared" si="11"/>
        <v/>
      </c>
      <c r="M341" t="str">
        <f t="shared" si="12"/>
        <v/>
      </c>
    </row>
    <row r="342" spans="12:13" x14ac:dyDescent="0.25">
      <c r="L342" t="str">
        <f t="shared" si="11"/>
        <v/>
      </c>
      <c r="M342" t="str">
        <f t="shared" si="12"/>
        <v/>
      </c>
    </row>
    <row r="343" spans="12:13" x14ac:dyDescent="0.25">
      <c r="L343" t="str">
        <f t="shared" si="11"/>
        <v/>
      </c>
      <c r="M343" t="str">
        <f t="shared" si="12"/>
        <v/>
      </c>
    </row>
    <row r="344" spans="12:13" x14ac:dyDescent="0.25">
      <c r="L344" t="str">
        <f t="shared" si="11"/>
        <v/>
      </c>
      <c r="M344" t="str">
        <f t="shared" si="12"/>
        <v/>
      </c>
    </row>
    <row r="345" spans="12:13" x14ac:dyDescent="0.25">
      <c r="L345" t="str">
        <f t="shared" si="11"/>
        <v/>
      </c>
      <c r="M345" t="str">
        <f t="shared" si="12"/>
        <v/>
      </c>
    </row>
    <row r="346" spans="12:13" x14ac:dyDescent="0.25">
      <c r="L346" t="str">
        <f t="shared" si="11"/>
        <v/>
      </c>
      <c r="M346" t="str">
        <f t="shared" si="12"/>
        <v/>
      </c>
    </row>
    <row r="347" spans="12:13" x14ac:dyDescent="0.25">
      <c r="L347" t="str">
        <f t="shared" si="11"/>
        <v/>
      </c>
      <c r="M347" t="str">
        <f t="shared" si="12"/>
        <v/>
      </c>
    </row>
    <row r="348" spans="12:13" x14ac:dyDescent="0.25">
      <c r="L348" t="str">
        <f t="shared" si="11"/>
        <v/>
      </c>
      <c r="M348" t="str">
        <f t="shared" si="12"/>
        <v/>
      </c>
    </row>
    <row r="349" spans="12:13" x14ac:dyDescent="0.25">
      <c r="L349" t="str">
        <f t="shared" si="11"/>
        <v/>
      </c>
      <c r="M349" t="str">
        <f t="shared" si="12"/>
        <v/>
      </c>
    </row>
    <row r="350" spans="12:13" x14ac:dyDescent="0.25">
      <c r="L350" t="str">
        <f t="shared" si="11"/>
        <v/>
      </c>
      <c r="M350" t="str">
        <f t="shared" si="12"/>
        <v/>
      </c>
    </row>
    <row r="351" spans="12:13" x14ac:dyDescent="0.25">
      <c r="L351" t="str">
        <f t="shared" si="11"/>
        <v/>
      </c>
      <c r="M351" t="str">
        <f t="shared" si="12"/>
        <v/>
      </c>
    </row>
    <row r="352" spans="12:13" x14ac:dyDescent="0.25">
      <c r="L352" t="str">
        <f t="shared" si="11"/>
        <v/>
      </c>
      <c r="M352" t="str">
        <f t="shared" si="12"/>
        <v/>
      </c>
    </row>
    <row r="353" spans="12:13" x14ac:dyDescent="0.25">
      <c r="L353" t="str">
        <f t="shared" si="11"/>
        <v/>
      </c>
      <c r="M353" t="str">
        <f t="shared" si="12"/>
        <v/>
      </c>
    </row>
    <row r="354" spans="12:13" x14ac:dyDescent="0.25">
      <c r="L354" t="str">
        <f t="shared" si="11"/>
        <v/>
      </c>
      <c r="M354" t="str">
        <f t="shared" si="12"/>
        <v/>
      </c>
    </row>
    <row r="355" spans="12:13" x14ac:dyDescent="0.25">
      <c r="L355" t="str">
        <f t="shared" si="11"/>
        <v/>
      </c>
      <c r="M355" t="str">
        <f t="shared" si="12"/>
        <v/>
      </c>
    </row>
    <row r="356" spans="12:13" x14ac:dyDescent="0.25">
      <c r="L356" t="str">
        <f t="shared" si="11"/>
        <v/>
      </c>
      <c r="M356" t="str">
        <f t="shared" si="12"/>
        <v/>
      </c>
    </row>
    <row r="357" spans="12:13" x14ac:dyDescent="0.25">
      <c r="L357" t="str">
        <f t="shared" si="11"/>
        <v/>
      </c>
      <c r="M357" t="str">
        <f t="shared" si="12"/>
        <v/>
      </c>
    </row>
    <row r="358" spans="12:13" x14ac:dyDescent="0.25">
      <c r="L358" t="str">
        <f t="shared" si="11"/>
        <v/>
      </c>
      <c r="M358" t="str">
        <f t="shared" si="12"/>
        <v/>
      </c>
    </row>
    <row r="359" spans="12:13" x14ac:dyDescent="0.25">
      <c r="L359" t="str">
        <f t="shared" si="11"/>
        <v/>
      </c>
      <c r="M359" t="str">
        <f t="shared" si="12"/>
        <v/>
      </c>
    </row>
    <row r="360" spans="12:13" x14ac:dyDescent="0.25">
      <c r="M360" t="str">
        <f t="shared" si="12"/>
        <v/>
      </c>
    </row>
    <row r="361" spans="12:13" x14ac:dyDescent="0.25">
      <c r="M361" t="str">
        <f t="shared" si="12"/>
        <v/>
      </c>
    </row>
    <row r="362" spans="12:13" x14ac:dyDescent="0.25">
      <c r="M362" t="str">
        <f t="shared" si="12"/>
        <v/>
      </c>
    </row>
    <row r="363" spans="12:13" x14ac:dyDescent="0.25">
      <c r="M363" t="str">
        <f t="shared" si="12"/>
        <v/>
      </c>
    </row>
    <row r="364" spans="12:13" x14ac:dyDescent="0.25">
      <c r="M364" t="str">
        <f t="shared" si="12"/>
        <v/>
      </c>
    </row>
    <row r="365" spans="12:13" x14ac:dyDescent="0.25">
      <c r="M365" t="str">
        <f t="shared" si="12"/>
        <v/>
      </c>
    </row>
    <row r="366" spans="12:13" x14ac:dyDescent="0.25">
      <c r="M366" t="str">
        <f t="shared" si="12"/>
        <v/>
      </c>
    </row>
    <row r="367" spans="12:13" x14ac:dyDescent="0.25">
      <c r="M367" t="str">
        <f t="shared" si="12"/>
        <v/>
      </c>
    </row>
    <row r="368" spans="12:13" x14ac:dyDescent="0.25">
      <c r="M368" t="str">
        <f t="shared" si="12"/>
        <v/>
      </c>
    </row>
    <row r="369" spans="13:13" x14ac:dyDescent="0.25">
      <c r="M369" t="str">
        <f t="shared" si="12"/>
        <v/>
      </c>
    </row>
    <row r="370" spans="13:13" x14ac:dyDescent="0.25">
      <c r="M370" t="str">
        <f t="shared" si="12"/>
        <v/>
      </c>
    </row>
    <row r="371" spans="13:13" x14ac:dyDescent="0.25">
      <c r="M371" t="str">
        <f t="shared" si="12"/>
        <v/>
      </c>
    </row>
    <row r="372" spans="13:13" x14ac:dyDescent="0.25">
      <c r="M372" t="str">
        <f t="shared" si="12"/>
        <v/>
      </c>
    </row>
    <row r="373" spans="13:13" x14ac:dyDescent="0.25">
      <c r="M373" t="str">
        <f t="shared" si="12"/>
        <v/>
      </c>
    </row>
    <row r="374" spans="13:13" x14ac:dyDescent="0.25">
      <c r="M374" t="str">
        <f t="shared" si="12"/>
        <v/>
      </c>
    </row>
    <row r="375" spans="13:13" x14ac:dyDescent="0.25">
      <c r="M375" t="str">
        <f t="shared" si="12"/>
        <v/>
      </c>
    </row>
    <row r="376" spans="13:13" x14ac:dyDescent="0.25">
      <c r="M376" t="str">
        <f t="shared" si="12"/>
        <v/>
      </c>
    </row>
    <row r="377" spans="13:13" x14ac:dyDescent="0.25">
      <c r="M377" t="str">
        <f t="shared" si="12"/>
        <v/>
      </c>
    </row>
    <row r="378" spans="13:13" x14ac:dyDescent="0.25">
      <c r="M378" t="str">
        <f t="shared" si="12"/>
        <v/>
      </c>
    </row>
    <row r="379" spans="13:13" x14ac:dyDescent="0.25">
      <c r="M379" t="str">
        <f t="shared" si="12"/>
        <v/>
      </c>
    </row>
    <row r="380" spans="13:13" x14ac:dyDescent="0.25">
      <c r="M380" t="str">
        <f t="shared" si="12"/>
        <v/>
      </c>
    </row>
    <row r="381" spans="13:13" x14ac:dyDescent="0.25">
      <c r="M381" t="str">
        <f t="shared" si="12"/>
        <v/>
      </c>
    </row>
    <row r="382" spans="13:13" x14ac:dyDescent="0.25">
      <c r="M382" t="str">
        <f t="shared" si="12"/>
        <v/>
      </c>
    </row>
    <row r="383" spans="13:13" x14ac:dyDescent="0.25">
      <c r="M383" t="str">
        <f t="shared" si="12"/>
        <v/>
      </c>
    </row>
    <row r="384" spans="13:13" x14ac:dyDescent="0.25">
      <c r="M384" t="str">
        <f t="shared" si="12"/>
        <v/>
      </c>
    </row>
    <row r="385" spans="13:13" x14ac:dyDescent="0.25">
      <c r="M385" t="str">
        <f t="shared" si="12"/>
        <v/>
      </c>
    </row>
    <row r="386" spans="13:13" x14ac:dyDescent="0.25">
      <c r="M386" t="str">
        <f t="shared" si="12"/>
        <v/>
      </c>
    </row>
    <row r="387" spans="13:13" x14ac:dyDescent="0.25">
      <c r="M387" t="str">
        <f t="shared" si="12"/>
        <v/>
      </c>
    </row>
    <row r="388" spans="13:13" x14ac:dyDescent="0.25">
      <c r="M388" t="str">
        <f t="shared" si="12"/>
        <v/>
      </c>
    </row>
    <row r="389" spans="13:13" x14ac:dyDescent="0.25">
      <c r="M389" t="str">
        <f t="shared" ref="M389:M452" si="13">IF(A389="","",D389-E389)</f>
        <v/>
      </c>
    </row>
    <row r="390" spans="13:13" x14ac:dyDescent="0.25">
      <c r="M390" t="str">
        <f t="shared" si="13"/>
        <v/>
      </c>
    </row>
    <row r="391" spans="13:13" x14ac:dyDescent="0.25">
      <c r="M391" t="str">
        <f t="shared" si="13"/>
        <v/>
      </c>
    </row>
    <row r="392" spans="13:13" x14ac:dyDescent="0.25">
      <c r="M392" t="str">
        <f t="shared" si="13"/>
        <v/>
      </c>
    </row>
    <row r="393" spans="13:13" x14ac:dyDescent="0.25">
      <c r="M393" t="str">
        <f t="shared" si="13"/>
        <v/>
      </c>
    </row>
    <row r="394" spans="13:13" x14ac:dyDescent="0.25">
      <c r="M394" t="str">
        <f t="shared" si="13"/>
        <v/>
      </c>
    </row>
    <row r="395" spans="13:13" x14ac:dyDescent="0.25">
      <c r="M395" t="str">
        <f t="shared" si="13"/>
        <v/>
      </c>
    </row>
    <row r="396" spans="13:13" x14ac:dyDescent="0.25">
      <c r="M396" t="str">
        <f t="shared" si="13"/>
        <v/>
      </c>
    </row>
    <row r="397" spans="13:13" x14ac:dyDescent="0.25">
      <c r="M397" t="str">
        <f t="shared" si="13"/>
        <v/>
      </c>
    </row>
    <row r="398" spans="13:13" x14ac:dyDescent="0.25">
      <c r="M398" t="str">
        <f t="shared" si="13"/>
        <v/>
      </c>
    </row>
    <row r="399" spans="13:13" x14ac:dyDescent="0.25">
      <c r="M399" t="str">
        <f t="shared" si="13"/>
        <v/>
      </c>
    </row>
    <row r="400" spans="13:13" x14ac:dyDescent="0.25">
      <c r="M400" t="str">
        <f t="shared" si="13"/>
        <v/>
      </c>
    </row>
    <row r="401" spans="13:13" x14ac:dyDescent="0.25">
      <c r="M401" t="str">
        <f t="shared" si="13"/>
        <v/>
      </c>
    </row>
    <row r="402" spans="13:13" x14ac:dyDescent="0.25">
      <c r="M402" t="str">
        <f t="shared" si="13"/>
        <v/>
      </c>
    </row>
    <row r="403" spans="13:13" x14ac:dyDescent="0.25">
      <c r="M403" t="str">
        <f t="shared" si="13"/>
        <v/>
      </c>
    </row>
    <row r="404" spans="13:13" x14ac:dyDescent="0.25">
      <c r="M404" t="str">
        <f t="shared" si="13"/>
        <v/>
      </c>
    </row>
    <row r="405" spans="13:13" x14ac:dyDescent="0.25">
      <c r="M405" t="str">
        <f t="shared" si="13"/>
        <v/>
      </c>
    </row>
    <row r="406" spans="13:13" x14ac:dyDescent="0.25">
      <c r="M406" t="str">
        <f t="shared" si="13"/>
        <v/>
      </c>
    </row>
    <row r="407" spans="13:13" x14ac:dyDescent="0.25">
      <c r="M407" t="str">
        <f t="shared" si="13"/>
        <v/>
      </c>
    </row>
    <row r="408" spans="13:13" x14ac:dyDescent="0.25">
      <c r="M408" t="str">
        <f t="shared" si="13"/>
        <v/>
      </c>
    </row>
    <row r="409" spans="13:13" x14ac:dyDescent="0.25">
      <c r="M409" t="str">
        <f t="shared" si="13"/>
        <v/>
      </c>
    </row>
    <row r="410" spans="13:13" x14ac:dyDescent="0.25">
      <c r="M410" t="str">
        <f t="shared" si="13"/>
        <v/>
      </c>
    </row>
    <row r="411" spans="13:13" x14ac:dyDescent="0.25">
      <c r="M411" t="str">
        <f t="shared" si="13"/>
        <v/>
      </c>
    </row>
    <row r="412" spans="13:13" x14ac:dyDescent="0.25">
      <c r="M412" t="str">
        <f t="shared" si="13"/>
        <v/>
      </c>
    </row>
    <row r="413" spans="13:13" x14ac:dyDescent="0.25">
      <c r="M413" t="str">
        <f t="shared" si="13"/>
        <v/>
      </c>
    </row>
    <row r="414" spans="13:13" x14ac:dyDescent="0.25">
      <c r="M414" t="str">
        <f t="shared" si="13"/>
        <v/>
      </c>
    </row>
    <row r="415" spans="13:13" x14ac:dyDescent="0.25">
      <c r="M415" t="str">
        <f t="shared" si="13"/>
        <v/>
      </c>
    </row>
    <row r="416" spans="13:13" x14ac:dyDescent="0.25">
      <c r="M416" t="str">
        <f t="shared" si="13"/>
        <v/>
      </c>
    </row>
    <row r="417" spans="13:13" x14ac:dyDescent="0.25">
      <c r="M417" t="str">
        <f t="shared" si="13"/>
        <v/>
      </c>
    </row>
    <row r="418" spans="13:13" x14ac:dyDescent="0.25">
      <c r="M418" t="str">
        <f t="shared" si="13"/>
        <v/>
      </c>
    </row>
    <row r="419" spans="13:13" x14ac:dyDescent="0.25">
      <c r="M419" t="str">
        <f t="shared" si="13"/>
        <v/>
      </c>
    </row>
    <row r="420" spans="13:13" x14ac:dyDescent="0.25">
      <c r="M420" t="str">
        <f t="shared" si="13"/>
        <v/>
      </c>
    </row>
    <row r="421" spans="13:13" x14ac:dyDescent="0.25">
      <c r="M421" t="str">
        <f t="shared" si="13"/>
        <v/>
      </c>
    </row>
    <row r="422" spans="13:13" x14ac:dyDescent="0.25">
      <c r="M422" t="str">
        <f t="shared" si="13"/>
        <v/>
      </c>
    </row>
    <row r="423" spans="13:13" x14ac:dyDescent="0.25">
      <c r="M423" t="str">
        <f t="shared" si="13"/>
        <v/>
      </c>
    </row>
    <row r="424" spans="13:13" x14ac:dyDescent="0.25">
      <c r="M424" t="str">
        <f t="shared" si="13"/>
        <v/>
      </c>
    </row>
    <row r="425" spans="13:13" x14ac:dyDescent="0.25">
      <c r="M425" t="str">
        <f t="shared" si="13"/>
        <v/>
      </c>
    </row>
    <row r="426" spans="13:13" x14ac:dyDescent="0.25">
      <c r="M426" t="str">
        <f t="shared" si="13"/>
        <v/>
      </c>
    </row>
    <row r="427" spans="13:13" x14ac:dyDescent="0.25">
      <c r="M427" t="str">
        <f t="shared" si="13"/>
        <v/>
      </c>
    </row>
    <row r="428" spans="13:13" x14ac:dyDescent="0.25">
      <c r="M428" t="str">
        <f t="shared" si="13"/>
        <v/>
      </c>
    </row>
    <row r="429" spans="13:13" x14ac:dyDescent="0.25">
      <c r="M429" t="str">
        <f t="shared" si="13"/>
        <v/>
      </c>
    </row>
    <row r="430" spans="13:13" x14ac:dyDescent="0.25">
      <c r="M430" t="str">
        <f t="shared" si="13"/>
        <v/>
      </c>
    </row>
    <row r="431" spans="13:13" x14ac:dyDescent="0.25">
      <c r="M431" t="str">
        <f t="shared" si="13"/>
        <v/>
      </c>
    </row>
    <row r="432" spans="13:13" x14ac:dyDescent="0.25">
      <c r="M432" t="str">
        <f t="shared" si="13"/>
        <v/>
      </c>
    </row>
    <row r="433" spans="13:13" x14ac:dyDescent="0.25">
      <c r="M433" t="str">
        <f t="shared" si="13"/>
        <v/>
      </c>
    </row>
    <row r="434" spans="13:13" x14ac:dyDescent="0.25">
      <c r="M434" t="str">
        <f t="shared" si="13"/>
        <v/>
      </c>
    </row>
    <row r="435" spans="13:13" x14ac:dyDescent="0.25">
      <c r="M435" t="str">
        <f t="shared" si="13"/>
        <v/>
      </c>
    </row>
    <row r="436" spans="13:13" x14ac:dyDescent="0.25">
      <c r="M436" t="str">
        <f t="shared" si="13"/>
        <v/>
      </c>
    </row>
    <row r="437" spans="13:13" x14ac:dyDescent="0.25">
      <c r="M437" t="str">
        <f t="shared" si="13"/>
        <v/>
      </c>
    </row>
    <row r="438" spans="13:13" x14ac:dyDescent="0.25">
      <c r="M438" t="str">
        <f t="shared" si="13"/>
        <v/>
      </c>
    </row>
    <row r="439" spans="13:13" x14ac:dyDescent="0.25">
      <c r="M439" t="str">
        <f t="shared" si="13"/>
        <v/>
      </c>
    </row>
    <row r="440" spans="13:13" x14ac:dyDescent="0.25">
      <c r="M440" t="str">
        <f t="shared" si="13"/>
        <v/>
      </c>
    </row>
    <row r="441" spans="13:13" x14ac:dyDescent="0.25">
      <c r="M441" t="str">
        <f t="shared" si="13"/>
        <v/>
      </c>
    </row>
    <row r="442" spans="13:13" x14ac:dyDescent="0.25">
      <c r="M442" t="str">
        <f t="shared" si="13"/>
        <v/>
      </c>
    </row>
    <row r="443" spans="13:13" x14ac:dyDescent="0.25">
      <c r="M443" t="str">
        <f t="shared" si="13"/>
        <v/>
      </c>
    </row>
    <row r="444" spans="13:13" x14ac:dyDescent="0.25">
      <c r="M444" t="str">
        <f t="shared" si="13"/>
        <v/>
      </c>
    </row>
    <row r="445" spans="13:13" x14ac:dyDescent="0.25">
      <c r="M445" t="str">
        <f t="shared" si="13"/>
        <v/>
      </c>
    </row>
    <row r="446" spans="13:13" x14ac:dyDescent="0.25">
      <c r="M446" t="str">
        <f t="shared" si="13"/>
        <v/>
      </c>
    </row>
    <row r="447" spans="13:13" x14ac:dyDescent="0.25">
      <c r="M447" t="str">
        <f t="shared" si="13"/>
        <v/>
      </c>
    </row>
    <row r="448" spans="13:13" x14ac:dyDescent="0.25">
      <c r="M448" t="str">
        <f t="shared" si="13"/>
        <v/>
      </c>
    </row>
    <row r="449" spans="13:13" x14ac:dyDescent="0.25">
      <c r="M449" t="str">
        <f t="shared" si="13"/>
        <v/>
      </c>
    </row>
    <row r="450" spans="13:13" x14ac:dyDescent="0.25">
      <c r="M450" t="str">
        <f t="shared" si="13"/>
        <v/>
      </c>
    </row>
    <row r="451" spans="13:13" x14ac:dyDescent="0.25">
      <c r="M451" t="str">
        <f t="shared" si="13"/>
        <v/>
      </c>
    </row>
    <row r="452" spans="13:13" x14ac:dyDescent="0.25">
      <c r="M452" t="str">
        <f t="shared" si="13"/>
        <v/>
      </c>
    </row>
    <row r="453" spans="13:13" x14ac:dyDescent="0.25">
      <c r="M453" t="str">
        <f t="shared" ref="M453:M516" si="14">IF(A453="","",D453-E453)</f>
        <v/>
      </c>
    </row>
    <row r="454" spans="13:13" x14ac:dyDescent="0.25">
      <c r="M454" t="str">
        <f t="shared" si="14"/>
        <v/>
      </c>
    </row>
    <row r="455" spans="13:13" x14ac:dyDescent="0.25">
      <c r="M455" t="str">
        <f t="shared" si="14"/>
        <v/>
      </c>
    </row>
    <row r="456" spans="13:13" x14ac:dyDescent="0.25">
      <c r="M456" t="str">
        <f t="shared" si="14"/>
        <v/>
      </c>
    </row>
    <row r="457" spans="13:13" x14ac:dyDescent="0.25">
      <c r="M457" t="str">
        <f t="shared" si="14"/>
        <v/>
      </c>
    </row>
    <row r="458" spans="13:13" x14ac:dyDescent="0.25">
      <c r="M458" t="str">
        <f t="shared" si="14"/>
        <v/>
      </c>
    </row>
    <row r="459" spans="13:13" x14ac:dyDescent="0.25">
      <c r="M459" t="str">
        <f t="shared" si="14"/>
        <v/>
      </c>
    </row>
    <row r="460" spans="13:13" x14ac:dyDescent="0.25">
      <c r="M460" t="str">
        <f t="shared" si="14"/>
        <v/>
      </c>
    </row>
    <row r="461" spans="13:13" x14ac:dyDescent="0.25">
      <c r="M461" t="str">
        <f t="shared" si="14"/>
        <v/>
      </c>
    </row>
    <row r="462" spans="13:13" x14ac:dyDescent="0.25">
      <c r="M462" t="str">
        <f t="shared" si="14"/>
        <v/>
      </c>
    </row>
    <row r="463" spans="13:13" x14ac:dyDescent="0.25">
      <c r="M463" t="str">
        <f t="shared" si="14"/>
        <v/>
      </c>
    </row>
    <row r="464" spans="13:13" x14ac:dyDescent="0.25">
      <c r="M464" t="str">
        <f t="shared" si="14"/>
        <v/>
      </c>
    </row>
    <row r="465" spans="13:13" x14ac:dyDescent="0.25">
      <c r="M465" t="str">
        <f t="shared" si="14"/>
        <v/>
      </c>
    </row>
    <row r="466" spans="13:13" x14ac:dyDescent="0.25">
      <c r="M466" t="str">
        <f t="shared" si="14"/>
        <v/>
      </c>
    </row>
    <row r="467" spans="13:13" x14ac:dyDescent="0.25">
      <c r="M467" t="str">
        <f t="shared" si="14"/>
        <v/>
      </c>
    </row>
    <row r="468" spans="13:13" x14ac:dyDescent="0.25">
      <c r="M468" t="str">
        <f t="shared" si="14"/>
        <v/>
      </c>
    </row>
    <row r="469" spans="13:13" x14ac:dyDescent="0.25">
      <c r="M469" t="str">
        <f t="shared" si="14"/>
        <v/>
      </c>
    </row>
    <row r="470" spans="13:13" x14ac:dyDescent="0.25">
      <c r="M470" t="str">
        <f t="shared" si="14"/>
        <v/>
      </c>
    </row>
    <row r="471" spans="13:13" x14ac:dyDescent="0.25">
      <c r="M471" t="str">
        <f t="shared" si="14"/>
        <v/>
      </c>
    </row>
    <row r="472" spans="13:13" x14ac:dyDescent="0.25">
      <c r="M472" t="str">
        <f t="shared" si="14"/>
        <v/>
      </c>
    </row>
    <row r="473" spans="13:13" x14ac:dyDescent="0.25">
      <c r="M473" t="str">
        <f t="shared" si="14"/>
        <v/>
      </c>
    </row>
    <row r="474" spans="13:13" x14ac:dyDescent="0.25">
      <c r="M474" t="str">
        <f t="shared" si="14"/>
        <v/>
      </c>
    </row>
    <row r="475" spans="13:13" x14ac:dyDescent="0.25">
      <c r="M475" t="str">
        <f t="shared" si="14"/>
        <v/>
      </c>
    </row>
    <row r="476" spans="13:13" x14ac:dyDescent="0.25">
      <c r="M476" t="str">
        <f t="shared" si="14"/>
        <v/>
      </c>
    </row>
    <row r="477" spans="13:13" x14ac:dyDescent="0.25">
      <c r="M477" t="str">
        <f t="shared" si="14"/>
        <v/>
      </c>
    </row>
    <row r="478" spans="13:13" x14ac:dyDescent="0.25">
      <c r="M478" t="str">
        <f t="shared" si="14"/>
        <v/>
      </c>
    </row>
    <row r="479" spans="13:13" x14ac:dyDescent="0.25">
      <c r="M479" t="str">
        <f t="shared" si="14"/>
        <v/>
      </c>
    </row>
    <row r="480" spans="13:13" x14ac:dyDescent="0.25">
      <c r="M480" t="str">
        <f t="shared" si="14"/>
        <v/>
      </c>
    </row>
    <row r="481" spans="13:13" x14ac:dyDescent="0.25">
      <c r="M481" t="str">
        <f t="shared" si="14"/>
        <v/>
      </c>
    </row>
    <row r="482" spans="13:13" x14ac:dyDescent="0.25">
      <c r="M482" t="str">
        <f t="shared" si="14"/>
        <v/>
      </c>
    </row>
    <row r="483" spans="13:13" x14ac:dyDescent="0.25">
      <c r="M483" t="str">
        <f t="shared" si="14"/>
        <v/>
      </c>
    </row>
    <row r="484" spans="13:13" x14ac:dyDescent="0.25">
      <c r="M484" t="str">
        <f t="shared" si="14"/>
        <v/>
      </c>
    </row>
    <row r="485" spans="13:13" x14ac:dyDescent="0.25">
      <c r="M485" t="str">
        <f t="shared" si="14"/>
        <v/>
      </c>
    </row>
    <row r="486" spans="13:13" x14ac:dyDescent="0.25">
      <c r="M486" t="str">
        <f t="shared" si="14"/>
        <v/>
      </c>
    </row>
    <row r="487" spans="13:13" x14ac:dyDescent="0.25">
      <c r="M487" t="str">
        <f t="shared" si="14"/>
        <v/>
      </c>
    </row>
    <row r="488" spans="13:13" x14ac:dyDescent="0.25">
      <c r="M488" t="str">
        <f t="shared" si="14"/>
        <v/>
      </c>
    </row>
    <row r="489" spans="13:13" x14ac:dyDescent="0.25">
      <c r="M489" t="str">
        <f t="shared" si="14"/>
        <v/>
      </c>
    </row>
    <row r="490" spans="13:13" x14ac:dyDescent="0.25">
      <c r="M490" t="str">
        <f t="shared" si="14"/>
        <v/>
      </c>
    </row>
    <row r="491" spans="13:13" x14ac:dyDescent="0.25">
      <c r="M491" t="str">
        <f t="shared" si="14"/>
        <v/>
      </c>
    </row>
    <row r="492" spans="13:13" x14ac:dyDescent="0.25">
      <c r="M492" t="str">
        <f t="shared" si="14"/>
        <v/>
      </c>
    </row>
    <row r="493" spans="13:13" x14ac:dyDescent="0.25">
      <c r="M493" t="str">
        <f t="shared" si="14"/>
        <v/>
      </c>
    </row>
    <row r="494" spans="13:13" x14ac:dyDescent="0.25">
      <c r="M494" t="str">
        <f t="shared" si="14"/>
        <v/>
      </c>
    </row>
    <row r="495" spans="13:13" x14ac:dyDescent="0.25">
      <c r="M495" t="str">
        <f t="shared" si="14"/>
        <v/>
      </c>
    </row>
    <row r="496" spans="13:13" x14ac:dyDescent="0.25">
      <c r="M496" t="str">
        <f t="shared" si="14"/>
        <v/>
      </c>
    </row>
    <row r="497" spans="13:13" x14ac:dyDescent="0.25">
      <c r="M497" t="str">
        <f t="shared" si="14"/>
        <v/>
      </c>
    </row>
    <row r="498" spans="13:13" x14ac:dyDescent="0.25">
      <c r="M498" t="str">
        <f t="shared" si="14"/>
        <v/>
      </c>
    </row>
    <row r="499" spans="13:13" x14ac:dyDescent="0.25">
      <c r="M499" t="str">
        <f t="shared" si="14"/>
        <v/>
      </c>
    </row>
    <row r="500" spans="13:13" x14ac:dyDescent="0.25">
      <c r="M500" t="str">
        <f t="shared" si="14"/>
        <v/>
      </c>
    </row>
    <row r="501" spans="13:13" x14ac:dyDescent="0.25">
      <c r="M501" t="str">
        <f t="shared" si="14"/>
        <v/>
      </c>
    </row>
    <row r="502" spans="13:13" x14ac:dyDescent="0.25">
      <c r="M502" t="str">
        <f t="shared" si="14"/>
        <v/>
      </c>
    </row>
    <row r="503" spans="13:13" x14ac:dyDescent="0.25">
      <c r="M503" t="str">
        <f t="shared" si="14"/>
        <v/>
      </c>
    </row>
    <row r="504" spans="13:13" x14ac:dyDescent="0.25">
      <c r="M504" t="str">
        <f t="shared" si="14"/>
        <v/>
      </c>
    </row>
    <row r="505" spans="13:13" x14ac:dyDescent="0.25">
      <c r="M505" t="str">
        <f t="shared" si="14"/>
        <v/>
      </c>
    </row>
    <row r="506" spans="13:13" x14ac:dyDescent="0.25">
      <c r="M506" t="str">
        <f t="shared" si="14"/>
        <v/>
      </c>
    </row>
    <row r="507" spans="13:13" x14ac:dyDescent="0.25">
      <c r="M507" t="str">
        <f t="shared" si="14"/>
        <v/>
      </c>
    </row>
    <row r="508" spans="13:13" x14ac:dyDescent="0.25">
      <c r="M508" t="str">
        <f t="shared" si="14"/>
        <v/>
      </c>
    </row>
    <row r="509" spans="13:13" x14ac:dyDescent="0.25">
      <c r="M509" t="str">
        <f t="shared" si="14"/>
        <v/>
      </c>
    </row>
    <row r="510" spans="13:13" x14ac:dyDescent="0.25">
      <c r="M510" t="str">
        <f t="shared" si="14"/>
        <v/>
      </c>
    </row>
    <row r="511" spans="13:13" x14ac:dyDescent="0.25">
      <c r="M511" t="str">
        <f t="shared" si="14"/>
        <v/>
      </c>
    </row>
    <row r="512" spans="13:13" x14ac:dyDescent="0.25">
      <c r="M512" t="str">
        <f t="shared" si="14"/>
        <v/>
      </c>
    </row>
    <row r="513" spans="13:13" x14ac:dyDescent="0.25">
      <c r="M513" t="str">
        <f t="shared" si="14"/>
        <v/>
      </c>
    </row>
    <row r="514" spans="13:13" x14ac:dyDescent="0.25">
      <c r="M514" t="str">
        <f t="shared" si="14"/>
        <v/>
      </c>
    </row>
    <row r="515" spans="13:13" x14ac:dyDescent="0.25">
      <c r="M515" t="str">
        <f t="shared" si="14"/>
        <v/>
      </c>
    </row>
    <row r="516" spans="13:13" x14ac:dyDescent="0.25">
      <c r="M516" t="str">
        <f t="shared" si="14"/>
        <v/>
      </c>
    </row>
    <row r="517" spans="13:13" x14ac:dyDescent="0.25">
      <c r="M517" t="str">
        <f t="shared" ref="M517:M574" si="15">IF(A517="","",D517-E517)</f>
        <v/>
      </c>
    </row>
    <row r="518" spans="13:13" x14ac:dyDescent="0.25">
      <c r="M518" t="str">
        <f t="shared" si="15"/>
        <v/>
      </c>
    </row>
    <row r="519" spans="13:13" x14ac:dyDescent="0.25">
      <c r="M519" t="str">
        <f t="shared" si="15"/>
        <v/>
      </c>
    </row>
    <row r="520" spans="13:13" x14ac:dyDescent="0.25">
      <c r="M520" t="str">
        <f t="shared" si="15"/>
        <v/>
      </c>
    </row>
    <row r="521" spans="13:13" x14ac:dyDescent="0.25">
      <c r="M521" t="str">
        <f t="shared" si="15"/>
        <v/>
      </c>
    </row>
    <row r="522" spans="13:13" x14ac:dyDescent="0.25">
      <c r="M522" t="str">
        <f t="shared" si="15"/>
        <v/>
      </c>
    </row>
    <row r="523" spans="13:13" x14ac:dyDescent="0.25">
      <c r="M523" t="str">
        <f t="shared" si="15"/>
        <v/>
      </c>
    </row>
    <row r="524" spans="13:13" x14ac:dyDescent="0.25">
      <c r="M524" t="str">
        <f t="shared" si="15"/>
        <v/>
      </c>
    </row>
    <row r="525" spans="13:13" x14ac:dyDescent="0.25">
      <c r="M525" t="str">
        <f t="shared" si="15"/>
        <v/>
      </c>
    </row>
    <row r="526" spans="13:13" x14ac:dyDescent="0.25">
      <c r="M526" t="str">
        <f t="shared" si="15"/>
        <v/>
      </c>
    </row>
    <row r="527" spans="13:13" x14ac:dyDescent="0.25">
      <c r="M527" t="str">
        <f t="shared" si="15"/>
        <v/>
      </c>
    </row>
    <row r="528" spans="13:13" x14ac:dyDescent="0.25">
      <c r="M528" t="str">
        <f t="shared" si="15"/>
        <v/>
      </c>
    </row>
    <row r="529" spans="13:13" x14ac:dyDescent="0.25">
      <c r="M529" t="str">
        <f t="shared" si="15"/>
        <v/>
      </c>
    </row>
    <row r="530" spans="13:13" x14ac:dyDescent="0.25">
      <c r="M530" t="str">
        <f t="shared" si="15"/>
        <v/>
      </c>
    </row>
    <row r="531" spans="13:13" x14ac:dyDescent="0.25">
      <c r="M531" t="str">
        <f t="shared" si="15"/>
        <v/>
      </c>
    </row>
    <row r="532" spans="13:13" x14ac:dyDescent="0.25">
      <c r="M532" t="str">
        <f t="shared" si="15"/>
        <v/>
      </c>
    </row>
    <row r="533" spans="13:13" x14ac:dyDescent="0.25">
      <c r="M533" t="str">
        <f t="shared" si="15"/>
        <v/>
      </c>
    </row>
    <row r="534" spans="13:13" x14ac:dyDescent="0.25">
      <c r="M534" t="str">
        <f t="shared" si="15"/>
        <v/>
      </c>
    </row>
    <row r="535" spans="13:13" x14ac:dyDescent="0.25">
      <c r="M535" t="str">
        <f t="shared" si="15"/>
        <v/>
      </c>
    </row>
    <row r="536" spans="13:13" x14ac:dyDescent="0.25">
      <c r="M536" t="str">
        <f t="shared" si="15"/>
        <v/>
      </c>
    </row>
    <row r="537" spans="13:13" x14ac:dyDescent="0.25">
      <c r="M537" t="str">
        <f t="shared" si="15"/>
        <v/>
      </c>
    </row>
    <row r="538" spans="13:13" x14ac:dyDescent="0.25">
      <c r="M538" t="str">
        <f t="shared" si="15"/>
        <v/>
      </c>
    </row>
    <row r="539" spans="13:13" x14ac:dyDescent="0.25">
      <c r="M539" t="str">
        <f t="shared" si="15"/>
        <v/>
      </c>
    </row>
    <row r="540" spans="13:13" x14ac:dyDescent="0.25">
      <c r="M540" t="str">
        <f t="shared" si="15"/>
        <v/>
      </c>
    </row>
    <row r="541" spans="13:13" x14ac:dyDescent="0.25">
      <c r="M541" t="str">
        <f t="shared" si="15"/>
        <v/>
      </c>
    </row>
    <row r="542" spans="13:13" x14ac:dyDescent="0.25">
      <c r="M542" t="str">
        <f t="shared" si="15"/>
        <v/>
      </c>
    </row>
    <row r="543" spans="13:13" x14ac:dyDescent="0.25">
      <c r="M543" t="str">
        <f t="shared" si="15"/>
        <v/>
      </c>
    </row>
    <row r="544" spans="13:13" x14ac:dyDescent="0.25">
      <c r="M544" t="str">
        <f t="shared" si="15"/>
        <v/>
      </c>
    </row>
    <row r="545" spans="13:13" x14ac:dyDescent="0.25">
      <c r="M545" t="str">
        <f t="shared" si="15"/>
        <v/>
      </c>
    </row>
    <row r="546" spans="13:13" x14ac:dyDescent="0.25">
      <c r="M546" t="str">
        <f t="shared" si="15"/>
        <v/>
      </c>
    </row>
    <row r="547" spans="13:13" x14ac:dyDescent="0.25">
      <c r="M547" t="str">
        <f t="shared" si="15"/>
        <v/>
      </c>
    </row>
    <row r="548" spans="13:13" x14ac:dyDescent="0.25">
      <c r="M548" t="str">
        <f t="shared" si="15"/>
        <v/>
      </c>
    </row>
    <row r="549" spans="13:13" x14ac:dyDescent="0.25">
      <c r="M549" t="str">
        <f t="shared" si="15"/>
        <v/>
      </c>
    </row>
    <row r="550" spans="13:13" x14ac:dyDescent="0.25">
      <c r="M550" t="str">
        <f t="shared" si="15"/>
        <v/>
      </c>
    </row>
    <row r="551" spans="13:13" x14ac:dyDescent="0.25">
      <c r="M551" t="str">
        <f t="shared" si="15"/>
        <v/>
      </c>
    </row>
    <row r="552" spans="13:13" x14ac:dyDescent="0.25">
      <c r="M552" t="str">
        <f t="shared" si="15"/>
        <v/>
      </c>
    </row>
    <row r="553" spans="13:13" x14ac:dyDescent="0.25">
      <c r="M553" t="str">
        <f t="shared" si="15"/>
        <v/>
      </c>
    </row>
    <row r="554" spans="13:13" x14ac:dyDescent="0.25">
      <c r="M554" t="str">
        <f t="shared" si="15"/>
        <v/>
      </c>
    </row>
    <row r="555" spans="13:13" x14ac:dyDescent="0.25">
      <c r="M555" t="str">
        <f t="shared" si="15"/>
        <v/>
      </c>
    </row>
    <row r="556" spans="13:13" x14ac:dyDescent="0.25">
      <c r="M556" t="str">
        <f t="shared" si="15"/>
        <v/>
      </c>
    </row>
    <row r="557" spans="13:13" x14ac:dyDescent="0.25">
      <c r="M557" t="str">
        <f t="shared" si="15"/>
        <v/>
      </c>
    </row>
    <row r="558" spans="13:13" x14ac:dyDescent="0.25">
      <c r="M558" t="str">
        <f t="shared" si="15"/>
        <v/>
      </c>
    </row>
    <row r="559" spans="13:13" x14ac:dyDescent="0.25">
      <c r="M559" t="str">
        <f t="shared" si="15"/>
        <v/>
      </c>
    </row>
    <row r="560" spans="13:13" x14ac:dyDescent="0.25">
      <c r="M560" t="str">
        <f t="shared" si="15"/>
        <v/>
      </c>
    </row>
    <row r="561" spans="13:13" x14ac:dyDescent="0.25">
      <c r="M561" t="str">
        <f t="shared" si="15"/>
        <v/>
      </c>
    </row>
    <row r="562" spans="13:13" x14ac:dyDescent="0.25">
      <c r="M562" t="str">
        <f t="shared" si="15"/>
        <v/>
      </c>
    </row>
    <row r="563" spans="13:13" x14ac:dyDescent="0.25">
      <c r="M563" t="str">
        <f t="shared" si="15"/>
        <v/>
      </c>
    </row>
    <row r="564" spans="13:13" x14ac:dyDescent="0.25">
      <c r="M564" t="str">
        <f t="shared" si="15"/>
        <v/>
      </c>
    </row>
    <row r="565" spans="13:13" x14ac:dyDescent="0.25">
      <c r="M565" t="str">
        <f t="shared" si="15"/>
        <v/>
      </c>
    </row>
    <row r="566" spans="13:13" x14ac:dyDescent="0.25">
      <c r="M566" t="str">
        <f t="shared" si="15"/>
        <v/>
      </c>
    </row>
    <row r="567" spans="13:13" x14ac:dyDescent="0.25">
      <c r="M567" t="str">
        <f t="shared" si="15"/>
        <v/>
      </c>
    </row>
    <row r="568" spans="13:13" x14ac:dyDescent="0.25">
      <c r="M568" t="str">
        <f t="shared" si="15"/>
        <v/>
      </c>
    </row>
    <row r="569" spans="13:13" x14ac:dyDescent="0.25">
      <c r="M569" t="str">
        <f t="shared" si="15"/>
        <v/>
      </c>
    </row>
    <row r="570" spans="13:13" x14ac:dyDescent="0.25">
      <c r="M570" t="str">
        <f t="shared" si="15"/>
        <v/>
      </c>
    </row>
    <row r="571" spans="13:13" x14ac:dyDescent="0.25">
      <c r="M571" t="str">
        <f t="shared" si="15"/>
        <v/>
      </c>
    </row>
    <row r="572" spans="13:13" x14ac:dyDescent="0.25">
      <c r="M572" t="str">
        <f t="shared" si="15"/>
        <v/>
      </c>
    </row>
    <row r="573" spans="13:13" x14ac:dyDescent="0.25">
      <c r="M573" t="str">
        <f t="shared" si="15"/>
        <v/>
      </c>
    </row>
    <row r="574" spans="13:13" x14ac:dyDescent="0.25">
      <c r="M574" t="str">
        <f t="shared" si="1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85F4-5D2C-4CF6-8BCA-D751CA64800B}">
  <dimension ref="A1:AN86"/>
  <sheetViews>
    <sheetView tabSelected="1" topLeftCell="A55" workbookViewId="0">
      <selection activeCell="B86" sqref="B86"/>
    </sheetView>
  </sheetViews>
  <sheetFormatPr baseColWidth="10" defaultRowHeight="15" x14ac:dyDescent="0.25"/>
  <sheetData>
    <row r="1" spans="1:40" x14ac:dyDescent="0.25">
      <c r="A1" t="s">
        <v>0</v>
      </c>
      <c r="B1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4" cm="1">
        <f t="array" ref="A2:B86">_xll.BDH("CAC Index", "PE_RATIO", "01/01/2005", "", "Period", "Q")</f>
        <v>38442</v>
      </c>
      <c r="B2">
        <v>18.477</v>
      </c>
    </row>
    <row r="3" spans="1:40" x14ac:dyDescent="0.25">
      <c r="A3" s="4">
        <v>38533</v>
      </c>
      <c r="B3">
        <v>18.288499999999999</v>
      </c>
    </row>
    <row r="4" spans="1:40" x14ac:dyDescent="0.25">
      <c r="A4" s="4">
        <v>38625</v>
      </c>
      <c r="B4">
        <v>15.0037</v>
      </c>
    </row>
    <row r="5" spans="1:40" x14ac:dyDescent="0.25">
      <c r="A5" s="4">
        <v>38716</v>
      </c>
      <c r="B5">
        <v>15.5543</v>
      </c>
    </row>
    <row r="6" spans="1:40" x14ac:dyDescent="0.25">
      <c r="A6" s="4">
        <v>38898</v>
      </c>
      <c r="B6">
        <v>13.8597</v>
      </c>
    </row>
    <row r="7" spans="1:40" x14ac:dyDescent="0.25">
      <c r="A7" s="4">
        <v>38989</v>
      </c>
      <c r="B7">
        <v>15.526300000000001</v>
      </c>
    </row>
    <row r="8" spans="1:40" x14ac:dyDescent="0.25">
      <c r="A8" s="4">
        <v>39080</v>
      </c>
      <c r="B8">
        <v>16.4191</v>
      </c>
    </row>
    <row r="9" spans="1:40" x14ac:dyDescent="0.25">
      <c r="A9" s="4">
        <v>39171</v>
      </c>
      <c r="B9">
        <v>14.6318</v>
      </c>
    </row>
    <row r="10" spans="1:40" x14ac:dyDescent="0.25">
      <c r="A10" s="4">
        <v>39262</v>
      </c>
      <c r="B10">
        <v>15.7921</v>
      </c>
    </row>
    <row r="11" spans="1:40" x14ac:dyDescent="0.25">
      <c r="A11" s="4">
        <v>39353</v>
      </c>
      <c r="B11">
        <v>14.3</v>
      </c>
    </row>
    <row r="12" spans="1:40" x14ac:dyDescent="0.25">
      <c r="A12" s="4">
        <v>39447</v>
      </c>
      <c r="B12">
        <v>14.0444</v>
      </c>
    </row>
    <row r="13" spans="1:40" x14ac:dyDescent="0.25">
      <c r="A13" s="4">
        <v>39538</v>
      </c>
      <c r="B13">
        <v>11.1731</v>
      </c>
    </row>
    <row r="14" spans="1:40" x14ac:dyDescent="0.25">
      <c r="A14" s="4">
        <v>39629</v>
      </c>
      <c r="B14">
        <v>10.6074</v>
      </c>
    </row>
    <row r="15" spans="1:40" x14ac:dyDescent="0.25">
      <c r="A15" s="4">
        <v>39721</v>
      </c>
      <c r="B15">
        <v>9.1890999999999998</v>
      </c>
    </row>
    <row r="16" spans="1:40" x14ac:dyDescent="0.25">
      <c r="A16" s="4">
        <v>39813</v>
      </c>
      <c r="B16">
        <v>7.3253000000000004</v>
      </c>
    </row>
    <row r="17" spans="1:2" x14ac:dyDescent="0.25">
      <c r="A17" s="4">
        <v>39903</v>
      </c>
      <c r="B17">
        <v>9.1708999999999996</v>
      </c>
    </row>
    <row r="18" spans="1:2" x14ac:dyDescent="0.25">
      <c r="A18" s="4">
        <v>39994</v>
      </c>
      <c r="B18">
        <v>11.765000000000001</v>
      </c>
    </row>
    <row r="19" spans="1:2" x14ac:dyDescent="0.25">
      <c r="A19" s="4">
        <v>40086</v>
      </c>
      <c r="B19">
        <v>18.513500000000001</v>
      </c>
    </row>
    <row r="20" spans="1:2" x14ac:dyDescent="0.25">
      <c r="A20" s="4">
        <v>40178</v>
      </c>
      <c r="B20">
        <v>16.942399999999999</v>
      </c>
    </row>
    <row r="21" spans="1:2" x14ac:dyDescent="0.25">
      <c r="A21" s="4">
        <v>40268</v>
      </c>
      <c r="B21">
        <v>17.5669</v>
      </c>
    </row>
    <row r="22" spans="1:2" x14ac:dyDescent="0.25">
      <c r="A22" s="4">
        <v>40359</v>
      </c>
      <c r="B22">
        <v>12.8095</v>
      </c>
    </row>
    <row r="23" spans="1:2" x14ac:dyDescent="0.25">
      <c r="A23" s="4">
        <v>40451</v>
      </c>
      <c r="B23">
        <v>12.4292</v>
      </c>
    </row>
    <row r="24" spans="1:2" x14ac:dyDescent="0.25">
      <c r="A24" s="4">
        <v>40543</v>
      </c>
      <c r="B24">
        <v>12.263500000000001</v>
      </c>
    </row>
    <row r="25" spans="1:2" x14ac:dyDescent="0.25">
      <c r="A25" s="4">
        <v>40633</v>
      </c>
      <c r="B25">
        <v>12.325799999999999</v>
      </c>
    </row>
    <row r="26" spans="1:2" x14ac:dyDescent="0.25">
      <c r="A26" s="4">
        <v>40724</v>
      </c>
      <c r="B26">
        <v>12.416399999999999</v>
      </c>
    </row>
    <row r="27" spans="1:2" x14ac:dyDescent="0.25">
      <c r="A27" s="4">
        <v>40816</v>
      </c>
      <c r="B27">
        <v>8.7603000000000009</v>
      </c>
    </row>
    <row r="28" spans="1:2" x14ac:dyDescent="0.25">
      <c r="A28" s="4">
        <v>40907</v>
      </c>
      <c r="B28">
        <v>9.6582000000000008</v>
      </c>
    </row>
    <row r="29" spans="1:2" x14ac:dyDescent="0.25">
      <c r="A29" s="4">
        <v>40998</v>
      </c>
      <c r="B29">
        <v>10.875299999999999</v>
      </c>
    </row>
    <row r="30" spans="1:2" x14ac:dyDescent="0.25">
      <c r="A30" s="4">
        <v>41089</v>
      </c>
      <c r="B30">
        <v>10.7819</v>
      </c>
    </row>
    <row r="31" spans="1:2" x14ac:dyDescent="0.25">
      <c r="A31" s="4">
        <v>41180</v>
      </c>
      <c r="B31">
        <v>12.266</v>
      </c>
    </row>
    <row r="32" spans="1:2" x14ac:dyDescent="0.25">
      <c r="A32" s="4">
        <v>41274</v>
      </c>
      <c r="B32">
        <v>12.2416</v>
      </c>
    </row>
    <row r="33" spans="1:2" x14ac:dyDescent="0.25">
      <c r="A33" s="4">
        <v>41362</v>
      </c>
      <c r="B33">
        <v>12.9009</v>
      </c>
    </row>
    <row r="34" spans="1:2" x14ac:dyDescent="0.25">
      <c r="A34" s="4">
        <v>41453</v>
      </c>
      <c r="B34">
        <v>12.339700000000001</v>
      </c>
    </row>
    <row r="35" spans="1:2" x14ac:dyDescent="0.25">
      <c r="A35" s="4">
        <v>41547</v>
      </c>
      <c r="B35">
        <v>14.6515</v>
      </c>
    </row>
    <row r="36" spans="1:2" x14ac:dyDescent="0.25">
      <c r="A36" s="4">
        <v>41639</v>
      </c>
      <c r="B36">
        <v>14.8283</v>
      </c>
    </row>
    <row r="37" spans="1:2" x14ac:dyDescent="0.25">
      <c r="A37" s="4">
        <v>41729</v>
      </c>
      <c r="B37">
        <v>16.682700000000001</v>
      </c>
    </row>
    <row r="38" spans="1:2" x14ac:dyDescent="0.25">
      <c r="A38" s="4">
        <v>41820</v>
      </c>
      <c r="B38">
        <v>15.9628</v>
      </c>
    </row>
    <row r="39" spans="1:2" x14ac:dyDescent="0.25">
      <c r="A39" s="4">
        <v>41912</v>
      </c>
      <c r="B39">
        <v>16.364100000000001</v>
      </c>
    </row>
    <row r="40" spans="1:2" x14ac:dyDescent="0.25">
      <c r="A40" s="4">
        <v>42004</v>
      </c>
      <c r="B40">
        <v>14.7753</v>
      </c>
    </row>
    <row r="41" spans="1:2" x14ac:dyDescent="0.25">
      <c r="A41" s="4">
        <v>42094</v>
      </c>
      <c r="B41">
        <v>19.315100000000001</v>
      </c>
    </row>
    <row r="42" spans="1:2" x14ac:dyDescent="0.25">
      <c r="A42" s="4">
        <v>42185</v>
      </c>
      <c r="B42">
        <v>17.741</v>
      </c>
    </row>
    <row r="43" spans="1:2" x14ac:dyDescent="0.25">
      <c r="A43" s="4">
        <v>42277</v>
      </c>
      <c r="B43">
        <v>16.392099999999999</v>
      </c>
    </row>
    <row r="44" spans="1:2" x14ac:dyDescent="0.25">
      <c r="A44" s="4">
        <v>42369</v>
      </c>
      <c r="B44">
        <v>16.495200000000001</v>
      </c>
    </row>
    <row r="45" spans="1:2" x14ac:dyDescent="0.25">
      <c r="A45" s="4">
        <v>42460</v>
      </c>
      <c r="B45">
        <v>15.123799999999999</v>
      </c>
    </row>
    <row r="46" spans="1:2" x14ac:dyDescent="0.25">
      <c r="A46" s="4">
        <v>42551</v>
      </c>
      <c r="B46">
        <v>14.7721</v>
      </c>
    </row>
    <row r="47" spans="1:2" x14ac:dyDescent="0.25">
      <c r="A47" s="4">
        <v>42643</v>
      </c>
      <c r="B47">
        <v>15.7456</v>
      </c>
    </row>
    <row r="48" spans="1:2" x14ac:dyDescent="0.25">
      <c r="A48" s="4">
        <v>42734</v>
      </c>
      <c r="B48">
        <v>16.120100000000001</v>
      </c>
    </row>
    <row r="49" spans="1:2" x14ac:dyDescent="0.25">
      <c r="A49" s="4">
        <v>42825</v>
      </c>
      <c r="B49">
        <v>16.773299999999999</v>
      </c>
    </row>
    <row r="50" spans="1:2" x14ac:dyDescent="0.25">
      <c r="A50" s="4">
        <v>42916</v>
      </c>
      <c r="B50">
        <v>15.6473</v>
      </c>
    </row>
    <row r="51" spans="1:2" x14ac:dyDescent="0.25">
      <c r="A51" s="4">
        <v>43007</v>
      </c>
      <c r="B51">
        <v>16.296299999999999</v>
      </c>
    </row>
    <row r="52" spans="1:2" x14ac:dyDescent="0.25">
      <c r="A52" s="4">
        <v>43098</v>
      </c>
      <c r="B52">
        <v>15.424799999999999</v>
      </c>
    </row>
    <row r="53" spans="1:2" x14ac:dyDescent="0.25">
      <c r="A53" s="4">
        <v>43189</v>
      </c>
      <c r="B53">
        <v>14.2791</v>
      </c>
    </row>
    <row r="54" spans="1:2" x14ac:dyDescent="0.25">
      <c r="A54" s="4">
        <v>43280</v>
      </c>
      <c r="B54">
        <v>14.6295</v>
      </c>
    </row>
    <row r="55" spans="1:2" x14ac:dyDescent="0.25">
      <c r="A55" s="4">
        <v>43371</v>
      </c>
      <c r="B55">
        <v>14.7958</v>
      </c>
    </row>
    <row r="56" spans="1:2" x14ac:dyDescent="0.25">
      <c r="A56" s="4">
        <v>43465</v>
      </c>
      <c r="B56">
        <v>12.554</v>
      </c>
    </row>
    <row r="57" spans="1:2" x14ac:dyDescent="0.25">
      <c r="A57" s="4">
        <v>43553</v>
      </c>
      <c r="B57">
        <v>15.5168</v>
      </c>
    </row>
    <row r="58" spans="1:2" x14ac:dyDescent="0.25">
      <c r="A58" s="4">
        <v>43644</v>
      </c>
      <c r="B58">
        <v>15.6447</v>
      </c>
    </row>
    <row r="59" spans="1:2" x14ac:dyDescent="0.25">
      <c r="A59" s="4">
        <v>43738</v>
      </c>
      <c r="B59">
        <v>16.239999999999998</v>
      </c>
    </row>
    <row r="60" spans="1:2" x14ac:dyDescent="0.25">
      <c r="A60" s="4">
        <v>43830</v>
      </c>
      <c r="B60">
        <v>16.270099999999999</v>
      </c>
    </row>
    <row r="61" spans="1:2" x14ac:dyDescent="0.25">
      <c r="A61" s="4">
        <v>43921</v>
      </c>
      <c r="B61">
        <v>12.961499999999999</v>
      </c>
    </row>
    <row r="62" spans="1:2" x14ac:dyDescent="0.25">
      <c r="A62" s="4">
        <v>44012</v>
      </c>
      <c r="B62">
        <v>16.1035</v>
      </c>
    </row>
    <row r="63" spans="1:2" x14ac:dyDescent="0.25">
      <c r="A63" s="4">
        <v>44104</v>
      </c>
      <c r="B63">
        <v>21.667100000000001</v>
      </c>
    </row>
    <row r="64" spans="1:2" x14ac:dyDescent="0.25">
      <c r="A64" s="4">
        <v>44196</v>
      </c>
      <c r="B64">
        <v>27.369</v>
      </c>
    </row>
    <row r="65" spans="1:2" x14ac:dyDescent="0.25">
      <c r="A65" s="4">
        <v>44286</v>
      </c>
      <c r="B65">
        <v>29.739899999999999</v>
      </c>
    </row>
    <row r="66" spans="1:2" x14ac:dyDescent="0.25">
      <c r="A66" s="4">
        <v>44377</v>
      </c>
      <c r="B66">
        <v>23.807099999999998</v>
      </c>
    </row>
    <row r="67" spans="1:2" x14ac:dyDescent="0.25">
      <c r="A67" s="4">
        <v>44469</v>
      </c>
      <c r="B67">
        <v>17.6234</v>
      </c>
    </row>
    <row r="68" spans="1:2" x14ac:dyDescent="0.25">
      <c r="A68" s="4">
        <v>44561</v>
      </c>
      <c r="B68">
        <v>16.5334</v>
      </c>
    </row>
    <row r="69" spans="1:2" x14ac:dyDescent="0.25">
      <c r="A69" s="4">
        <v>44651</v>
      </c>
      <c r="B69">
        <v>13.772399999999999</v>
      </c>
    </row>
    <row r="70" spans="1:2" x14ac:dyDescent="0.25">
      <c r="A70" s="4">
        <v>44742</v>
      </c>
      <c r="B70">
        <v>10.85</v>
      </c>
    </row>
    <row r="71" spans="1:2" x14ac:dyDescent="0.25">
      <c r="A71" s="4">
        <v>44834</v>
      </c>
      <c r="B71">
        <v>9.6441999999999997</v>
      </c>
    </row>
    <row r="72" spans="1:2" x14ac:dyDescent="0.25">
      <c r="A72" s="4">
        <v>44925</v>
      </c>
      <c r="B72">
        <v>10.3522</v>
      </c>
    </row>
    <row r="73" spans="1:2" x14ac:dyDescent="0.25">
      <c r="A73" s="4">
        <v>45016</v>
      </c>
      <c r="B73">
        <v>12.037800000000001</v>
      </c>
    </row>
    <row r="74" spans="1:2" x14ac:dyDescent="0.25">
      <c r="A74" s="4">
        <v>45107</v>
      </c>
      <c r="B74">
        <v>12.4947</v>
      </c>
    </row>
    <row r="75" spans="1:2" x14ac:dyDescent="0.25">
      <c r="A75" s="4">
        <v>45198</v>
      </c>
      <c r="B75">
        <v>12.534000000000001</v>
      </c>
    </row>
    <row r="76" spans="1:2" x14ac:dyDescent="0.25">
      <c r="A76" s="4">
        <v>45289</v>
      </c>
      <c r="B76">
        <v>12.5624</v>
      </c>
    </row>
    <row r="77" spans="1:2" x14ac:dyDescent="0.25">
      <c r="A77" s="4">
        <v>45380</v>
      </c>
      <c r="B77">
        <v>14.7669</v>
      </c>
    </row>
    <row r="78" spans="1:2" x14ac:dyDescent="0.25">
      <c r="A78" s="4">
        <v>45471</v>
      </c>
      <c r="B78">
        <v>13.2203</v>
      </c>
    </row>
    <row r="79" spans="1:2" x14ac:dyDescent="0.25">
      <c r="A79" s="4">
        <v>45565</v>
      </c>
      <c r="B79">
        <v>13.9278</v>
      </c>
    </row>
    <row r="80" spans="1:2" x14ac:dyDescent="0.25">
      <c r="A80" s="4">
        <v>45657</v>
      </c>
      <c r="B80">
        <v>14.157299999999999</v>
      </c>
    </row>
    <row r="81" spans="1:2" x14ac:dyDescent="0.25">
      <c r="A81" s="4">
        <v>45747</v>
      </c>
      <c r="B81">
        <v>15.710599999999999</v>
      </c>
    </row>
    <row r="82" spans="1:2" x14ac:dyDescent="0.25">
      <c r="A82" s="4">
        <v>45838</v>
      </c>
      <c r="B82">
        <v>16.4011</v>
      </c>
    </row>
    <row r="83" spans="1:2" x14ac:dyDescent="0.25">
      <c r="A83" s="4">
        <v>45930</v>
      </c>
      <c r="B83">
        <v>17.762899999999998</v>
      </c>
    </row>
    <row r="84" spans="1:2" x14ac:dyDescent="0.25">
      <c r="A84" s="4">
        <v>46022</v>
      </c>
      <c r="B84">
        <v>17.924900000000001</v>
      </c>
    </row>
    <row r="85" spans="1:2" x14ac:dyDescent="0.25">
      <c r="A85" s="4">
        <v>46112</v>
      </c>
      <c r="B85">
        <v>18.791699999999999</v>
      </c>
    </row>
    <row r="86" spans="1:2" x14ac:dyDescent="0.25">
      <c r="A86" s="4">
        <v>46203</v>
      </c>
      <c r="B86">
        <v>19.3995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Données</vt:lpstr>
      <vt:lpstr>PER CAC 40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2025-11-24T15:37:12Z</dcterms:created>
  <dcterms:modified xsi:type="dcterms:W3CDTF">2026-08-24T09:47:16Z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