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03. Ponctuel\03. Banques\2025\Indicateur risque CCyB\R\Donnees\"/>
    </mc:Choice>
  </mc:AlternateContent>
  <xr:revisionPtr revIDLastSave="0" documentId="8_{DA5A084A-D2A3-4473-B990-FBA5E3A34FED}" xr6:coauthVersionLast="47" xr6:coauthVersionMax="47" xr10:uidLastSave="{00000000-0000-0000-0000-000000000000}"/>
  <bookViews>
    <workbookView xWindow="14470" yWindow="-16310" windowWidth="25420" windowHeight="15250" activeTab="1" xr2:uid="{00000000-000D-0000-FFFF-FFFF00000000}"/>
  </bookViews>
  <sheets>
    <sheet name="Graphique1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</calcChain>
</file>

<file path=xl/sharedStrings.xml><?xml version="1.0" encoding="utf-8"?>
<sst xmlns="http://schemas.openxmlformats.org/spreadsheetml/2006/main" count="92" uniqueCount="92">
  <si>
    <t>ECB Data Portal</t>
  </si>
  <si>
    <t>Downloaded on: 2026-06-17 15:37:54</t>
  </si>
  <si>
    <t>TITLE</t>
  </si>
  <si>
    <t>France - All firm sizes - Q11. External financing - factors</t>
  </si>
  <si>
    <t>SERIES KEY</t>
  </si>
  <si>
    <t>SAFE.H.FR.ALL.A.0.0.0.Q11.11F.NN.FL.WP</t>
  </si>
  <si>
    <t>TIME SERIES PAGE</t>
  </si>
  <si>
    <t>https://data.ecb.europa.eu/data/datasets/SAFE/SAFE.H.FR.ALL.A.0.0.0.Q11.11F.NN.FL.WP</t>
  </si>
  <si>
    <t>GEOGRAPHICAL AREA</t>
  </si>
  <si>
    <t>France (FR)</t>
  </si>
  <si>
    <t>FREQUENCY</t>
  </si>
  <si>
    <t>Half-yearly</t>
  </si>
  <si>
    <t>DATASET</t>
  </si>
  <si>
    <t>SAFE</t>
  </si>
  <si>
    <t>DATA SOURCE</t>
  </si>
  <si>
    <t>ECB</t>
  </si>
  <si>
    <t>COLLECTION TYPE</t>
  </si>
  <si>
    <t>Other (V)</t>
  </si>
  <si>
    <t>UNIT</t>
  </si>
  <si>
    <t>Hundredth of Percent</t>
  </si>
  <si>
    <t>LAST UPDATED</t>
  </si>
  <si>
    <t>2026-04-27 10:00:01</t>
  </si>
  <si>
    <t>DATE</t>
  </si>
  <si>
    <t>TIME PERIOD</t>
  </si>
  <si>
    <t>France - All firm sizes - Q11. External financing - factors (SAFE.H.FR.ALL.A.0.0.0.Q11.11F.NN.FL.WP)</t>
  </si>
  <si>
    <t>2009H1</t>
  </si>
  <si>
    <t>2009-12-31</t>
  </si>
  <si>
    <t>2009H2</t>
  </si>
  <si>
    <t>2010-06-30</t>
  </si>
  <si>
    <t>2010H1</t>
  </si>
  <si>
    <t>2010-12-31</t>
  </si>
  <si>
    <t>2010H2</t>
  </si>
  <si>
    <t>2011-06-30</t>
  </si>
  <si>
    <t>2011H1</t>
  </si>
  <si>
    <t>2011-12-31</t>
  </si>
  <si>
    <t>2011H2</t>
  </si>
  <si>
    <t>2012-06-30</t>
  </si>
  <si>
    <t>2012H1</t>
  </si>
  <si>
    <t>2012-12-31</t>
  </si>
  <si>
    <t>2012H2</t>
  </si>
  <si>
    <t>2013-06-30</t>
  </si>
  <si>
    <t>2013H1</t>
  </si>
  <si>
    <t>2013-12-31</t>
  </si>
  <si>
    <t>2013H2</t>
  </si>
  <si>
    <t>2014-06-30</t>
  </si>
  <si>
    <t>2014H1</t>
  </si>
  <si>
    <t>2014-12-31</t>
  </si>
  <si>
    <t>2014H2</t>
  </si>
  <si>
    <t>2015-06-30</t>
  </si>
  <si>
    <t>2015H1</t>
  </si>
  <si>
    <t>2015-12-31</t>
  </si>
  <si>
    <t>2015H2</t>
  </si>
  <si>
    <t>2016-06-30</t>
  </si>
  <si>
    <t>2016H1</t>
  </si>
  <si>
    <t>2016-12-31</t>
  </si>
  <si>
    <t>2016H2</t>
  </si>
  <si>
    <t>2017-06-30</t>
  </si>
  <si>
    <t>2017H1</t>
  </si>
  <si>
    <t>2017-12-31</t>
  </si>
  <si>
    <t>2017H2</t>
  </si>
  <si>
    <t>2018-06-30</t>
  </si>
  <si>
    <t>2018H1</t>
  </si>
  <si>
    <t>2018-12-31</t>
  </si>
  <si>
    <t>2018H2</t>
  </si>
  <si>
    <t>2019-06-30</t>
  </si>
  <si>
    <t>2019H1</t>
  </si>
  <si>
    <t>2019-12-31</t>
  </si>
  <si>
    <t>2019H2</t>
  </si>
  <si>
    <t>2020-06-30</t>
  </si>
  <si>
    <t>2020H1</t>
  </si>
  <si>
    <t>2020-12-31</t>
  </si>
  <si>
    <t>2020H2</t>
  </si>
  <si>
    <t>2021-06-30</t>
  </si>
  <si>
    <t>2021H1</t>
  </si>
  <si>
    <t>2021-12-31</t>
  </si>
  <si>
    <t>2021H2</t>
  </si>
  <si>
    <t>2022-06-30</t>
  </si>
  <si>
    <t>2022H1</t>
  </si>
  <si>
    <t>2022-12-31</t>
  </si>
  <si>
    <t>2022H2</t>
  </si>
  <si>
    <t>2023-06-30</t>
  </si>
  <si>
    <t>2023H1</t>
  </si>
  <si>
    <t>2023-12-31</t>
  </si>
  <si>
    <t>2023H2</t>
  </si>
  <si>
    <t>2024-06-30</t>
  </si>
  <si>
    <t>2024H1</t>
  </si>
  <si>
    <t>2024-12-31</t>
  </si>
  <si>
    <t>2024H2</t>
  </si>
  <si>
    <t>2025-06-30</t>
  </si>
  <si>
    <t>2025H1</t>
  </si>
  <si>
    <t>2025-12-31</t>
  </si>
  <si>
    <t>2025H2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</si>
</sst>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indexed="8"/>
      <name val="Calibri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3366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SAFE (interpolation subjective)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3366"/>
              </a:solidFill>
              <a:latin typeface="Arial"/>
              <a:ea typeface="Arial"/>
              <a:cs typeface="Arial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DATA!$A$16:$A$55</c:f>
              <c:strCache>
                <c:ptCount val="40"/>
                <c:pt idx="0">
                  <c:v>2006-06-29</c:v>
                </c:pt>
                <c:pt idx="1">
                  <c:v>2006-12-30</c:v>
                </c:pt>
                <c:pt idx="2">
                  <c:v>2007-06-29</c:v>
                </c:pt>
                <c:pt idx="3">
                  <c:v>2007-12-30</c:v>
                </c:pt>
                <c:pt idx="4">
                  <c:v>2008-06-29</c:v>
                </c:pt>
                <c:pt idx="5">
                  <c:v>2008-12-30</c:v>
                </c:pt>
                <c:pt idx="6">
                  <c:v>2009-06-30</c:v>
                </c:pt>
                <c:pt idx="7">
                  <c:v>2009-12-31</c:v>
                </c:pt>
                <c:pt idx="8">
                  <c:v>2010-06-30</c:v>
                </c:pt>
                <c:pt idx="9">
                  <c:v>2010-12-31</c:v>
                </c:pt>
                <c:pt idx="10">
                  <c:v>2011-06-30</c:v>
                </c:pt>
                <c:pt idx="11">
                  <c:v>2011-12-31</c:v>
                </c:pt>
                <c:pt idx="12">
                  <c:v>2012-06-30</c:v>
                </c:pt>
                <c:pt idx="13">
                  <c:v>2012-12-31</c:v>
                </c:pt>
                <c:pt idx="14">
                  <c:v>2013-06-30</c:v>
                </c:pt>
                <c:pt idx="15">
                  <c:v>2013-12-31</c:v>
                </c:pt>
                <c:pt idx="16">
                  <c:v>2014-06-30</c:v>
                </c:pt>
                <c:pt idx="17">
                  <c:v>2014-12-31</c:v>
                </c:pt>
                <c:pt idx="18">
                  <c:v>2015-06-30</c:v>
                </c:pt>
                <c:pt idx="19">
                  <c:v>2015-12-31</c:v>
                </c:pt>
                <c:pt idx="20">
                  <c:v>2016-06-30</c:v>
                </c:pt>
                <c:pt idx="21">
                  <c:v>2016-12-31</c:v>
                </c:pt>
                <c:pt idx="22">
                  <c:v>2017-06-30</c:v>
                </c:pt>
                <c:pt idx="23">
                  <c:v>2017-12-31</c:v>
                </c:pt>
                <c:pt idx="24">
                  <c:v>2018-06-30</c:v>
                </c:pt>
                <c:pt idx="25">
                  <c:v>2018-12-31</c:v>
                </c:pt>
                <c:pt idx="26">
                  <c:v>2019-06-30</c:v>
                </c:pt>
                <c:pt idx="27">
                  <c:v>2019-12-31</c:v>
                </c:pt>
                <c:pt idx="28">
                  <c:v>2020-06-30</c:v>
                </c:pt>
                <c:pt idx="29">
                  <c:v>2020-12-31</c:v>
                </c:pt>
                <c:pt idx="30">
                  <c:v>2021-06-30</c:v>
                </c:pt>
                <c:pt idx="31">
                  <c:v>2021-12-31</c:v>
                </c:pt>
                <c:pt idx="32">
                  <c:v>2022-06-30</c:v>
                </c:pt>
                <c:pt idx="33">
                  <c:v>2022-12-31</c:v>
                </c:pt>
                <c:pt idx="34">
                  <c:v>2023-06-30</c:v>
                </c:pt>
                <c:pt idx="35">
                  <c:v>2023-12-31</c:v>
                </c:pt>
                <c:pt idx="36">
                  <c:v>2024-06-30</c:v>
                </c:pt>
                <c:pt idx="37">
                  <c:v>2024-12-31</c:v>
                </c:pt>
                <c:pt idx="38">
                  <c:v>2025-06-30</c:v>
                </c:pt>
                <c:pt idx="39">
                  <c:v>2025-12-31</c:v>
                </c:pt>
              </c:strCache>
            </c:strRef>
          </c:cat>
          <c:val>
            <c:numRef>
              <c:f>DATA!$C$16:$C$55</c:f>
              <c:numCache>
                <c:formatCode>General</c:formatCode>
                <c:ptCount val="40"/>
                <c:pt idx="0">
                  <c:v>9</c:v>
                </c:pt>
                <c:pt idx="1">
                  <c:v>12</c:v>
                </c:pt>
                <c:pt idx="2">
                  <c:v>5</c:v>
                </c:pt>
                <c:pt idx="3">
                  <c:v>-0.5</c:v>
                </c:pt>
                <c:pt idx="4">
                  <c:v>-28</c:v>
                </c:pt>
                <c:pt idx="5">
                  <c:v>-25</c:v>
                </c:pt>
                <c:pt idx="6">
                  <c:v>-15.319000000000001</c:v>
                </c:pt>
                <c:pt idx="7">
                  <c:v>-11.712999999999999</c:v>
                </c:pt>
                <c:pt idx="8">
                  <c:v>-1.014</c:v>
                </c:pt>
                <c:pt idx="9">
                  <c:v>-4.024</c:v>
                </c:pt>
                <c:pt idx="10">
                  <c:v>-19.972000000000001</c:v>
                </c:pt>
                <c:pt idx="11">
                  <c:v>-25.331</c:v>
                </c:pt>
                <c:pt idx="12">
                  <c:v>-22.776</c:v>
                </c:pt>
                <c:pt idx="13">
                  <c:v>-20.382000000000001</c:v>
                </c:pt>
                <c:pt idx="14">
                  <c:v>-18.536999999999999</c:v>
                </c:pt>
                <c:pt idx="15">
                  <c:v>-15.35</c:v>
                </c:pt>
                <c:pt idx="16">
                  <c:v>-6.88</c:v>
                </c:pt>
                <c:pt idx="17">
                  <c:v>8.7200000000000006</c:v>
                </c:pt>
                <c:pt idx="18">
                  <c:v>7.8730000000000002</c:v>
                </c:pt>
                <c:pt idx="19">
                  <c:v>7.2060000000000004</c:v>
                </c:pt>
                <c:pt idx="20">
                  <c:v>13.422000000000001</c:v>
                </c:pt>
                <c:pt idx="21">
                  <c:v>15.654999999999999</c:v>
                </c:pt>
                <c:pt idx="22">
                  <c:v>16.25</c:v>
                </c:pt>
                <c:pt idx="23">
                  <c:v>17.395</c:v>
                </c:pt>
                <c:pt idx="24">
                  <c:v>12.262</c:v>
                </c:pt>
                <c:pt idx="25">
                  <c:v>13.465</c:v>
                </c:pt>
                <c:pt idx="26">
                  <c:v>16.652000000000001</c:v>
                </c:pt>
                <c:pt idx="27">
                  <c:v>15.968</c:v>
                </c:pt>
                <c:pt idx="28">
                  <c:v>9.532</c:v>
                </c:pt>
                <c:pt idx="29">
                  <c:v>9.7390000000000008</c:v>
                </c:pt>
                <c:pt idx="30">
                  <c:v>9.5909999999999993</c:v>
                </c:pt>
                <c:pt idx="31">
                  <c:v>11.178000000000001</c:v>
                </c:pt>
                <c:pt idx="32">
                  <c:v>-3.5000000000000003E-2</c:v>
                </c:pt>
                <c:pt idx="33">
                  <c:v>-0.82099999999999995</c:v>
                </c:pt>
                <c:pt idx="34">
                  <c:v>-8.9649999999999999</c:v>
                </c:pt>
                <c:pt idx="35">
                  <c:v>-6.3789999999999996</c:v>
                </c:pt>
                <c:pt idx="36">
                  <c:v>-0.89600000000000002</c:v>
                </c:pt>
                <c:pt idx="37">
                  <c:v>-8.4480000000000004</c:v>
                </c:pt>
                <c:pt idx="38">
                  <c:v>-0.879</c:v>
                </c:pt>
                <c:pt idx="39">
                  <c:v>-4.7380000000000004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0-4300-A100-14E432010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4841871"/>
        <c:axId val="1874869327"/>
      </c:lineChart>
      <c:catAx>
        <c:axId val="18748418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74869327"/>
        <c:crosses val="autoZero"/>
        <c:auto val="1"/>
        <c:lblAlgn val="ctr"/>
        <c:lblOffset val="0"/>
        <c:tickLblSkip val="6"/>
        <c:tickMarkSkip val="3"/>
        <c:noMultiLvlLbl val="0"/>
      </c:catAx>
      <c:valAx>
        <c:axId val="1874869327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;&quot;-&quot;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74841871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36F411-705B-4FC4-BBFA-0D9D635FBE7A}">
  <sheetPr/>
  <sheetViews>
    <sheetView zoomScale="7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78347" cy="604037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69D0A0E-B7A5-4D37-A829-DA5D63E0E2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cb.europa.eu/data/datasets/SAFE/SAFE.H.FR.ALL.A.0.0.0.Q11.11F.NN.FL.WP" TargetMode="External"/><Relationship Id="rId2" Type="http://schemas.openxmlformats.org/officeDocument/2006/relationships/hyperlink" Target="https://data.ecb.europa.eu/" TargetMode="External"/><Relationship Id="rId1" Type="http://schemas.openxmlformats.org/officeDocument/2006/relationships/hyperlink" Target="https://data.ecb.europa.eu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11" workbookViewId="0">
      <selection activeCell="C18" sqref="C18"/>
    </sheetView>
  </sheetViews>
  <sheetFormatPr baseColWidth="10" defaultColWidth="8.7265625" defaultRowHeight="14.5" x14ac:dyDescent="0.35"/>
  <cols>
    <col min="1" max="1" width="10.08984375" bestFit="1" customWidth="1"/>
  </cols>
  <sheetData>
    <row r="1" spans="1:5" x14ac:dyDescent="0.35">
      <c r="A1" s="1" t="s">
        <v>0</v>
      </c>
    </row>
    <row r="2" spans="1:5" x14ac:dyDescent="0.35">
      <c r="A2" t="s">
        <v>1</v>
      </c>
    </row>
    <row r="4" spans="1:5" x14ac:dyDescent="0.35">
      <c r="A4" s="2" t="s">
        <v>2</v>
      </c>
      <c r="C4" t="s">
        <v>3</v>
      </c>
    </row>
    <row r="5" spans="1:5" x14ac:dyDescent="0.35">
      <c r="A5" s="3" t="s">
        <v>4</v>
      </c>
      <c r="C5" t="s">
        <v>5</v>
      </c>
    </row>
    <row r="6" spans="1:5" x14ac:dyDescent="0.35">
      <c r="A6" s="4" t="s">
        <v>6</v>
      </c>
      <c r="C6" s="12" t="s">
        <v>7</v>
      </c>
    </row>
    <row r="7" spans="1:5" x14ac:dyDescent="0.35">
      <c r="A7" s="5" t="s">
        <v>8</v>
      </c>
      <c r="C7" t="s">
        <v>9</v>
      </c>
    </row>
    <row r="8" spans="1:5" x14ac:dyDescent="0.35">
      <c r="A8" s="6" t="s">
        <v>10</v>
      </c>
      <c r="C8" t="s">
        <v>11</v>
      </c>
    </row>
    <row r="9" spans="1:5" x14ac:dyDescent="0.35">
      <c r="A9" s="7" t="s">
        <v>12</v>
      </c>
      <c r="C9" t="s">
        <v>13</v>
      </c>
    </row>
    <row r="10" spans="1:5" x14ac:dyDescent="0.35">
      <c r="A10" s="8" t="s">
        <v>14</v>
      </c>
      <c r="C10" t="s">
        <v>15</v>
      </c>
    </row>
    <row r="11" spans="1:5" x14ac:dyDescent="0.35">
      <c r="A11" s="9" t="s">
        <v>16</v>
      </c>
      <c r="C11" t="s">
        <v>17</v>
      </c>
    </row>
    <row r="12" spans="1:5" x14ac:dyDescent="0.35">
      <c r="A12" s="10" t="s">
        <v>18</v>
      </c>
      <c r="C12" t="s">
        <v>19</v>
      </c>
    </row>
    <row r="13" spans="1:5" x14ac:dyDescent="0.35">
      <c r="A13" s="11" t="s">
        <v>20</v>
      </c>
      <c r="C13" t="s">
        <v>21</v>
      </c>
    </row>
    <row r="15" spans="1:5" x14ac:dyDescent="0.35">
      <c r="A15" s="13" t="s">
        <v>22</v>
      </c>
      <c r="B15" s="14" t="s">
        <v>23</v>
      </c>
      <c r="C15" s="15" t="s">
        <v>24</v>
      </c>
    </row>
    <row r="16" spans="1:5" x14ac:dyDescent="0.35">
      <c r="A16" s="49">
        <v>38897</v>
      </c>
      <c r="B16" s="14"/>
      <c r="C16" s="50">
        <v>9</v>
      </c>
      <c r="E16">
        <f>MIN(C22:C55)</f>
        <v>-25.331</v>
      </c>
    </row>
    <row r="17" spans="1:5" x14ac:dyDescent="0.35">
      <c r="A17" s="49">
        <v>39081</v>
      </c>
      <c r="B17" s="14"/>
      <c r="C17" s="50">
        <v>12</v>
      </c>
      <c r="E17">
        <f>MAX(C22:C55)</f>
        <v>17.395</v>
      </c>
    </row>
    <row r="18" spans="1:5" x14ac:dyDescent="0.35">
      <c r="A18" s="49">
        <v>39262</v>
      </c>
      <c r="B18" s="14"/>
      <c r="C18" s="50">
        <v>5</v>
      </c>
      <c r="E18">
        <f>AVERAGE(C22:C55)</f>
        <v>-0.22208823529411834</v>
      </c>
    </row>
    <row r="19" spans="1:5" x14ac:dyDescent="0.35">
      <c r="A19" s="49">
        <v>39446</v>
      </c>
      <c r="B19" s="14"/>
      <c r="C19" s="50">
        <v>-0.5</v>
      </c>
      <c r="E19">
        <f>STDEVA(C22:C55)</f>
        <v>13.089700173355475</v>
      </c>
    </row>
    <row r="20" spans="1:5" x14ac:dyDescent="0.35">
      <c r="A20" s="49">
        <v>39628</v>
      </c>
      <c r="B20" s="14"/>
      <c r="C20" s="50">
        <v>-28</v>
      </c>
    </row>
    <row r="21" spans="1:5" x14ac:dyDescent="0.35">
      <c r="A21" s="49">
        <v>39812</v>
      </c>
      <c r="B21" s="14"/>
      <c r="C21" s="50">
        <v>-25</v>
      </c>
    </row>
    <row r="22" spans="1:5" x14ac:dyDescent="0.35">
      <c r="A22" s="16">
        <v>39994</v>
      </c>
      <c r="B22" t="s">
        <v>25</v>
      </c>
      <c r="C22">
        <v>-15.319000000000001</v>
      </c>
    </row>
    <row r="23" spans="1:5" x14ac:dyDescent="0.35">
      <c r="A23" s="17" t="s">
        <v>26</v>
      </c>
      <c r="B23" t="s">
        <v>27</v>
      </c>
      <c r="C23">
        <v>-11.712999999999999</v>
      </c>
    </row>
    <row r="24" spans="1:5" x14ac:dyDescent="0.35">
      <c r="A24" s="18" t="s">
        <v>28</v>
      </c>
      <c r="B24" t="s">
        <v>29</v>
      </c>
      <c r="C24">
        <v>-1.014</v>
      </c>
    </row>
    <row r="25" spans="1:5" x14ac:dyDescent="0.35">
      <c r="A25" s="19" t="s">
        <v>30</v>
      </c>
      <c r="B25" t="s">
        <v>31</v>
      </c>
      <c r="C25">
        <v>-4.024</v>
      </c>
    </row>
    <row r="26" spans="1:5" x14ac:dyDescent="0.35">
      <c r="A26" s="20" t="s">
        <v>32</v>
      </c>
      <c r="B26" t="s">
        <v>33</v>
      </c>
      <c r="C26">
        <v>-19.972000000000001</v>
      </c>
    </row>
    <row r="27" spans="1:5" x14ac:dyDescent="0.35">
      <c r="A27" s="21" t="s">
        <v>34</v>
      </c>
      <c r="B27" t="s">
        <v>35</v>
      </c>
      <c r="C27">
        <v>-25.331</v>
      </c>
    </row>
    <row r="28" spans="1:5" x14ac:dyDescent="0.35">
      <c r="A28" s="22" t="s">
        <v>36</v>
      </c>
      <c r="B28" t="s">
        <v>37</v>
      </c>
      <c r="C28">
        <v>-22.776</v>
      </c>
    </row>
    <row r="29" spans="1:5" x14ac:dyDescent="0.35">
      <c r="A29" s="23" t="s">
        <v>38</v>
      </c>
      <c r="B29" t="s">
        <v>39</v>
      </c>
      <c r="C29">
        <v>-20.382000000000001</v>
      </c>
    </row>
    <row r="30" spans="1:5" x14ac:dyDescent="0.35">
      <c r="A30" s="24" t="s">
        <v>40</v>
      </c>
      <c r="B30" t="s">
        <v>41</v>
      </c>
      <c r="C30">
        <v>-18.536999999999999</v>
      </c>
    </row>
    <row r="31" spans="1:5" x14ac:dyDescent="0.35">
      <c r="A31" s="25" t="s">
        <v>42</v>
      </c>
      <c r="B31" t="s">
        <v>43</v>
      </c>
      <c r="C31">
        <v>-15.35</v>
      </c>
    </row>
    <row r="32" spans="1:5" x14ac:dyDescent="0.35">
      <c r="A32" s="26" t="s">
        <v>44</v>
      </c>
      <c r="B32" t="s">
        <v>45</v>
      </c>
      <c r="C32">
        <v>-6.88</v>
      </c>
    </row>
    <row r="33" spans="1:3" x14ac:dyDescent="0.35">
      <c r="A33" s="27" t="s">
        <v>46</v>
      </c>
      <c r="B33" t="s">
        <v>47</v>
      </c>
      <c r="C33">
        <v>8.7200000000000006</v>
      </c>
    </row>
    <row r="34" spans="1:3" x14ac:dyDescent="0.35">
      <c r="A34" s="28" t="s">
        <v>48</v>
      </c>
      <c r="B34" t="s">
        <v>49</v>
      </c>
      <c r="C34">
        <v>7.8730000000000002</v>
      </c>
    </row>
    <row r="35" spans="1:3" x14ac:dyDescent="0.35">
      <c r="A35" s="29" t="s">
        <v>50</v>
      </c>
      <c r="B35" t="s">
        <v>51</v>
      </c>
      <c r="C35">
        <v>7.2060000000000004</v>
      </c>
    </row>
    <row r="36" spans="1:3" x14ac:dyDescent="0.35">
      <c r="A36" s="30" t="s">
        <v>52</v>
      </c>
      <c r="B36" t="s">
        <v>53</v>
      </c>
      <c r="C36">
        <v>13.422000000000001</v>
      </c>
    </row>
    <row r="37" spans="1:3" x14ac:dyDescent="0.35">
      <c r="A37" s="31" t="s">
        <v>54</v>
      </c>
      <c r="B37" t="s">
        <v>55</v>
      </c>
      <c r="C37">
        <v>15.654999999999999</v>
      </c>
    </row>
    <row r="38" spans="1:3" x14ac:dyDescent="0.35">
      <c r="A38" s="32" t="s">
        <v>56</v>
      </c>
      <c r="B38" t="s">
        <v>57</v>
      </c>
      <c r="C38">
        <v>16.25</v>
      </c>
    </row>
    <row r="39" spans="1:3" x14ac:dyDescent="0.35">
      <c r="A39" s="33" t="s">
        <v>58</v>
      </c>
      <c r="B39" t="s">
        <v>59</v>
      </c>
      <c r="C39">
        <v>17.395</v>
      </c>
    </row>
    <row r="40" spans="1:3" x14ac:dyDescent="0.35">
      <c r="A40" s="34" t="s">
        <v>60</v>
      </c>
      <c r="B40" t="s">
        <v>61</v>
      </c>
      <c r="C40">
        <v>12.262</v>
      </c>
    </row>
    <row r="41" spans="1:3" x14ac:dyDescent="0.35">
      <c r="A41" s="35" t="s">
        <v>62</v>
      </c>
      <c r="B41" t="s">
        <v>63</v>
      </c>
      <c r="C41">
        <v>13.465</v>
      </c>
    </row>
    <row r="42" spans="1:3" x14ac:dyDescent="0.35">
      <c r="A42" s="36" t="s">
        <v>64</v>
      </c>
      <c r="B42" t="s">
        <v>65</v>
      </c>
      <c r="C42">
        <v>16.652000000000001</v>
      </c>
    </row>
    <row r="43" spans="1:3" x14ac:dyDescent="0.35">
      <c r="A43" s="37" t="s">
        <v>66</v>
      </c>
      <c r="B43" t="s">
        <v>67</v>
      </c>
      <c r="C43">
        <v>15.968</v>
      </c>
    </row>
    <row r="44" spans="1:3" x14ac:dyDescent="0.35">
      <c r="A44" s="38" t="s">
        <v>68</v>
      </c>
      <c r="B44" t="s">
        <v>69</v>
      </c>
      <c r="C44">
        <v>9.532</v>
      </c>
    </row>
    <row r="45" spans="1:3" x14ac:dyDescent="0.35">
      <c r="A45" s="39" t="s">
        <v>70</v>
      </c>
      <c r="B45" t="s">
        <v>71</v>
      </c>
      <c r="C45">
        <v>9.7390000000000008</v>
      </c>
    </row>
    <row r="46" spans="1:3" x14ac:dyDescent="0.35">
      <c r="A46" s="40" t="s">
        <v>72</v>
      </c>
      <c r="B46" t="s">
        <v>73</v>
      </c>
      <c r="C46">
        <v>9.5909999999999993</v>
      </c>
    </row>
    <row r="47" spans="1:3" x14ac:dyDescent="0.35">
      <c r="A47" s="41" t="s">
        <v>74</v>
      </c>
      <c r="B47" t="s">
        <v>75</v>
      </c>
      <c r="C47">
        <v>11.178000000000001</v>
      </c>
    </row>
    <row r="48" spans="1:3" x14ac:dyDescent="0.35">
      <c r="A48" s="42" t="s">
        <v>76</v>
      </c>
      <c r="B48" t="s">
        <v>77</v>
      </c>
      <c r="C48">
        <v>-3.5000000000000003E-2</v>
      </c>
    </row>
    <row r="49" spans="1:3" x14ac:dyDescent="0.35">
      <c r="A49" s="43" t="s">
        <v>78</v>
      </c>
      <c r="B49" t="s">
        <v>79</v>
      </c>
      <c r="C49">
        <v>-0.82099999999999995</v>
      </c>
    </row>
    <row r="50" spans="1:3" x14ac:dyDescent="0.35">
      <c r="A50" s="44" t="s">
        <v>80</v>
      </c>
      <c r="B50" t="s">
        <v>81</v>
      </c>
      <c r="C50">
        <v>-8.9649999999999999</v>
      </c>
    </row>
    <row r="51" spans="1:3" x14ac:dyDescent="0.35">
      <c r="A51" s="45" t="s">
        <v>82</v>
      </c>
      <c r="B51" t="s">
        <v>83</v>
      </c>
      <c r="C51">
        <v>-6.3789999999999996</v>
      </c>
    </row>
    <row r="52" spans="1:3" x14ac:dyDescent="0.35">
      <c r="A52" s="46" t="s">
        <v>84</v>
      </c>
      <c r="B52" t="s">
        <v>85</v>
      </c>
      <c r="C52">
        <v>-0.89600000000000002</v>
      </c>
    </row>
    <row r="53" spans="1:3" x14ac:dyDescent="0.35">
      <c r="A53" s="47" t="s">
        <v>86</v>
      </c>
      <c r="B53" t="s">
        <v>87</v>
      </c>
      <c r="C53">
        <v>-8.4480000000000004</v>
      </c>
    </row>
    <row r="54" spans="1:3" x14ac:dyDescent="0.35">
      <c r="A54" s="48" t="s">
        <v>88</v>
      </c>
      <c r="B54" t="s">
        <v>89</v>
      </c>
      <c r="C54">
        <v>-0.879</v>
      </c>
    </row>
    <row r="55" spans="1:3" x14ac:dyDescent="0.35">
      <c r="A55" s="49" t="s">
        <v>90</v>
      </c>
      <c r="B55" t="s">
        <v>91</v>
      </c>
      <c r="C55">
        <v>-4.7380000000000004</v>
      </c>
    </row>
  </sheetData>
  <phoneticPr fontId="16" type="noConversion"/>
  <hyperlinks>
    <hyperlink ref="A1" r:id="rId1" xr:uid="{00000000-0004-0000-0000-000000000000}"/>
    <hyperlink ref="A1" r:id="rId2" xr:uid="{00000000-0004-0000-0000-000001000000}"/>
    <hyperlink ref="C6" r:id="rId3" xr:uid="{00000000-0004-0000-0000-00000200000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DATA</vt:lpstr>
      <vt:lpstr>Graphique1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HEYL Eva</cp:lastModifiedBy>
  <dcterms:created xsi:type="dcterms:W3CDTF">2026-06-17T13:37:54Z</dcterms:created>
  <dcterms:modified xsi:type="dcterms:W3CDTF">2026-06-17T14:08:20Z</dcterms:modified>
</cp:coreProperties>
</file>